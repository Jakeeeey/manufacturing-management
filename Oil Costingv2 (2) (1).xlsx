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drawings/drawing3.xml" ContentType="application/vnd.openxmlformats-officedocument.drawing+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drawings/drawing4.xml" ContentType="application/vnd.openxmlformats-officedocument.drawing+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drawings/drawing5.xml" ContentType="application/vnd.openxmlformats-officedocument.drawing+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omments3.xml" ContentType="application/vnd.openxmlformats-officedocument.spreadsheetml.comments+xml"/>
  <Override PartName="/xl/comments4.xml" ContentType="application/vnd.openxmlformats-officedocument.spreadsheetml.comments+xml"/>
  <Override PartName="/xl/pivotTables/pivotTable6.xml" ContentType="application/vnd.openxmlformats-officedocument.spreadsheetml.pivotTable+xml"/>
  <Override PartName="/xl/drawings/drawing6.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24226"/>
  <mc:AlternateContent xmlns:mc="http://schemas.openxmlformats.org/markup-compatibility/2006">
    <mc:Choice Requires="x15">
      <x15ac:absPath xmlns:x15ac="http://schemas.microsoft.com/office/spreadsheetml/2010/11/ac" url="https://d.docs.live.net/6f8d507274bb8a54/Men2 - RSM/MP - Product Costing/"/>
    </mc:Choice>
  </mc:AlternateContent>
  <xr:revisionPtr revIDLastSave="148" documentId="8_{837084B7-36DC-4A16-B8F8-90DA03D115AD}" xr6:coauthVersionLast="47" xr6:coauthVersionMax="47" xr10:uidLastSave="{B32BD16F-E910-4A65-A9D8-8452D329C6E7}"/>
  <bookViews>
    <workbookView xWindow="0" yWindow="0" windowWidth="14400" windowHeight="15600" tabRatio="742" firstSheet="4" activeTab="8" xr2:uid="{00000000-000D-0000-FFFF-FFFF00000000}"/>
  </bookViews>
  <sheets>
    <sheet name="New_Costing" sheetId="57" r:id="rId1"/>
    <sheet name="Validation" sheetId="37" r:id="rId2"/>
    <sheet name="PALM" sheetId="17" r:id="rId3"/>
    <sheet name="Pricing Trends" sheetId="23" r:id="rId4"/>
    <sheet name="Profitability - OSave" sheetId="53" r:id="rId5"/>
    <sheet name="Profitability - New" sheetId="51" r:id="rId6"/>
    <sheet name="Profitability" sheetId="27" state="hidden" r:id="rId7"/>
    <sheet name="Target" sheetId="47" state="hidden" r:id="rId8"/>
    <sheet name="SOYA" sheetId="15" r:id="rId9"/>
    <sheet name="CANOLA" sheetId="34" r:id="rId10"/>
    <sheet name="Shipping Cost" sheetId="43" r:id="rId11"/>
    <sheet name="Delivery Cost" sheetId="28" r:id="rId12"/>
    <sheet name="Free Items" sheetId="32" state="hidden" r:id="rId13"/>
    <sheet name="Profitability OLD" sheetId="42" state="hidden" r:id="rId14"/>
    <sheet name="Pick Up Cost" sheetId="44" r:id="rId15"/>
    <sheet name="Forex" sheetId="48" state="hidden" r:id="rId16"/>
    <sheet name="Graph" sheetId="49" state="hidden" r:id="rId17"/>
    <sheet name="OTW" sheetId="50" state="hidden" r:id="rId18"/>
  </sheets>
  <definedNames>
    <definedName name="Slicer_TYPE">#N/A</definedName>
  </definedNames>
  <calcPr calcId="191029"/>
  <pivotCaches>
    <pivotCache cacheId="0" r:id="rId19"/>
    <pivotCache cacheId="1" r:id="rId20"/>
    <pivotCache cacheId="2" r:id="rId21"/>
  </pivotCaches>
  <extLs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5" l="1"/>
  <c r="K71" i="15"/>
  <c r="K56" i="15"/>
  <c r="K54" i="15"/>
  <c r="E70" i="15"/>
  <c r="L62" i="15"/>
  <c r="K32" i="15"/>
  <c r="K17" i="15"/>
  <c r="F22" i="15"/>
  <c r="BI9" i="57"/>
  <c r="BK32" i="57"/>
  <c r="BK34" i="57" s="1"/>
  <c r="I27" i="57"/>
  <c r="J27" i="57" s="1"/>
  <c r="AO40" i="57"/>
  <c r="AN40" i="57"/>
  <c r="AP39" i="57"/>
  <c r="AT39" i="57" s="1"/>
  <c r="AX39" i="57" s="1"/>
  <c r="AB20" i="57"/>
  <c r="AB18" i="57"/>
  <c r="AB16" i="57"/>
  <c r="AB15" i="57"/>
  <c r="AB14" i="57"/>
  <c r="AB12" i="57"/>
  <c r="AB10" i="57"/>
  <c r="AB8" i="57"/>
  <c r="AB7" i="57"/>
  <c r="W28" i="57"/>
  <c r="Y28" i="57" s="1"/>
  <c r="W26" i="57"/>
  <c r="Y26" i="57" s="1"/>
  <c r="W20" i="57"/>
  <c r="Y20" i="57" s="1"/>
  <c r="W18" i="57"/>
  <c r="Y18" i="57" s="1"/>
  <c r="W12" i="57"/>
  <c r="W10" i="57"/>
  <c r="Y10" i="57"/>
  <c r="Y12" i="57"/>
  <c r="AC12" i="57"/>
  <c r="W29" i="57" s="1"/>
  <c r="Y29" i="57" s="1"/>
  <c r="AC10" i="57"/>
  <c r="W27" i="57" s="1"/>
  <c r="Y27" i="57" s="1"/>
  <c r="AC8" i="57"/>
  <c r="W25" i="57" s="1"/>
  <c r="Y25" i="57" s="1"/>
  <c r="M15" i="57"/>
  <c r="N15" i="57" s="1"/>
  <c r="N35" i="57"/>
  <c r="N34" i="57"/>
  <c r="N33" i="57"/>
  <c r="N32" i="57"/>
  <c r="N31" i="57"/>
  <c r="N24" i="57"/>
  <c r="N21" i="57"/>
  <c r="N20" i="57"/>
  <c r="N6" i="57"/>
  <c r="AZ38" i="57"/>
  <c r="AC21" i="57" s="1"/>
  <c r="AZ37" i="57"/>
  <c r="AC23" i="57" s="1"/>
  <c r="AZ36" i="57"/>
  <c r="AC14" i="57" s="1"/>
  <c r="I14" i="57" s="1"/>
  <c r="AZ35" i="57"/>
  <c r="AC16" i="57" s="1"/>
  <c r="AZ34" i="57"/>
  <c r="AC15" i="57" s="1"/>
  <c r="K14" i="57" s="1"/>
  <c r="AZ26" i="57"/>
  <c r="AC18" i="57" s="1"/>
  <c r="I13" i="57" s="1"/>
  <c r="AZ32" i="57"/>
  <c r="AC20" i="57" s="1"/>
  <c r="AQ18" i="57"/>
  <c r="AQ19" i="57"/>
  <c r="AQ26" i="57"/>
  <c r="AQ34" i="57"/>
  <c r="AQ35" i="57"/>
  <c r="AQ36" i="57"/>
  <c r="AQ32" i="57"/>
  <c r="AQ29" i="57"/>
  <c r="AQ30" i="57"/>
  <c r="AQ31" i="57"/>
  <c r="AQ25" i="57"/>
  <c r="AZ27" i="57"/>
  <c r="AZ28" i="57"/>
  <c r="AZ23" i="57"/>
  <c r="AZ24" i="57"/>
  <c r="AZ17" i="57"/>
  <c r="AQ27" i="57"/>
  <c r="AQ28" i="57"/>
  <c r="AQ23" i="57"/>
  <c r="AQ24" i="57"/>
  <c r="AQ17" i="57"/>
  <c r="AU33" i="57"/>
  <c r="AU40" i="57" s="1"/>
  <c r="AZ40" i="57" s="1"/>
  <c r="AQ15" i="57"/>
  <c r="AQ16" i="57"/>
  <c r="AQ33" i="57"/>
  <c r="AY33" i="57" s="1"/>
  <c r="AZ20" i="57"/>
  <c r="AZ22" i="57"/>
  <c r="AZ21" i="57"/>
  <c r="AQ22" i="57"/>
  <c r="AQ20" i="57"/>
  <c r="AQ21" i="57"/>
  <c r="D49" i="57"/>
  <c r="C49" i="57"/>
  <c r="B49" i="57"/>
  <c r="BE34" i="57"/>
  <c r="D48" i="57"/>
  <c r="C48" i="57"/>
  <c r="B48" i="57"/>
  <c r="D47" i="57"/>
  <c r="C47" i="57"/>
  <c r="B47" i="57"/>
  <c r="D46" i="57"/>
  <c r="C46" i="57"/>
  <c r="B46" i="57"/>
  <c r="D45" i="57"/>
  <c r="C45" i="57"/>
  <c r="B45" i="57"/>
  <c r="D44" i="57"/>
  <c r="C44" i="57"/>
  <c r="B44" i="57"/>
  <c r="D43" i="57"/>
  <c r="C43" i="57"/>
  <c r="B43" i="57"/>
  <c r="D42" i="57"/>
  <c r="C42" i="57"/>
  <c r="B42" i="57"/>
  <c r="BF27" i="57"/>
  <c r="D41" i="57"/>
  <c r="C41" i="57"/>
  <c r="B41" i="57"/>
  <c r="C40" i="57"/>
  <c r="B40" i="57"/>
  <c r="C39" i="57"/>
  <c r="B39" i="57"/>
  <c r="D38" i="57"/>
  <c r="C38" i="57"/>
  <c r="B38" i="57"/>
  <c r="BF23" i="57"/>
  <c r="C37" i="57"/>
  <c r="B37" i="57"/>
  <c r="D36" i="57"/>
  <c r="C36" i="57"/>
  <c r="B36" i="57"/>
  <c r="S35" i="57"/>
  <c r="T35" i="57" s="1"/>
  <c r="P35" i="57"/>
  <c r="Q35" i="57" s="1"/>
  <c r="K35" i="57"/>
  <c r="L35" i="57" s="1"/>
  <c r="J35" i="57"/>
  <c r="C35" i="57"/>
  <c r="B35" i="57"/>
  <c r="J34" i="57"/>
  <c r="C34" i="57"/>
  <c r="B34" i="57"/>
  <c r="S33" i="57"/>
  <c r="T33" i="57" s="1"/>
  <c r="P33" i="57"/>
  <c r="Q33" i="57" s="1"/>
  <c r="K33" i="57"/>
  <c r="L33" i="57" s="1"/>
  <c r="J33" i="57"/>
  <c r="D33" i="57"/>
  <c r="C33" i="57"/>
  <c r="B33" i="57"/>
  <c r="K32" i="57"/>
  <c r="L32" i="57" s="1"/>
  <c r="J32" i="57"/>
  <c r="C32" i="57"/>
  <c r="B32" i="57"/>
  <c r="K31" i="57"/>
  <c r="L31" i="57" s="1"/>
  <c r="I31" i="57"/>
  <c r="J31" i="57" s="1"/>
  <c r="D31" i="57"/>
  <c r="C31" i="57"/>
  <c r="B31" i="57"/>
  <c r="D30" i="57"/>
  <c r="C30" i="57"/>
  <c r="B30" i="57"/>
  <c r="BD15" i="57"/>
  <c r="S29" i="57"/>
  <c r="T29" i="57" s="1"/>
  <c r="P29" i="57"/>
  <c r="Q29" i="57" s="1"/>
  <c r="N29" i="57"/>
  <c r="L29" i="57"/>
  <c r="J29" i="57"/>
  <c r="D29" i="57"/>
  <c r="C29" i="57"/>
  <c r="B29" i="57"/>
  <c r="S28" i="57"/>
  <c r="T28" i="57" s="1"/>
  <c r="P28" i="57"/>
  <c r="Q28" i="57" s="1"/>
  <c r="M28" i="57"/>
  <c r="N28" i="57" s="1"/>
  <c r="K28" i="57"/>
  <c r="L28" i="57" s="1"/>
  <c r="I28" i="57"/>
  <c r="J28" i="57" s="1"/>
  <c r="D28" i="57"/>
  <c r="C28" i="57"/>
  <c r="B28" i="57"/>
  <c r="S27" i="57"/>
  <c r="T27" i="57" s="1"/>
  <c r="P27" i="57"/>
  <c r="M27" i="57"/>
  <c r="N27" i="57" s="1"/>
  <c r="K27" i="57"/>
  <c r="L27" i="57" s="1"/>
  <c r="D27" i="57"/>
  <c r="C27" i="57"/>
  <c r="B27" i="57"/>
  <c r="D26" i="57"/>
  <c r="C26" i="57"/>
  <c r="B26" i="57"/>
  <c r="D25" i="57"/>
  <c r="C25" i="57"/>
  <c r="B25" i="57"/>
  <c r="T24" i="57"/>
  <c r="Q24" i="57"/>
  <c r="J24" i="57"/>
  <c r="D24" i="57"/>
  <c r="C24" i="57"/>
  <c r="B24" i="57"/>
  <c r="D23" i="57"/>
  <c r="C23" i="57"/>
  <c r="B23" i="57"/>
  <c r="D22" i="57"/>
  <c r="C22" i="57"/>
  <c r="B22" i="57"/>
  <c r="T21" i="57"/>
  <c r="Q21" i="57"/>
  <c r="K21" i="57"/>
  <c r="I21" i="57"/>
  <c r="D21" i="57"/>
  <c r="C21" i="57"/>
  <c r="B21" i="57"/>
  <c r="Q20" i="57"/>
  <c r="L20" i="57"/>
  <c r="J20" i="57"/>
  <c r="D20" i="57"/>
  <c r="C20" i="57"/>
  <c r="B20" i="57"/>
  <c r="D19" i="57"/>
  <c r="C19" i="57"/>
  <c r="B19" i="57"/>
  <c r="D18" i="57"/>
  <c r="C18" i="57"/>
  <c r="B18" i="57"/>
  <c r="D17" i="57"/>
  <c r="C17" i="57"/>
  <c r="B17" i="57"/>
  <c r="T16" i="57"/>
  <c r="Q16" i="57"/>
  <c r="M16" i="57"/>
  <c r="N16" i="57" s="1"/>
  <c r="K16" i="57"/>
  <c r="L16" i="57" s="1"/>
  <c r="I16" i="57"/>
  <c r="J16" i="57" s="1"/>
  <c r="D16" i="57"/>
  <c r="C16" i="57"/>
  <c r="B16" i="57"/>
  <c r="S15" i="57"/>
  <c r="T15" i="57" s="1"/>
  <c r="P15" i="57"/>
  <c r="Q15" i="57" s="1"/>
  <c r="K15" i="57"/>
  <c r="L15" i="57" s="1"/>
  <c r="I15" i="57"/>
  <c r="J15" i="57" s="1"/>
  <c r="D15" i="57"/>
  <c r="C15" i="57"/>
  <c r="B15" i="57"/>
  <c r="D14" i="57"/>
  <c r="C14" i="57"/>
  <c r="B14" i="57"/>
  <c r="K13" i="57"/>
  <c r="L13" i="57" s="1"/>
  <c r="D13" i="57"/>
  <c r="C13" i="57"/>
  <c r="B13" i="57"/>
  <c r="AQ14" i="57"/>
  <c r="S12" i="57"/>
  <c r="T12" i="57" s="1"/>
  <c r="P12" i="57"/>
  <c r="Q12" i="57" s="1"/>
  <c r="M12" i="57"/>
  <c r="N12" i="57" s="1"/>
  <c r="K12" i="57"/>
  <c r="L12" i="57" s="1"/>
  <c r="I12" i="57"/>
  <c r="J12" i="57" s="1"/>
  <c r="D12" i="57"/>
  <c r="C12" i="57"/>
  <c r="B12" i="57"/>
  <c r="AR13" i="57"/>
  <c r="AQ13" i="57"/>
  <c r="D11" i="57"/>
  <c r="C11" i="57"/>
  <c r="B11" i="57"/>
  <c r="AR12" i="57"/>
  <c r="AQ12" i="57"/>
  <c r="AS12" i="57" s="1"/>
  <c r="D10" i="57"/>
  <c r="C10" i="57"/>
  <c r="B10" i="57"/>
  <c r="AR11" i="57"/>
  <c r="AQ11" i="57"/>
  <c r="D9" i="57"/>
  <c r="C9" i="57"/>
  <c r="B9" i="57"/>
  <c r="AQ10" i="57"/>
  <c r="D8" i="57"/>
  <c r="C8" i="57"/>
  <c r="B8" i="57"/>
  <c r="AQ9" i="57"/>
  <c r="D7" i="57"/>
  <c r="C7" i="57"/>
  <c r="B7" i="57"/>
  <c r="AQ8" i="57"/>
  <c r="T6" i="57"/>
  <c r="Q6" i="57"/>
  <c r="L6" i="57"/>
  <c r="J6" i="57"/>
  <c r="AQ7" i="57"/>
  <c r="K73" i="15" l="1"/>
  <c r="J73" i="15" s="1"/>
  <c r="K55" i="15"/>
  <c r="S14" i="57"/>
  <c r="T14" i="57" s="1"/>
  <c r="P14" i="57"/>
  <c r="Q14" i="57" s="1"/>
  <c r="M14" i="57"/>
  <c r="N14" i="57" s="1"/>
  <c r="M13" i="57"/>
  <c r="N13" i="57" s="1"/>
  <c r="S13" i="57"/>
  <c r="T13" i="57" s="1"/>
  <c r="P13" i="57"/>
  <c r="Q13" i="57" s="1"/>
  <c r="M30" i="57"/>
  <c r="M19" i="57" s="1"/>
  <c r="N19" i="57" s="1"/>
  <c r="AC25" i="57"/>
  <c r="W21" i="57"/>
  <c r="Y21" i="57" s="1"/>
  <c r="W13" i="57"/>
  <c r="Y13" i="57" s="1"/>
  <c r="W19" i="57"/>
  <c r="Y19" i="57" s="1"/>
  <c r="W11" i="57"/>
  <c r="Y11" i="57" s="1"/>
  <c r="W17" i="57"/>
  <c r="Y17" i="57" s="1"/>
  <c r="W9" i="57"/>
  <c r="Y9" i="57" s="1"/>
  <c r="J14" i="57"/>
  <c r="L14" i="57"/>
  <c r="J13" i="57"/>
  <c r="AC7" i="57"/>
  <c r="W24" i="57" s="1"/>
  <c r="Y24" i="57" s="1"/>
  <c r="Y23" i="57" s="1"/>
  <c r="P10" i="57" s="1"/>
  <c r="AX33" i="57"/>
  <c r="AW33" i="57"/>
  <c r="AS13" i="57"/>
  <c r="BD16" i="57"/>
  <c r="BF15" i="57" s="1"/>
  <c r="AS11" i="57"/>
  <c r="AR33" i="57"/>
  <c r="AS33" i="57" s="1"/>
  <c r="AR22" i="57"/>
  <c r="AS22" i="57" s="1"/>
  <c r="AR20" i="57"/>
  <c r="AS20" i="57" s="1"/>
  <c r="AR21" i="57"/>
  <c r="AS21" i="57" s="1"/>
  <c r="BF16" i="57"/>
  <c r="Q27" i="57"/>
  <c r="L21" i="57"/>
  <c r="J21" i="57"/>
  <c r="I12" i="53"/>
  <c r="I31" i="53"/>
  <c r="K31" i="53"/>
  <c r="J59" i="15" l="1"/>
  <c r="F60" i="15"/>
  <c r="E76" i="15"/>
  <c r="F76" i="15" s="1"/>
  <c r="K30" i="57"/>
  <c r="L30" i="57" s="1"/>
  <c r="I30" i="57"/>
  <c r="N30" i="57"/>
  <c r="W16" i="57"/>
  <c r="Y16" i="57" s="1"/>
  <c r="Y15" i="57" s="1"/>
  <c r="S7" i="57" s="1"/>
  <c r="W8" i="57"/>
  <c r="Y8" i="57" s="1"/>
  <c r="Y7" i="57" s="1"/>
  <c r="M9" i="57" s="1"/>
  <c r="BF21" i="57"/>
  <c r="BD37" i="57"/>
  <c r="BE37" i="57" s="1"/>
  <c r="BF37" i="57" s="1"/>
  <c r="BJ34" i="57"/>
  <c r="I21" i="53"/>
  <c r="DM24" i="17"/>
  <c r="I44" i="15" l="1"/>
  <c r="E62" i="15"/>
  <c r="I19" i="57"/>
  <c r="J19" i="57" s="1"/>
  <c r="J30" i="57"/>
  <c r="N9" i="57"/>
  <c r="K9" i="57"/>
  <c r="BI5" i="57"/>
  <c r="BF25" i="57"/>
  <c r="BF34" i="57" s="1"/>
  <c r="BK15" i="57" s="1"/>
  <c r="BK16" i="57" s="1"/>
  <c r="BJ20" i="57" s="1"/>
  <c r="I9" i="57"/>
  <c r="T7" i="57"/>
  <c r="S32" i="57"/>
  <c r="Q10" i="57"/>
  <c r="P32" i="57"/>
  <c r="CP24" i="17"/>
  <c r="I32" i="51"/>
  <c r="I33" i="51"/>
  <c r="I35" i="51"/>
  <c r="J44" i="15" l="1"/>
  <c r="K44" i="15"/>
  <c r="F62" i="15"/>
  <c r="E68" i="15"/>
  <c r="BK5" i="57"/>
  <c r="BJ5" i="57"/>
  <c r="BI6" i="57"/>
  <c r="J9" i="57"/>
  <c r="L9" i="57"/>
  <c r="T32" i="57"/>
  <c r="Q32" i="57"/>
  <c r="M25" i="51"/>
  <c r="DL35" i="17"/>
  <c r="DR33" i="17"/>
  <c r="DR35" i="17" s="1"/>
  <c r="DM28" i="17"/>
  <c r="DM17" i="17"/>
  <c r="DM22" i="17"/>
  <c r="M22" i="51"/>
  <c r="M33" i="51"/>
  <c r="M32" i="51"/>
  <c r="F64" i="15" l="1"/>
  <c r="A62" i="15"/>
  <c r="E73" i="15"/>
  <c r="F66" i="15"/>
  <c r="BI7" i="57"/>
  <c r="BJ6" i="57"/>
  <c r="BK6" i="57"/>
  <c r="BK9" i="57"/>
  <c r="BJ9" i="57"/>
  <c r="DK38" i="17"/>
  <c r="DL38" i="17" s="1"/>
  <c r="DM38" i="17" s="1"/>
  <c r="DP6" i="17" s="1"/>
  <c r="DM26" i="17"/>
  <c r="DM35" i="17" s="1"/>
  <c r="DR16" i="17" s="1"/>
  <c r="DQ35" i="17"/>
  <c r="AB13" i="51"/>
  <c r="AD13" i="51"/>
  <c r="F73" i="15" l="1"/>
  <c r="I48" i="15" s="1"/>
  <c r="BJ7" i="57"/>
  <c r="BK7" i="57"/>
  <c r="BI8" i="57"/>
  <c r="DR6" i="17"/>
  <c r="U46" i="23" s="1"/>
  <c r="D40" i="57" s="1"/>
  <c r="DQ6" i="17"/>
  <c r="DR17" i="17"/>
  <c r="DQ21" i="17" s="1"/>
  <c r="U38" i="23"/>
  <c r="D32" i="57" s="1"/>
  <c r="I45" i="15" l="1"/>
  <c r="J48" i="15"/>
  <c r="K48" i="15"/>
  <c r="BK8" i="57"/>
  <c r="BJ8" i="57"/>
  <c r="DP10" i="17"/>
  <c r="DP7" i="17"/>
  <c r="AW24" i="53"/>
  <c r="AV32" i="53"/>
  <c r="DB35" i="15"/>
  <c r="DH33" i="15"/>
  <c r="DH35" i="15" s="1"/>
  <c r="DC28" i="15"/>
  <c r="DC24" i="15"/>
  <c r="DC17" i="15"/>
  <c r="DA17" i="15"/>
  <c r="DA38" i="15" s="1"/>
  <c r="AM24" i="53"/>
  <c r="AL32" i="53"/>
  <c r="AL35" i="34"/>
  <c r="AR33" i="34"/>
  <c r="AR35" i="34" s="1"/>
  <c r="AM28" i="34"/>
  <c r="AM24" i="34"/>
  <c r="AM17" i="34"/>
  <c r="AK17" i="34"/>
  <c r="AK38" i="34" s="1"/>
  <c r="AR16" i="34"/>
  <c r="AR17" i="34" s="1"/>
  <c r="CZ35" i="17"/>
  <c r="DF33" i="17"/>
  <c r="DF35" i="17" s="1"/>
  <c r="DA28" i="17"/>
  <c r="DA24" i="17"/>
  <c r="DA17" i="17"/>
  <c r="CY17" i="17"/>
  <c r="DA22" i="17" s="1"/>
  <c r="J24" i="53"/>
  <c r="N24" i="53"/>
  <c r="N20" i="53"/>
  <c r="AQ22" i="51"/>
  <c r="AR22" i="51" s="1"/>
  <c r="AQ25" i="51"/>
  <c r="AQ26" i="51"/>
  <c r="B22" i="51"/>
  <c r="C22" i="51"/>
  <c r="D22" i="51"/>
  <c r="I22" i="51"/>
  <c r="J22" i="51" s="1"/>
  <c r="K22" i="51"/>
  <c r="L22" i="51" s="1"/>
  <c r="N22" i="51"/>
  <c r="O22" i="51"/>
  <c r="P22" i="51" s="1"/>
  <c r="Q22" i="51"/>
  <c r="R22" i="51" s="1"/>
  <c r="S22" i="51"/>
  <c r="T22" i="51" s="1"/>
  <c r="AB22" i="51"/>
  <c r="AC22" i="51" s="1"/>
  <c r="AD22" i="51"/>
  <c r="AE22" i="51" s="1"/>
  <c r="AG22" i="51"/>
  <c r="AH22" i="51" s="1"/>
  <c r="AI22" i="51"/>
  <c r="AJ22" i="51" s="1"/>
  <c r="AL22" i="51"/>
  <c r="AM22" i="51" s="1"/>
  <c r="AN22" i="51"/>
  <c r="AO22" i="51" s="1"/>
  <c r="AS22" i="51"/>
  <c r="AT22" i="51" s="1"/>
  <c r="AV22" i="51"/>
  <c r="AW22" i="51" s="1"/>
  <c r="AX22" i="51"/>
  <c r="AY22" i="51" s="1"/>
  <c r="BA22" i="51"/>
  <c r="BB22" i="51" s="1"/>
  <c r="BC22" i="51"/>
  <c r="BD22" i="51" s="1"/>
  <c r="BG22" i="51"/>
  <c r="I46" i="15" l="1"/>
  <c r="J45" i="15"/>
  <c r="K45" i="15"/>
  <c r="J46" i="15"/>
  <c r="K46" i="15"/>
  <c r="AQ35" i="34"/>
  <c r="DB38" i="15"/>
  <c r="DC38" i="15" s="1"/>
  <c r="DQ7" i="17"/>
  <c r="DR7" i="17"/>
  <c r="DP8" i="17"/>
  <c r="DR10" i="17"/>
  <c r="DQ10" i="17"/>
  <c r="DG35" i="15"/>
  <c r="DC22" i="15"/>
  <c r="DH36" i="15" s="1"/>
  <c r="AL38" i="34"/>
  <c r="AM38" i="34" s="1"/>
  <c r="AM22" i="34"/>
  <c r="AR36" i="34" s="1"/>
  <c r="CY38" i="17"/>
  <c r="CZ38" i="17" s="1"/>
  <c r="DA38" i="17" s="1"/>
  <c r="DD6" i="17" s="1"/>
  <c r="DA26" i="17"/>
  <c r="DA35" i="17" s="1"/>
  <c r="DF16" i="17" s="1"/>
  <c r="DE35" i="17"/>
  <c r="AQ23" i="51"/>
  <c r="AQ24" i="51"/>
  <c r="AQ33" i="51"/>
  <c r="U6" i="51"/>
  <c r="O26" i="51"/>
  <c r="CO35" i="17"/>
  <c r="CU33" i="17"/>
  <c r="CU35" i="17" s="1"/>
  <c r="CP28" i="17"/>
  <c r="CP17" i="17"/>
  <c r="CN17" i="17"/>
  <c r="CP22" i="17" s="1"/>
  <c r="I47" i="15" l="1"/>
  <c r="U45" i="23"/>
  <c r="D39" i="57" s="1"/>
  <c r="M9" i="53"/>
  <c r="DR8" i="17"/>
  <c r="DP9" i="17"/>
  <c r="DQ8" i="17"/>
  <c r="DC26" i="15"/>
  <c r="DC35" i="15" s="1"/>
  <c r="DH16" i="15" s="1"/>
  <c r="DH18" i="15"/>
  <c r="DF6" i="15"/>
  <c r="AM26" i="34"/>
  <c r="AR18" i="34"/>
  <c r="AQ21" i="34" s="1"/>
  <c r="AP7" i="34" s="1"/>
  <c r="AP6" i="34"/>
  <c r="DF17" i="17"/>
  <c r="DE21" i="17" s="1"/>
  <c r="DF6" i="17"/>
  <c r="DE6" i="17"/>
  <c r="CP26" i="17"/>
  <c r="CP35" i="17" s="1"/>
  <c r="CU16" i="17" s="1"/>
  <c r="CT35" i="17"/>
  <c r="CU36" i="17"/>
  <c r="CN38" i="17"/>
  <c r="CO38" i="17" s="1"/>
  <c r="CP38" i="17" s="1"/>
  <c r="CS6" i="17" s="1"/>
  <c r="K47" i="15" l="1"/>
  <c r="J47" i="15"/>
  <c r="DQ9" i="17"/>
  <c r="DR9" i="17"/>
  <c r="DH6" i="15"/>
  <c r="DG6" i="15"/>
  <c r="DH17" i="15"/>
  <c r="DG21" i="15" s="1"/>
  <c r="AP8" i="34"/>
  <c r="AR6" i="34"/>
  <c r="AQ6" i="34"/>
  <c r="AP10" i="34"/>
  <c r="AQ7" i="34"/>
  <c r="AR7" i="34"/>
  <c r="DD10" i="17"/>
  <c r="DD7" i="17"/>
  <c r="CT6" i="17"/>
  <c r="CU6" i="17"/>
  <c r="CU17" i="17"/>
  <c r="CT21" i="17" s="1"/>
  <c r="DF7" i="15" l="1"/>
  <c r="DF10" i="15"/>
  <c r="AR10" i="34"/>
  <c r="AQ10" i="34"/>
  <c r="AQ8" i="34"/>
  <c r="AP9" i="34"/>
  <c r="AR8" i="34"/>
  <c r="DF7" i="17"/>
  <c r="DE7" i="17"/>
  <c r="DD8" i="17"/>
  <c r="DF10" i="17"/>
  <c r="DE10" i="17"/>
  <c r="CS10" i="17"/>
  <c r="CS7" i="17"/>
  <c r="DH10" i="15" l="1"/>
  <c r="DG10" i="15"/>
  <c r="DG7" i="15"/>
  <c r="DH7" i="15"/>
  <c r="DF8" i="15"/>
  <c r="AR9" i="34"/>
  <c r="AQ9" i="34"/>
  <c r="DD9" i="17"/>
  <c r="DF8" i="17"/>
  <c r="DE8" i="17"/>
  <c r="CT7" i="17"/>
  <c r="CU7" i="17"/>
  <c r="CS8" i="17"/>
  <c r="CT10" i="17"/>
  <c r="CU10" i="17"/>
  <c r="U43" i="23" s="1"/>
  <c r="D37" i="57" s="1"/>
  <c r="DG8" i="15" l="1"/>
  <c r="DH8" i="15"/>
  <c r="DF9" i="15"/>
  <c r="DE9" i="17"/>
  <c r="DF9" i="17"/>
  <c r="CU8" i="17"/>
  <c r="CS9" i="17"/>
  <c r="CT8" i="17"/>
  <c r="DH9" i="15" l="1"/>
  <c r="DG9" i="15"/>
  <c r="CU9" i="17"/>
  <c r="CT9" i="17"/>
  <c r="BN33" i="17" l="1"/>
  <c r="D49" i="53" l="1"/>
  <c r="C49" i="53"/>
  <c r="B49" i="53"/>
  <c r="D48" i="53"/>
  <c r="C48" i="53"/>
  <c r="B48" i="53"/>
  <c r="D47" i="53"/>
  <c r="C47" i="53"/>
  <c r="B47" i="53"/>
  <c r="D46" i="53"/>
  <c r="C46" i="53"/>
  <c r="B46" i="53"/>
  <c r="D45" i="53"/>
  <c r="C45" i="53"/>
  <c r="B45" i="53"/>
  <c r="D44" i="53"/>
  <c r="C44" i="53"/>
  <c r="B44" i="53"/>
  <c r="D43" i="53"/>
  <c r="C43" i="53"/>
  <c r="B43" i="53"/>
  <c r="D42" i="53"/>
  <c r="C42" i="53"/>
  <c r="B42" i="53"/>
  <c r="D41" i="53"/>
  <c r="C41" i="53"/>
  <c r="B41" i="53"/>
  <c r="D40" i="53"/>
  <c r="C40" i="53"/>
  <c r="B40" i="53"/>
  <c r="D39" i="53"/>
  <c r="C39" i="53"/>
  <c r="B39" i="53"/>
  <c r="C38" i="53"/>
  <c r="B38" i="53"/>
  <c r="C37" i="53"/>
  <c r="B37" i="53"/>
  <c r="D36" i="53"/>
  <c r="C36" i="53"/>
  <c r="B36" i="53"/>
  <c r="BG35" i="53"/>
  <c r="BC35" i="53"/>
  <c r="BD35" i="53" s="1"/>
  <c r="BA35" i="53"/>
  <c r="BB35" i="53" s="1"/>
  <c r="AX35" i="53"/>
  <c r="AY35" i="53" s="1"/>
  <c r="AV35" i="53"/>
  <c r="AW35" i="53" s="1"/>
  <c r="AS35" i="53"/>
  <c r="AT35" i="53" s="1"/>
  <c r="AQ35" i="53"/>
  <c r="AR35" i="53" s="1"/>
  <c r="AN35" i="53"/>
  <c r="AO35" i="53" s="1"/>
  <c r="AL35" i="53"/>
  <c r="AM35" i="53" s="1"/>
  <c r="AI35" i="53"/>
  <c r="AJ35" i="53" s="1"/>
  <c r="AG35" i="53"/>
  <c r="AH35" i="53" s="1"/>
  <c r="AD35" i="53"/>
  <c r="AE35" i="53" s="1"/>
  <c r="AB35" i="53"/>
  <c r="AC35" i="53" s="1"/>
  <c r="S35" i="53"/>
  <c r="T35" i="53" s="1"/>
  <c r="Q35" i="53"/>
  <c r="R35" i="53" s="1"/>
  <c r="O35" i="53"/>
  <c r="P35" i="53" s="1"/>
  <c r="N35" i="53"/>
  <c r="K35" i="53"/>
  <c r="L35" i="53" s="1"/>
  <c r="J35" i="53"/>
  <c r="C35" i="53"/>
  <c r="B35" i="53"/>
  <c r="BG34" i="53"/>
  <c r="AD34" i="53"/>
  <c r="AE34" i="53" s="1"/>
  <c r="AB34" i="53"/>
  <c r="AC34" i="53" s="1"/>
  <c r="C34" i="53"/>
  <c r="B34" i="53"/>
  <c r="BF33" i="53"/>
  <c r="BG33" i="53" s="1"/>
  <c r="BC33" i="53"/>
  <c r="BD33" i="53" s="1"/>
  <c r="BA33" i="53"/>
  <c r="BB33" i="53" s="1"/>
  <c r="AX33" i="53"/>
  <c r="AY33" i="53" s="1"/>
  <c r="AV33" i="53"/>
  <c r="AW33" i="53" s="1"/>
  <c r="AS33" i="53"/>
  <c r="AT33" i="53" s="1"/>
  <c r="AQ33" i="53"/>
  <c r="AR33" i="53" s="1"/>
  <c r="AN33" i="53"/>
  <c r="AO33" i="53" s="1"/>
  <c r="AL33" i="53"/>
  <c r="AM33" i="53" s="1"/>
  <c r="AI33" i="53"/>
  <c r="AJ33" i="53" s="1"/>
  <c r="AG33" i="53"/>
  <c r="AH33" i="53" s="1"/>
  <c r="AD33" i="53"/>
  <c r="AE33" i="53" s="1"/>
  <c r="AB33" i="53"/>
  <c r="AC33" i="53" s="1"/>
  <c r="S33" i="53"/>
  <c r="T33" i="53" s="1"/>
  <c r="Q33" i="53"/>
  <c r="R33" i="53" s="1"/>
  <c r="O33" i="53"/>
  <c r="P33" i="53" s="1"/>
  <c r="N33" i="53"/>
  <c r="K33" i="53"/>
  <c r="L33" i="53" s="1"/>
  <c r="J33" i="53"/>
  <c r="D33" i="53"/>
  <c r="C33" i="53"/>
  <c r="B33" i="53"/>
  <c r="BF32" i="53"/>
  <c r="BG32" i="53" s="1"/>
  <c r="BC32" i="53"/>
  <c r="BD32" i="53" s="1"/>
  <c r="BA32" i="53"/>
  <c r="BB32" i="53" s="1"/>
  <c r="AX32" i="53"/>
  <c r="AY32" i="53" s="1"/>
  <c r="AW32" i="53"/>
  <c r="AS32" i="53"/>
  <c r="AT32" i="53" s="1"/>
  <c r="AQ32" i="53"/>
  <c r="AR32" i="53" s="1"/>
  <c r="AN32" i="53"/>
  <c r="AO32" i="53" s="1"/>
  <c r="AM32" i="53"/>
  <c r="AI32" i="53"/>
  <c r="AJ32" i="53" s="1"/>
  <c r="AG32" i="53"/>
  <c r="AH32" i="53" s="1"/>
  <c r="AD32" i="53"/>
  <c r="AE32" i="53" s="1"/>
  <c r="AB32" i="53"/>
  <c r="AC32" i="53" s="1"/>
  <c r="S32" i="53"/>
  <c r="T32" i="53" s="1"/>
  <c r="Q32" i="53"/>
  <c r="R32" i="53" s="1"/>
  <c r="O32" i="53"/>
  <c r="P32" i="53" s="1"/>
  <c r="N32" i="53"/>
  <c r="K32" i="53"/>
  <c r="L32" i="53" s="1"/>
  <c r="J32" i="53"/>
  <c r="D32" i="53"/>
  <c r="C32" i="53"/>
  <c r="B32" i="53"/>
  <c r="D31" i="53"/>
  <c r="C31" i="53"/>
  <c r="B31" i="53"/>
  <c r="D30" i="53"/>
  <c r="C30" i="53"/>
  <c r="B30" i="53"/>
  <c r="BF29" i="53"/>
  <c r="BG29" i="53" s="1"/>
  <c r="BC29" i="53"/>
  <c r="BD29" i="53" s="1"/>
  <c r="BA29" i="53"/>
  <c r="BB29" i="53" s="1"/>
  <c r="AX29" i="53"/>
  <c r="AY29" i="53" s="1"/>
  <c r="AV29" i="53"/>
  <c r="AW29" i="53" s="1"/>
  <c r="AS29" i="53"/>
  <c r="AT29" i="53" s="1"/>
  <c r="AQ29" i="53"/>
  <c r="AR29" i="53" s="1"/>
  <c r="AN29" i="53"/>
  <c r="AO29" i="53" s="1"/>
  <c r="AL29" i="53"/>
  <c r="AM29" i="53" s="1"/>
  <c r="AI29" i="53"/>
  <c r="AJ29" i="53" s="1"/>
  <c r="AG29" i="53"/>
  <c r="AH29" i="53" s="1"/>
  <c r="AD29" i="53"/>
  <c r="AE29" i="53" s="1"/>
  <c r="AB29" i="53"/>
  <c r="AC29" i="53" s="1"/>
  <c r="S29" i="53"/>
  <c r="T29" i="53" s="1"/>
  <c r="Q29" i="53"/>
  <c r="R29" i="53" s="1"/>
  <c r="O29" i="53"/>
  <c r="P29" i="53" s="1"/>
  <c r="M29" i="53"/>
  <c r="N29" i="53" s="1"/>
  <c r="K29" i="53"/>
  <c r="L29" i="53" s="1"/>
  <c r="I29" i="53"/>
  <c r="J29" i="53" s="1"/>
  <c r="D29" i="53"/>
  <c r="C29" i="53"/>
  <c r="B29" i="53"/>
  <c r="BF28" i="53"/>
  <c r="BG28" i="53" s="1"/>
  <c r="BC28" i="53"/>
  <c r="BD28" i="53" s="1"/>
  <c r="BA28" i="53"/>
  <c r="BB28" i="53" s="1"/>
  <c r="AX28" i="53"/>
  <c r="AY28" i="53" s="1"/>
  <c r="AV28" i="53"/>
  <c r="AW28" i="53" s="1"/>
  <c r="AS28" i="53"/>
  <c r="AT28" i="53" s="1"/>
  <c r="AQ28" i="53"/>
  <c r="AR28" i="53" s="1"/>
  <c r="AN28" i="53"/>
  <c r="AO28" i="53" s="1"/>
  <c r="AL28" i="53"/>
  <c r="AM28" i="53" s="1"/>
  <c r="AI28" i="53"/>
  <c r="AJ28" i="53" s="1"/>
  <c r="AG28" i="53"/>
  <c r="AH28" i="53" s="1"/>
  <c r="AD28" i="53"/>
  <c r="AE28" i="53" s="1"/>
  <c r="AB28" i="53"/>
  <c r="AC28" i="53" s="1"/>
  <c r="S28" i="53"/>
  <c r="T28" i="53" s="1"/>
  <c r="Q28" i="53"/>
  <c r="R28" i="53" s="1"/>
  <c r="O28" i="53"/>
  <c r="P28" i="53" s="1"/>
  <c r="M28" i="53"/>
  <c r="N28" i="53" s="1"/>
  <c r="K28" i="53"/>
  <c r="L28" i="53" s="1"/>
  <c r="I28" i="53"/>
  <c r="J28" i="53" s="1"/>
  <c r="D28" i="53"/>
  <c r="C28" i="53"/>
  <c r="B28" i="53"/>
  <c r="BF27" i="53"/>
  <c r="BG27" i="53" s="1"/>
  <c r="BC27" i="53"/>
  <c r="BD27" i="53" s="1"/>
  <c r="BA27" i="53"/>
  <c r="BB27" i="53" s="1"/>
  <c r="AX27" i="53"/>
  <c r="AY27" i="53" s="1"/>
  <c r="AV27" i="53"/>
  <c r="AW27" i="53" s="1"/>
  <c r="AS27" i="53"/>
  <c r="AT27" i="53" s="1"/>
  <c r="AQ27" i="53"/>
  <c r="AR27" i="53" s="1"/>
  <c r="AN27" i="53"/>
  <c r="AO27" i="53" s="1"/>
  <c r="AL27" i="53"/>
  <c r="AM27" i="53" s="1"/>
  <c r="AI27" i="53"/>
  <c r="AJ27" i="53" s="1"/>
  <c r="AG27" i="53"/>
  <c r="AH27" i="53" s="1"/>
  <c r="AD27" i="53"/>
  <c r="AE27" i="53" s="1"/>
  <c r="AB27" i="53"/>
  <c r="AC27" i="53" s="1"/>
  <c r="S27" i="53"/>
  <c r="T27" i="53" s="1"/>
  <c r="Q27" i="53"/>
  <c r="R27" i="53" s="1"/>
  <c r="O27" i="53"/>
  <c r="P27" i="53" s="1"/>
  <c r="M27" i="53"/>
  <c r="N27" i="53" s="1"/>
  <c r="K27" i="53"/>
  <c r="L27" i="53" s="1"/>
  <c r="I27" i="53"/>
  <c r="J27" i="53" s="1"/>
  <c r="D27" i="53"/>
  <c r="C27" i="53"/>
  <c r="B27" i="53"/>
  <c r="D26" i="53"/>
  <c r="C26" i="53"/>
  <c r="B26" i="53"/>
  <c r="D25" i="53"/>
  <c r="C25" i="53"/>
  <c r="B25" i="53"/>
  <c r="D24" i="53"/>
  <c r="C24" i="53"/>
  <c r="B24" i="53"/>
  <c r="D23" i="53"/>
  <c r="C23" i="53"/>
  <c r="B23" i="53"/>
  <c r="D22" i="53"/>
  <c r="C22" i="53"/>
  <c r="B22" i="53"/>
  <c r="BC21" i="53"/>
  <c r="BD21" i="53" s="1"/>
  <c r="BA21" i="53"/>
  <c r="BB21" i="53" s="1"/>
  <c r="AX21" i="53"/>
  <c r="AY21" i="53" s="1"/>
  <c r="AW21" i="53"/>
  <c r="AQ21" i="53"/>
  <c r="AR21" i="53" s="1"/>
  <c r="AN21" i="53"/>
  <c r="AS21" i="53" s="1"/>
  <c r="AT21" i="53" s="1"/>
  <c r="AM21" i="53"/>
  <c r="AI21" i="53"/>
  <c r="AJ21" i="53" s="1"/>
  <c r="AG21" i="53"/>
  <c r="AH21" i="53" s="1"/>
  <c r="AD21" i="53"/>
  <c r="AE21" i="53" s="1"/>
  <c r="AB21" i="53"/>
  <c r="AC21" i="53" s="1"/>
  <c r="Z21" i="53"/>
  <c r="X21" i="53"/>
  <c r="V21" i="53"/>
  <c r="S21" i="53"/>
  <c r="T21" i="53" s="1"/>
  <c r="Q21" i="53"/>
  <c r="R21" i="53" s="1"/>
  <c r="P21" i="53"/>
  <c r="N21" i="53"/>
  <c r="K21" i="53"/>
  <c r="L21" i="53" s="1"/>
  <c r="J21" i="53"/>
  <c r="D21" i="53"/>
  <c r="C21" i="53"/>
  <c r="B21" i="53"/>
  <c r="BG20" i="53"/>
  <c r="BD20" i="53"/>
  <c r="BB20" i="53"/>
  <c r="AY20" i="53"/>
  <c r="AT20" i="53"/>
  <c r="AR20" i="53"/>
  <c r="AO20" i="53"/>
  <c r="AM20" i="53"/>
  <c r="AJ20" i="53"/>
  <c r="AH20" i="53"/>
  <c r="AE20" i="53"/>
  <c r="AC20" i="53"/>
  <c r="T20" i="53"/>
  <c r="R20" i="53"/>
  <c r="P20" i="53"/>
  <c r="L20" i="53"/>
  <c r="J20" i="53"/>
  <c r="D20" i="53"/>
  <c r="C20" i="53"/>
  <c r="B20" i="53"/>
  <c r="D19" i="53"/>
  <c r="C19" i="53"/>
  <c r="B19" i="53"/>
  <c r="D18" i="53"/>
  <c r="C18" i="53"/>
  <c r="B18" i="53"/>
  <c r="D17" i="53"/>
  <c r="C17" i="53"/>
  <c r="B17" i="53"/>
  <c r="BG16" i="53"/>
  <c r="BD16" i="53"/>
  <c r="BB16" i="53"/>
  <c r="AY16" i="53"/>
  <c r="AW16" i="53"/>
  <c r="AT16" i="53"/>
  <c r="AR16" i="53"/>
  <c r="AO16" i="53"/>
  <c r="AM16" i="53"/>
  <c r="AJ16" i="53"/>
  <c r="AH16" i="53"/>
  <c r="AE16" i="53"/>
  <c r="AC16" i="53"/>
  <c r="T16" i="53"/>
  <c r="R16" i="53"/>
  <c r="P16" i="53"/>
  <c r="M16" i="53"/>
  <c r="N16" i="53" s="1"/>
  <c r="K16" i="53"/>
  <c r="L16" i="53" s="1"/>
  <c r="I16" i="53"/>
  <c r="J16" i="53" s="1"/>
  <c r="D16" i="53"/>
  <c r="C16" i="53"/>
  <c r="B16" i="53"/>
  <c r="BG15" i="53"/>
  <c r="BD15" i="53"/>
  <c r="BA15" i="53"/>
  <c r="BB15" i="53" s="1"/>
  <c r="AX15" i="53"/>
  <c r="AY15" i="53" s="1"/>
  <c r="AV15" i="53"/>
  <c r="AW15" i="53" s="1"/>
  <c r="AT15" i="53"/>
  <c r="AQ15" i="53"/>
  <c r="AR15" i="53" s="1"/>
  <c r="AN15" i="53"/>
  <c r="AO15" i="53" s="1"/>
  <c r="AL15" i="53"/>
  <c r="AM15" i="53" s="1"/>
  <c r="AJ15" i="53"/>
  <c r="AG15" i="53"/>
  <c r="AH15" i="53" s="1"/>
  <c r="AD15" i="53"/>
  <c r="AE15" i="53" s="1"/>
  <c r="AB15" i="53"/>
  <c r="AC15" i="53" s="1"/>
  <c r="Z15" i="53"/>
  <c r="X15" i="53"/>
  <c r="V15" i="53"/>
  <c r="S15" i="53"/>
  <c r="T15" i="53" s="1"/>
  <c r="Q15" i="53"/>
  <c r="R15" i="53" s="1"/>
  <c r="O15" i="53"/>
  <c r="P15" i="53" s="1"/>
  <c r="M15" i="53"/>
  <c r="N15" i="53" s="1"/>
  <c r="K15" i="53"/>
  <c r="L15" i="53" s="1"/>
  <c r="I15" i="53"/>
  <c r="J15" i="53" s="1"/>
  <c r="D15" i="53"/>
  <c r="C15" i="53"/>
  <c r="B15" i="53"/>
  <c r="BG14" i="53"/>
  <c r="BD14" i="53"/>
  <c r="BA14" i="53"/>
  <c r="BB14" i="53" s="1"/>
  <c r="AX14" i="53"/>
  <c r="AY14" i="53" s="1"/>
  <c r="AV14" i="53"/>
  <c r="AW14" i="53" s="1"/>
  <c r="AT14" i="53"/>
  <c r="AQ14" i="53"/>
  <c r="AR14" i="53" s="1"/>
  <c r="AN14" i="53"/>
  <c r="AO14" i="53" s="1"/>
  <c r="AL14" i="53"/>
  <c r="AM14" i="53" s="1"/>
  <c r="AJ14" i="53"/>
  <c r="AG14" i="53"/>
  <c r="AH14" i="53" s="1"/>
  <c r="AD14" i="53"/>
  <c r="AE14" i="53" s="1"/>
  <c r="AB14" i="53"/>
  <c r="AC14" i="53" s="1"/>
  <c r="Z14" i="53"/>
  <c r="X14" i="53"/>
  <c r="V14" i="53"/>
  <c r="S14" i="53"/>
  <c r="T14" i="53" s="1"/>
  <c r="Q14" i="53"/>
  <c r="R14" i="53" s="1"/>
  <c r="O14" i="53"/>
  <c r="P14" i="53" s="1"/>
  <c r="N14" i="53"/>
  <c r="K14" i="53"/>
  <c r="L14" i="53" s="1"/>
  <c r="I14" i="53"/>
  <c r="J14" i="53" s="1"/>
  <c r="D14" i="53"/>
  <c r="C14" i="53"/>
  <c r="B14" i="53"/>
  <c r="BG13" i="53"/>
  <c r="BD13" i="53"/>
  <c r="BA13" i="53"/>
  <c r="BB13" i="53" s="1"/>
  <c r="AX13" i="53"/>
  <c r="AY13" i="53" s="1"/>
  <c r="AV13" i="53"/>
  <c r="AW13" i="53" s="1"/>
  <c r="AT13" i="53"/>
  <c r="AQ13" i="53"/>
  <c r="AR13" i="53" s="1"/>
  <c r="AN13" i="53"/>
  <c r="AO13" i="53" s="1"/>
  <c r="AL13" i="53"/>
  <c r="AM13" i="53" s="1"/>
  <c r="AJ13" i="53"/>
  <c r="AG13" i="53"/>
  <c r="AH13" i="53" s="1"/>
  <c r="AD13" i="53"/>
  <c r="AE13" i="53" s="1"/>
  <c r="AB13" i="53"/>
  <c r="AC13" i="53" s="1"/>
  <c r="Z13" i="53"/>
  <c r="X13" i="53"/>
  <c r="V13" i="53"/>
  <c r="S13" i="53"/>
  <c r="T13" i="53" s="1"/>
  <c r="Q13" i="53"/>
  <c r="R13" i="53" s="1"/>
  <c r="O13" i="53"/>
  <c r="P13" i="53" s="1"/>
  <c r="N13" i="53"/>
  <c r="K13" i="53"/>
  <c r="L13" i="53" s="1"/>
  <c r="J13" i="53"/>
  <c r="D13" i="53"/>
  <c r="C13" i="53"/>
  <c r="B13" i="53"/>
  <c r="BG12" i="53"/>
  <c r="BD12" i="53"/>
  <c r="BA12" i="53"/>
  <c r="BB12" i="53" s="1"/>
  <c r="AX12" i="53"/>
  <c r="AY12" i="53" s="1"/>
  <c r="AV12" i="53"/>
  <c r="AW12" i="53" s="1"/>
  <c r="AT12" i="53"/>
  <c r="AQ12" i="53"/>
  <c r="AR12" i="53" s="1"/>
  <c r="AN12" i="53"/>
  <c r="AO12" i="53" s="1"/>
  <c r="AL12" i="53"/>
  <c r="AM12" i="53" s="1"/>
  <c r="AJ12" i="53"/>
  <c r="AG12" i="53"/>
  <c r="AH12" i="53" s="1"/>
  <c r="AE12" i="53"/>
  <c r="AC12" i="53"/>
  <c r="S12" i="53"/>
  <c r="T12" i="53" s="1"/>
  <c r="Q12" i="53"/>
  <c r="R12" i="53" s="1"/>
  <c r="O12" i="53"/>
  <c r="P12" i="53" s="1"/>
  <c r="M12" i="53"/>
  <c r="N12" i="53" s="1"/>
  <c r="K12" i="53"/>
  <c r="L12" i="53" s="1"/>
  <c r="J12" i="53"/>
  <c r="D12" i="53"/>
  <c r="C12" i="53"/>
  <c r="B12" i="53"/>
  <c r="D11" i="53"/>
  <c r="C11" i="53"/>
  <c r="B11" i="53"/>
  <c r="D10" i="53"/>
  <c r="C10" i="53"/>
  <c r="B10" i="53"/>
  <c r="D9" i="53"/>
  <c r="C9" i="53"/>
  <c r="B9" i="53"/>
  <c r="D8" i="53"/>
  <c r="C8" i="53"/>
  <c r="B8" i="53"/>
  <c r="D7" i="53"/>
  <c r="C7" i="53"/>
  <c r="B7" i="53"/>
  <c r="BG6" i="53"/>
  <c r="BD6" i="53"/>
  <c r="BB6" i="53"/>
  <c r="AY6" i="53"/>
  <c r="AW6" i="53"/>
  <c r="AT6" i="53"/>
  <c r="AR6" i="53"/>
  <c r="AO6" i="53"/>
  <c r="AM6" i="53"/>
  <c r="AJ6" i="53"/>
  <c r="AH6" i="53"/>
  <c r="AE6" i="53"/>
  <c r="AC6" i="53"/>
  <c r="Z6" i="53"/>
  <c r="Y6" i="53"/>
  <c r="T6" i="53"/>
  <c r="R6" i="53"/>
  <c r="P6" i="53"/>
  <c r="N6" i="53"/>
  <c r="L6" i="53"/>
  <c r="J6" i="53"/>
  <c r="AR1" i="53"/>
  <c r="AO1" i="53"/>
  <c r="AO21" i="53" l="1"/>
  <c r="V33" i="53"/>
  <c r="W33" i="53" s="1"/>
  <c r="V35" i="53"/>
  <c r="W35" i="53" s="1"/>
  <c r="V34" i="53"/>
  <c r="W34" i="53" s="1"/>
  <c r="V32" i="53"/>
  <c r="W32" i="53" s="1"/>
  <c r="V28" i="53"/>
  <c r="W28" i="53" s="1"/>
  <c r="W20" i="53"/>
  <c r="V29" i="53"/>
  <c r="W29" i="53" s="1"/>
  <c r="W16" i="53"/>
  <c r="V27" i="53"/>
  <c r="W27" i="53" s="1"/>
  <c r="Z33" i="53"/>
  <c r="AA33" i="53" s="1"/>
  <c r="Z35" i="53"/>
  <c r="AA35" i="53" s="1"/>
  <c r="Z34" i="53"/>
  <c r="AA34" i="53" s="1"/>
  <c r="Z32" i="53"/>
  <c r="AA32" i="53" s="1"/>
  <c r="Z28" i="53"/>
  <c r="AA28" i="53" s="1"/>
  <c r="AA20" i="53"/>
  <c r="Z29" i="53"/>
  <c r="AA29" i="53" s="1"/>
  <c r="AA16" i="53"/>
  <c r="AA14" i="53"/>
  <c r="Z27" i="53"/>
  <c r="AA27" i="53" s="1"/>
  <c r="W6" i="53"/>
  <c r="AA6" i="53"/>
  <c r="AA12" i="53"/>
  <c r="Y13" i="53"/>
  <c r="W14" i="53"/>
  <c r="Y15" i="53"/>
  <c r="X33" i="53"/>
  <c r="Y33" i="53" s="1"/>
  <c r="X35" i="53"/>
  <c r="Y35" i="53" s="1"/>
  <c r="X34" i="53"/>
  <c r="Y34" i="53" s="1"/>
  <c r="X32" i="53"/>
  <c r="Y32" i="53" s="1"/>
  <c r="X28" i="53"/>
  <c r="Y28" i="53" s="1"/>
  <c r="X27" i="53"/>
  <c r="Y27" i="53" s="1"/>
  <c r="Y14" i="53"/>
  <c r="X29" i="53"/>
  <c r="Y29" i="53" s="1"/>
  <c r="Y20" i="53"/>
  <c r="Y16" i="53"/>
  <c r="Y12" i="53"/>
  <c r="W12" i="53"/>
  <c r="W13" i="53"/>
  <c r="AA13" i="53"/>
  <c r="W15" i="53"/>
  <c r="AA15" i="53"/>
  <c r="Y21" i="53"/>
  <c r="BF21" i="53"/>
  <c r="W21" i="53"/>
  <c r="AA21" i="53"/>
  <c r="BG16" i="17"/>
  <c r="BG21" i="53" l="1"/>
  <c r="K13" i="51" l="1"/>
  <c r="AR1" i="51" l="1"/>
  <c r="AO1" i="51"/>
  <c r="AM1" i="51"/>
  <c r="AL25" i="51" l="1"/>
  <c r="AL26" i="51"/>
  <c r="CD35" i="17" l="1"/>
  <c r="CJ33" i="17"/>
  <c r="CJ35" i="17" s="1"/>
  <c r="CE28" i="17"/>
  <c r="CE24" i="17"/>
  <c r="CE17" i="17"/>
  <c r="CC17" i="17"/>
  <c r="CE22" i="17" s="1"/>
  <c r="CQ35" i="15"/>
  <c r="CW33" i="15"/>
  <c r="CW35" i="15" s="1"/>
  <c r="CR28" i="15"/>
  <c r="CR24" i="15"/>
  <c r="CR17" i="15"/>
  <c r="CP17" i="15"/>
  <c r="CR22" i="15" s="1"/>
  <c r="CC38" i="17" l="1"/>
  <c r="CD38" i="17" s="1"/>
  <c r="CE38" i="17" s="1"/>
  <c r="CH6" i="17" s="1"/>
  <c r="CE26" i="17"/>
  <c r="CE35" i="17" s="1"/>
  <c r="CJ16" i="17" s="1"/>
  <c r="CI35" i="17"/>
  <c r="CR26" i="15"/>
  <c r="CR35" i="15" s="1"/>
  <c r="CW16" i="15" s="1"/>
  <c r="CW18" i="15"/>
  <c r="CV35" i="15"/>
  <c r="CW36" i="15"/>
  <c r="CP38" i="15"/>
  <c r="CQ38" i="15" s="1"/>
  <c r="CR38" i="15" s="1"/>
  <c r="CU6" i="15" s="1"/>
  <c r="M16" i="51"/>
  <c r="K16" i="51"/>
  <c r="I16" i="51"/>
  <c r="CJ17" i="17" l="1"/>
  <c r="CI21" i="17" s="1"/>
  <c r="CJ6" i="17"/>
  <c r="CI6" i="17"/>
  <c r="CW6" i="15"/>
  <c r="CV6" i="15"/>
  <c r="CW17" i="15"/>
  <c r="CV21" i="15" s="1"/>
  <c r="E15" i="48"/>
  <c r="CH7" i="17" l="1"/>
  <c r="CH10" i="17"/>
  <c r="CU10" i="15"/>
  <c r="CU7" i="15"/>
  <c r="CJ7" i="17" l="1"/>
  <c r="CI7" i="17"/>
  <c r="CH8" i="17"/>
  <c r="CJ10" i="17"/>
  <c r="CI10" i="17"/>
  <c r="CV10" i="15"/>
  <c r="CW10" i="15"/>
  <c r="U41" i="23" s="1"/>
  <c r="CW7" i="15"/>
  <c r="CV7" i="15"/>
  <c r="CU8" i="15"/>
  <c r="D35" i="57" l="1"/>
  <c r="D38" i="53"/>
  <c r="D35" i="53"/>
  <c r="CH9" i="17"/>
  <c r="CJ8" i="17"/>
  <c r="CI8" i="17"/>
  <c r="CU9" i="15"/>
  <c r="CW8" i="15"/>
  <c r="CV8" i="15"/>
  <c r="AG25" i="51"/>
  <c r="AG26" i="51"/>
  <c r="BF24" i="51"/>
  <c r="CI9" i="17" l="1"/>
  <c r="CJ9" i="17"/>
  <c r="CW9" i="15"/>
  <c r="CV9" i="15"/>
  <c r="S12" i="51"/>
  <c r="O13" i="51"/>
  <c r="S13" i="51"/>
  <c r="BS35" i="17" l="1"/>
  <c r="BY33" i="17"/>
  <c r="BY35" i="17" s="1"/>
  <c r="BT28" i="17"/>
  <c r="BT24" i="17"/>
  <c r="BT17" i="17"/>
  <c r="BR17" i="17"/>
  <c r="BR38" i="17" s="1"/>
  <c r="BS38" i="17" s="1"/>
  <c r="BT38" i="17" s="1"/>
  <c r="AX26" i="51"/>
  <c r="AX25" i="51"/>
  <c r="BF33" i="51"/>
  <c r="BG33" i="51" s="1"/>
  <c r="BC33" i="51"/>
  <c r="BD33" i="51" s="1"/>
  <c r="BA33" i="51"/>
  <c r="BB33" i="51" s="1"/>
  <c r="AX33" i="51"/>
  <c r="AY33" i="51" s="1"/>
  <c r="AV33" i="51"/>
  <c r="AW33" i="51" s="1"/>
  <c r="AS33" i="51"/>
  <c r="AT33" i="51" s="1"/>
  <c r="AR33" i="51"/>
  <c r="AN33" i="51"/>
  <c r="AO33" i="51" s="1"/>
  <c r="AL33" i="51"/>
  <c r="AM33" i="51" s="1"/>
  <c r="AI33" i="51"/>
  <c r="AJ33" i="51" s="1"/>
  <c r="AG33" i="51"/>
  <c r="AH33" i="51" s="1"/>
  <c r="AD33" i="51"/>
  <c r="AE33" i="51" s="1"/>
  <c r="AB33" i="51"/>
  <c r="AC33" i="51" s="1"/>
  <c r="Q33" i="51"/>
  <c r="R33" i="51" s="1"/>
  <c r="N33" i="51"/>
  <c r="K33" i="51"/>
  <c r="L33" i="51" s="1"/>
  <c r="Q32" i="51"/>
  <c r="R32" i="51" s="1"/>
  <c r="N32" i="51"/>
  <c r="K32" i="51"/>
  <c r="L32" i="51" s="1"/>
  <c r="J33" i="51"/>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P52" i="23"/>
  <c r="P53" i="23"/>
  <c r="P54" i="23"/>
  <c r="P55" i="23"/>
  <c r="P56" i="23"/>
  <c r="P57" i="23"/>
  <c r="P58" i="23"/>
  <c r="P59" i="23"/>
  <c r="P60" i="23"/>
  <c r="P61" i="23"/>
  <c r="P62" i="23"/>
  <c r="P63" i="23"/>
  <c r="P64" i="23"/>
  <c r="P65" i="23"/>
  <c r="P66" i="23"/>
  <c r="P67" i="23"/>
  <c r="P68" i="23"/>
  <c r="P69" i="23"/>
  <c r="P70" i="23"/>
  <c r="P71" i="23"/>
  <c r="P72" i="23"/>
  <c r="P73" i="23"/>
  <c r="P74" i="23"/>
  <c r="P75" i="23"/>
  <c r="P76" i="23"/>
  <c r="P77" i="23"/>
  <c r="P78" i="23"/>
  <c r="P79" i="23"/>
  <c r="P80" i="23"/>
  <c r="P81" i="23"/>
  <c r="P82" i="23"/>
  <c r="P83" i="23"/>
  <c r="P84" i="23"/>
  <c r="P85" i="23"/>
  <c r="P86" i="23"/>
  <c r="P87" i="23"/>
  <c r="P88" i="23"/>
  <c r="P89" i="23"/>
  <c r="P90" i="23"/>
  <c r="P91" i="23"/>
  <c r="P92" i="23"/>
  <c r="P93" i="23"/>
  <c r="P94" i="23"/>
  <c r="P95" i="23"/>
  <c r="P96" i="23"/>
  <c r="P97" i="23"/>
  <c r="P98" i="23"/>
  <c r="P99" i="23"/>
  <c r="P100" i="23"/>
  <c r="P101" i="23"/>
  <c r="P102" i="23"/>
  <c r="P103" i="23"/>
  <c r="P104" i="23"/>
  <c r="P13" i="23"/>
  <c r="BF32" i="51"/>
  <c r="BG32" i="51" s="1"/>
  <c r="BC32" i="51"/>
  <c r="BD32" i="51" s="1"/>
  <c r="BA32" i="51"/>
  <c r="BB32" i="51" s="1"/>
  <c r="AX32" i="51"/>
  <c r="AY32" i="51" s="1"/>
  <c r="AV32" i="51"/>
  <c r="AW32" i="51" s="1"/>
  <c r="AS32" i="51"/>
  <c r="AT32" i="51" s="1"/>
  <c r="AQ32" i="51"/>
  <c r="AR32" i="51" s="1"/>
  <c r="AN32" i="51"/>
  <c r="AO32" i="51" s="1"/>
  <c r="AL32" i="51"/>
  <c r="AM32" i="51" s="1"/>
  <c r="AI32" i="51"/>
  <c r="AJ32" i="51" s="1"/>
  <c r="AG32" i="51"/>
  <c r="AH32" i="51" s="1"/>
  <c r="AD32" i="51"/>
  <c r="AE32" i="51" s="1"/>
  <c r="AB32" i="51"/>
  <c r="AC32" i="51" s="1"/>
  <c r="BF29" i="51"/>
  <c r="BG29" i="51" s="1"/>
  <c r="BC29" i="51"/>
  <c r="BD29" i="51" s="1"/>
  <c r="BA29" i="51"/>
  <c r="BB29" i="51" s="1"/>
  <c r="AX29" i="51"/>
  <c r="AY29" i="51" s="1"/>
  <c r="AV29" i="51"/>
  <c r="AW29" i="51" s="1"/>
  <c r="AS29" i="51"/>
  <c r="AT29" i="51" s="1"/>
  <c r="AQ29" i="51"/>
  <c r="AR29" i="51" s="1"/>
  <c r="AN29" i="51"/>
  <c r="AO29" i="51" s="1"/>
  <c r="AL29" i="51"/>
  <c r="AM29" i="51" s="1"/>
  <c r="AI29" i="51"/>
  <c r="AJ29" i="51" s="1"/>
  <c r="AG29" i="51"/>
  <c r="AH29" i="51" s="1"/>
  <c r="AD29" i="51"/>
  <c r="AE29" i="51" s="1"/>
  <c r="AB29" i="51"/>
  <c r="AC29" i="51" s="1"/>
  <c r="Q29" i="51"/>
  <c r="R29" i="51" s="1"/>
  <c r="M29" i="51"/>
  <c r="N29" i="51" s="1"/>
  <c r="K29" i="51"/>
  <c r="L29" i="51" s="1"/>
  <c r="I29" i="51"/>
  <c r="BF28" i="51"/>
  <c r="BG28" i="51" s="1"/>
  <c r="BC28" i="51"/>
  <c r="BD28" i="51" s="1"/>
  <c r="BA28" i="51"/>
  <c r="BB28" i="51" s="1"/>
  <c r="AX28" i="51"/>
  <c r="AY28" i="51" s="1"/>
  <c r="AV28" i="51"/>
  <c r="AW28" i="51" s="1"/>
  <c r="AS28" i="51"/>
  <c r="AT28" i="51" s="1"/>
  <c r="AQ28" i="51"/>
  <c r="AR28" i="51" s="1"/>
  <c r="AN28" i="51"/>
  <c r="AO28" i="51" s="1"/>
  <c r="AL28" i="51"/>
  <c r="AM28" i="51" s="1"/>
  <c r="AI28" i="51"/>
  <c r="AJ28" i="51" s="1"/>
  <c r="AG28" i="51"/>
  <c r="AH28" i="51" s="1"/>
  <c r="AD28" i="51"/>
  <c r="AE28" i="51" s="1"/>
  <c r="AB28" i="51"/>
  <c r="AC28" i="51" s="1"/>
  <c r="Q28" i="51"/>
  <c r="R28" i="51" s="1"/>
  <c r="M28" i="51"/>
  <c r="N28" i="51" s="1"/>
  <c r="K28" i="51"/>
  <c r="L28" i="51" s="1"/>
  <c r="I28" i="51"/>
  <c r="BF27" i="51"/>
  <c r="BG27" i="51" s="1"/>
  <c r="BC27" i="51"/>
  <c r="BD27" i="51" s="1"/>
  <c r="BA27" i="51"/>
  <c r="BB27" i="51" s="1"/>
  <c r="AX27" i="51"/>
  <c r="AY27" i="51" s="1"/>
  <c r="AV27" i="51"/>
  <c r="AW27" i="51" s="1"/>
  <c r="AS27" i="51"/>
  <c r="AT27" i="51" s="1"/>
  <c r="AQ27" i="51"/>
  <c r="AR27" i="51" s="1"/>
  <c r="AN27" i="51"/>
  <c r="AO27" i="51" s="1"/>
  <c r="AL27" i="51"/>
  <c r="AM27" i="51" s="1"/>
  <c r="AI27" i="51"/>
  <c r="AJ27" i="51" s="1"/>
  <c r="AG27" i="51"/>
  <c r="AH27" i="51" s="1"/>
  <c r="AD27" i="51"/>
  <c r="AE27" i="51" s="1"/>
  <c r="AB27" i="51"/>
  <c r="AC27" i="51" s="1"/>
  <c r="Q27" i="51"/>
  <c r="R27" i="51" s="1"/>
  <c r="M27" i="51"/>
  <c r="N27" i="51" s="1"/>
  <c r="K27" i="51"/>
  <c r="L27" i="51" s="1"/>
  <c r="I27" i="51"/>
  <c r="J27" i="51" s="1"/>
  <c r="BX35" i="17" l="1"/>
  <c r="BT22" i="17"/>
  <c r="J32" i="51"/>
  <c r="BT26" i="17" l="1"/>
  <c r="BT35" i="17" s="1"/>
  <c r="BY16" i="17" s="1"/>
  <c r="BW6" i="17"/>
  <c r="BY36" i="17"/>
  <c r="BY17" i="17" l="1"/>
  <c r="BX21" i="17" s="1"/>
  <c r="BX6" i="17"/>
  <c r="BY6" i="17"/>
  <c r="BW7" i="17" l="1"/>
  <c r="BW10" i="17"/>
  <c r="BY7" i="17" l="1"/>
  <c r="BX7" i="17"/>
  <c r="BW8" i="17"/>
  <c r="BX10" i="17"/>
  <c r="BY10" i="17"/>
  <c r="D37" i="53" l="1"/>
  <c r="BW9" i="17"/>
  <c r="BX8" i="17"/>
  <c r="BY8" i="17"/>
  <c r="BY9" i="17" l="1"/>
  <c r="BX9" i="17"/>
  <c r="BG26" i="51" l="1"/>
  <c r="BG25" i="51"/>
  <c r="BG24" i="51"/>
  <c r="BF23" i="51"/>
  <c r="BG23" i="51" s="1"/>
  <c r="BD26" i="51"/>
  <c r="BD25" i="51"/>
  <c r="BC24" i="51"/>
  <c r="BD24" i="51" s="1"/>
  <c r="BC23" i="51"/>
  <c r="BD23" i="51" s="1"/>
  <c r="BA26" i="51"/>
  <c r="BB26" i="51" s="1"/>
  <c r="BA25" i="51"/>
  <c r="BB25" i="51" s="1"/>
  <c r="BA24" i="51"/>
  <c r="BB24" i="51" s="1"/>
  <c r="BA23" i="51"/>
  <c r="BB23" i="51" s="1"/>
  <c r="AY26" i="51"/>
  <c r="AY25" i="51"/>
  <c r="AX24" i="51"/>
  <c r="AY24" i="51" s="1"/>
  <c r="AX23" i="51"/>
  <c r="AY23" i="51" s="1"/>
  <c r="AW26" i="51"/>
  <c r="AV25" i="51"/>
  <c r="AW25" i="51" s="1"/>
  <c r="AV24" i="51"/>
  <c r="AW24" i="51" s="1"/>
  <c r="AV23" i="51"/>
  <c r="AW23" i="51" s="1"/>
  <c r="AT26" i="51"/>
  <c r="AT25" i="51"/>
  <c r="AS24" i="51"/>
  <c r="AT24" i="51" s="1"/>
  <c r="AS23" i="51"/>
  <c r="AT23" i="51" s="1"/>
  <c r="AR26" i="51"/>
  <c r="AR25" i="51"/>
  <c r="AR24" i="51"/>
  <c r="AR23" i="51"/>
  <c r="AN26" i="51"/>
  <c r="AO26" i="51" s="1"/>
  <c r="AN25" i="51"/>
  <c r="AO25" i="51" s="1"/>
  <c r="AN24" i="51"/>
  <c r="AO24" i="51" s="1"/>
  <c r="AN23" i="51"/>
  <c r="AO23" i="51" s="1"/>
  <c r="AM26" i="51"/>
  <c r="AM25" i="51"/>
  <c r="AL24" i="51"/>
  <c r="AM24" i="51" s="1"/>
  <c r="AL23" i="51"/>
  <c r="AM23" i="51" s="1"/>
  <c r="AJ26" i="51"/>
  <c r="AJ25" i="51"/>
  <c r="AI24" i="51"/>
  <c r="AJ24" i="51" s="1"/>
  <c r="AI23" i="51"/>
  <c r="AJ23" i="51" s="1"/>
  <c r="AH26" i="51"/>
  <c r="AH25" i="51"/>
  <c r="AG24" i="51"/>
  <c r="AH24" i="51" s="1"/>
  <c r="AG23" i="51"/>
  <c r="AH23" i="51" s="1"/>
  <c r="AD26" i="51"/>
  <c r="AE26" i="51" s="1"/>
  <c r="AD25" i="51"/>
  <c r="AE25" i="51" s="1"/>
  <c r="AD24" i="51"/>
  <c r="AE24" i="51" s="1"/>
  <c r="AD23" i="51"/>
  <c r="AE23" i="51" s="1"/>
  <c r="AB26" i="51"/>
  <c r="AC26" i="51" s="1"/>
  <c r="AB25" i="51"/>
  <c r="AC25" i="51" s="1"/>
  <c r="AB24" i="51"/>
  <c r="AC24" i="51" s="1"/>
  <c r="AB23" i="51"/>
  <c r="AC23" i="51" s="1"/>
  <c r="Q26" i="51"/>
  <c r="R26" i="51" s="1"/>
  <c r="Q25" i="51"/>
  <c r="R25" i="51" s="1"/>
  <c r="Q24" i="51"/>
  <c r="R24" i="51" s="1"/>
  <c r="Q23" i="51"/>
  <c r="R23" i="51" s="1"/>
  <c r="M26" i="51"/>
  <c r="N26" i="51" s="1"/>
  <c r="N25" i="51"/>
  <c r="M24" i="51"/>
  <c r="N24" i="51" s="1"/>
  <c r="M23" i="51"/>
  <c r="N23" i="51" s="1"/>
  <c r="K26" i="51"/>
  <c r="L26" i="51" s="1"/>
  <c r="K25" i="51"/>
  <c r="L25" i="51" s="1"/>
  <c r="K24" i="51"/>
  <c r="L24" i="51" s="1"/>
  <c r="K23" i="51"/>
  <c r="L23" i="51" s="1"/>
  <c r="I23" i="51"/>
  <c r="I24" i="51"/>
  <c r="J24" i="51" s="1"/>
  <c r="BC21" i="51" l="1"/>
  <c r="BD21" i="51" s="1"/>
  <c r="BA21" i="51"/>
  <c r="BB21" i="51" s="1"/>
  <c r="AX21" i="51"/>
  <c r="AY21" i="51" s="1"/>
  <c r="AW21" i="51"/>
  <c r="AQ21" i="51"/>
  <c r="AR21" i="51" s="1"/>
  <c r="AN21" i="51"/>
  <c r="AO21" i="51" s="1"/>
  <c r="AM21" i="51"/>
  <c r="AI21" i="51"/>
  <c r="BF21" i="51" s="1"/>
  <c r="BG21" i="51" s="1"/>
  <c r="AG21" i="51"/>
  <c r="AH21" i="51" s="1"/>
  <c r="AD21" i="51"/>
  <c r="AE21" i="51" s="1"/>
  <c r="AB21" i="51"/>
  <c r="AC21" i="51" s="1"/>
  <c r="Z21" i="51"/>
  <c r="X21" i="51"/>
  <c r="V21" i="51"/>
  <c r="S21" i="51"/>
  <c r="Q21" i="51"/>
  <c r="R21" i="51" s="1"/>
  <c r="N21" i="51"/>
  <c r="K21" i="51"/>
  <c r="L21" i="51" s="1"/>
  <c r="I21" i="51"/>
  <c r="J21" i="51" s="1"/>
  <c r="BG20" i="51"/>
  <c r="BD20" i="51"/>
  <c r="BB20" i="51"/>
  <c r="AY20" i="51"/>
  <c r="AW20" i="51"/>
  <c r="AT20" i="51"/>
  <c r="AR20" i="51"/>
  <c r="AO20" i="51"/>
  <c r="AM20" i="51"/>
  <c r="AJ20" i="51"/>
  <c r="AH20" i="51"/>
  <c r="AE20" i="51"/>
  <c r="AC20" i="51"/>
  <c r="N20" i="51"/>
  <c r="L20" i="51"/>
  <c r="J20" i="51"/>
  <c r="BC35" i="51"/>
  <c r="BA35" i="51"/>
  <c r="AX35" i="51"/>
  <c r="AV35" i="51"/>
  <c r="AS35" i="51"/>
  <c r="AQ35" i="51"/>
  <c r="AN35" i="51"/>
  <c r="AL35" i="51"/>
  <c r="AI35" i="51"/>
  <c r="AG35" i="51"/>
  <c r="AD35" i="51"/>
  <c r="AD34" i="51"/>
  <c r="AB35" i="51"/>
  <c r="AB34" i="51"/>
  <c r="Q35" i="51"/>
  <c r="M35" i="51"/>
  <c r="K35" i="51"/>
  <c r="AJ21" i="51" l="1"/>
  <c r="AS21" i="51"/>
  <c r="AT21" i="51" s="1"/>
  <c r="D49" i="51"/>
  <c r="C49" i="51"/>
  <c r="B49" i="51"/>
  <c r="C48" i="51"/>
  <c r="B48" i="51"/>
  <c r="C47" i="51"/>
  <c r="B47" i="51"/>
  <c r="D46" i="51"/>
  <c r="C46" i="51"/>
  <c r="B46" i="51"/>
  <c r="D45" i="51"/>
  <c r="C45" i="51"/>
  <c r="B45" i="51"/>
  <c r="D44" i="51"/>
  <c r="C44" i="51"/>
  <c r="B44" i="51"/>
  <c r="D43" i="51"/>
  <c r="C43" i="51"/>
  <c r="B43" i="51"/>
  <c r="D42" i="51"/>
  <c r="C42" i="51"/>
  <c r="B42" i="51"/>
  <c r="D41" i="51"/>
  <c r="C41" i="51"/>
  <c r="B41" i="51"/>
  <c r="D40" i="51"/>
  <c r="C40" i="51"/>
  <c r="B40" i="51"/>
  <c r="D39" i="51"/>
  <c r="C39" i="51"/>
  <c r="B39" i="51"/>
  <c r="D38" i="51"/>
  <c r="C38" i="51"/>
  <c r="B38" i="51"/>
  <c r="D37" i="51"/>
  <c r="C37" i="51"/>
  <c r="B37" i="51"/>
  <c r="C36" i="51"/>
  <c r="B36" i="51"/>
  <c r="D35" i="51"/>
  <c r="C35" i="51"/>
  <c r="B35" i="51"/>
  <c r="C34" i="51"/>
  <c r="B34" i="51"/>
  <c r="D33" i="51"/>
  <c r="C33" i="51"/>
  <c r="B33" i="51"/>
  <c r="D32" i="51"/>
  <c r="C32" i="51"/>
  <c r="B32" i="51"/>
  <c r="BG35" i="51"/>
  <c r="BD35" i="51"/>
  <c r="BB35" i="51"/>
  <c r="AY35" i="51"/>
  <c r="AW35" i="51"/>
  <c r="AT35" i="51"/>
  <c r="AR35" i="51"/>
  <c r="AO35" i="51"/>
  <c r="AM35" i="51"/>
  <c r="AJ35" i="51"/>
  <c r="AH35" i="51"/>
  <c r="AE35" i="51"/>
  <c r="R35" i="51"/>
  <c r="N35" i="51"/>
  <c r="L35" i="51"/>
  <c r="J35" i="51"/>
  <c r="D31" i="51"/>
  <c r="C31" i="51"/>
  <c r="B31" i="51"/>
  <c r="BG34" i="51"/>
  <c r="AE34" i="51"/>
  <c r="AC34" i="51"/>
  <c r="D30" i="51"/>
  <c r="C30" i="51"/>
  <c r="B30" i="51"/>
  <c r="I26" i="51"/>
  <c r="J26" i="51" s="1"/>
  <c r="D29" i="51"/>
  <c r="C29" i="51"/>
  <c r="B29" i="51"/>
  <c r="I25" i="51"/>
  <c r="J25" i="51" s="1"/>
  <c r="D28" i="51"/>
  <c r="C28" i="51"/>
  <c r="B28" i="51"/>
  <c r="J23" i="51"/>
  <c r="C27" i="51"/>
  <c r="B27" i="51"/>
  <c r="C26" i="51"/>
  <c r="B26" i="51"/>
  <c r="D25" i="51"/>
  <c r="C25" i="51"/>
  <c r="B25" i="51"/>
  <c r="C24" i="51"/>
  <c r="B24" i="51"/>
  <c r="D23" i="51"/>
  <c r="C23" i="51"/>
  <c r="B23" i="51"/>
  <c r="D21" i="51"/>
  <c r="C21" i="51"/>
  <c r="B21" i="51"/>
  <c r="D20" i="51"/>
  <c r="C20" i="51"/>
  <c r="B20" i="51"/>
  <c r="D19" i="51"/>
  <c r="C19" i="51"/>
  <c r="B19" i="51"/>
  <c r="D18" i="51"/>
  <c r="C18" i="51"/>
  <c r="B18" i="51"/>
  <c r="BG16" i="51"/>
  <c r="BD16" i="51"/>
  <c r="BB16" i="51"/>
  <c r="AY16" i="51"/>
  <c r="AW16" i="51"/>
  <c r="AT16" i="51"/>
  <c r="AR16" i="51"/>
  <c r="AO16" i="51"/>
  <c r="AM16" i="51"/>
  <c r="AJ16" i="51"/>
  <c r="AH16" i="51"/>
  <c r="AE16" i="51"/>
  <c r="AC16" i="51"/>
  <c r="R16" i="51"/>
  <c r="N16" i="51"/>
  <c r="L16" i="51"/>
  <c r="J16" i="51"/>
  <c r="D17" i="51"/>
  <c r="C17" i="51"/>
  <c r="B17" i="51"/>
  <c r="BG15" i="51"/>
  <c r="BD15" i="51"/>
  <c r="BA15" i="51"/>
  <c r="BB15" i="51" s="1"/>
  <c r="AX15" i="51"/>
  <c r="AY15" i="51" s="1"/>
  <c r="AV15" i="51"/>
  <c r="AW15" i="51" s="1"/>
  <c r="AT15" i="51"/>
  <c r="AQ15" i="51"/>
  <c r="AR15" i="51" s="1"/>
  <c r="AN15" i="51"/>
  <c r="AO15" i="51" s="1"/>
  <c r="AL15" i="51"/>
  <c r="AM15" i="51" s="1"/>
  <c r="AJ15" i="51"/>
  <c r="AG15" i="51"/>
  <c r="AH15" i="51" s="1"/>
  <c r="AD15" i="51"/>
  <c r="AE15" i="51" s="1"/>
  <c r="AB15" i="51"/>
  <c r="AC15" i="51" s="1"/>
  <c r="Z15" i="51"/>
  <c r="X15" i="51"/>
  <c r="V15" i="51"/>
  <c r="S15" i="51"/>
  <c r="Q15" i="51"/>
  <c r="R15" i="51" s="1"/>
  <c r="O15" i="51"/>
  <c r="M15" i="51"/>
  <c r="N15" i="51" s="1"/>
  <c r="K15" i="51"/>
  <c r="L15" i="51" s="1"/>
  <c r="I15" i="51"/>
  <c r="J15" i="51" s="1"/>
  <c r="D16" i="51"/>
  <c r="C16" i="51"/>
  <c r="B16" i="51"/>
  <c r="BG14" i="51"/>
  <c r="BD14" i="51"/>
  <c r="BA14" i="51"/>
  <c r="BB14" i="51" s="1"/>
  <c r="AX14" i="51"/>
  <c r="AY14" i="51" s="1"/>
  <c r="AV14" i="51"/>
  <c r="AW14" i="51" s="1"/>
  <c r="AT14" i="51"/>
  <c r="AQ14" i="51"/>
  <c r="AR14" i="51" s="1"/>
  <c r="AN14" i="51"/>
  <c r="AO14" i="51" s="1"/>
  <c r="AL14" i="51"/>
  <c r="AM14" i="51" s="1"/>
  <c r="AJ14" i="51"/>
  <c r="AG14" i="51"/>
  <c r="AH14" i="51" s="1"/>
  <c r="AD14" i="51"/>
  <c r="AE14" i="51" s="1"/>
  <c r="AB14" i="51"/>
  <c r="AC14" i="51" s="1"/>
  <c r="Z14" i="51"/>
  <c r="X14" i="51"/>
  <c r="V14" i="51"/>
  <c r="S14" i="51"/>
  <c r="Q14" i="51"/>
  <c r="R14" i="51" s="1"/>
  <c r="O14" i="51"/>
  <c r="M14" i="51"/>
  <c r="N14" i="51" s="1"/>
  <c r="K14" i="51"/>
  <c r="L14" i="51" s="1"/>
  <c r="I14" i="51"/>
  <c r="J14" i="51" s="1"/>
  <c r="D15" i="51"/>
  <c r="C15" i="51"/>
  <c r="B15" i="51"/>
  <c r="BG13" i="51"/>
  <c r="BD13" i="51"/>
  <c r="BA13" i="51"/>
  <c r="BB13" i="51" s="1"/>
  <c r="AX13" i="51"/>
  <c r="AY13" i="51" s="1"/>
  <c r="AV13" i="51"/>
  <c r="AW13" i="51" s="1"/>
  <c r="AT13" i="51"/>
  <c r="AQ13" i="51"/>
  <c r="AR13" i="51" s="1"/>
  <c r="AN13" i="51"/>
  <c r="AO13" i="51" s="1"/>
  <c r="AL13" i="51"/>
  <c r="AM13" i="51" s="1"/>
  <c r="AJ13" i="51"/>
  <c r="AG13" i="51"/>
  <c r="AH13" i="51" s="1"/>
  <c r="AE13" i="51"/>
  <c r="AC13" i="51"/>
  <c r="Z13" i="51"/>
  <c r="X13" i="51"/>
  <c r="V13" i="51"/>
  <c r="Q13" i="51"/>
  <c r="R13" i="51" s="1"/>
  <c r="M13" i="51"/>
  <c r="N13" i="51" s="1"/>
  <c r="L13" i="51"/>
  <c r="I13" i="51"/>
  <c r="J13" i="51" s="1"/>
  <c r="D14" i="51"/>
  <c r="C14" i="51"/>
  <c r="B14" i="51"/>
  <c r="BG12" i="51"/>
  <c r="BD12" i="51"/>
  <c r="BA12" i="51"/>
  <c r="BB12" i="51" s="1"/>
  <c r="AX12" i="51"/>
  <c r="AY12" i="51" s="1"/>
  <c r="AV12" i="51"/>
  <c r="AW12" i="51" s="1"/>
  <c r="AT12" i="51"/>
  <c r="AQ12" i="51"/>
  <c r="AR12" i="51" s="1"/>
  <c r="AN12" i="51"/>
  <c r="AO12" i="51" s="1"/>
  <c r="AL12" i="51"/>
  <c r="AM12" i="51" s="1"/>
  <c r="AJ12" i="51"/>
  <c r="AG12" i="51"/>
  <c r="AH12" i="51" s="1"/>
  <c r="AE12" i="51"/>
  <c r="AC12" i="51"/>
  <c r="Q12" i="51"/>
  <c r="R12" i="51" s="1"/>
  <c r="O12" i="51"/>
  <c r="M12" i="51"/>
  <c r="N12" i="51" s="1"/>
  <c r="K12" i="51"/>
  <c r="L12" i="51" s="1"/>
  <c r="I12" i="51"/>
  <c r="J12" i="51" s="1"/>
  <c r="D13" i="51"/>
  <c r="C13" i="51"/>
  <c r="B13" i="51"/>
  <c r="D12" i="51"/>
  <c r="C12" i="51"/>
  <c r="B12" i="51"/>
  <c r="D11" i="51"/>
  <c r="C11" i="51"/>
  <c r="B11" i="51"/>
  <c r="D10" i="51"/>
  <c r="C10" i="51"/>
  <c r="B10" i="51"/>
  <c r="D9" i="51"/>
  <c r="C9" i="51"/>
  <c r="B9" i="51"/>
  <c r="D8" i="51"/>
  <c r="C8" i="51"/>
  <c r="B8" i="51"/>
  <c r="D7" i="51"/>
  <c r="C7" i="51"/>
  <c r="B7" i="51"/>
  <c r="BG6" i="51"/>
  <c r="BD6" i="51"/>
  <c r="BB6" i="51"/>
  <c r="AY6" i="51"/>
  <c r="AW6" i="51"/>
  <c r="AT6" i="51"/>
  <c r="AR6" i="51"/>
  <c r="AO6" i="51"/>
  <c r="AM6" i="51"/>
  <c r="AJ6" i="51"/>
  <c r="AH6" i="51"/>
  <c r="AE6" i="51"/>
  <c r="AC6" i="51"/>
  <c r="Z6" i="51"/>
  <c r="X6" i="51"/>
  <c r="V6" i="51"/>
  <c r="R6" i="51"/>
  <c r="N6" i="51"/>
  <c r="L6" i="51"/>
  <c r="J6" i="51"/>
  <c r="V33" i="51" l="1"/>
  <c r="W33" i="51" s="1"/>
  <c r="V22" i="51"/>
  <c r="W22" i="51" s="1"/>
  <c r="Z33" i="51"/>
  <c r="AA33" i="51" s="1"/>
  <c r="Z22" i="51"/>
  <c r="AA22" i="51" s="1"/>
  <c r="X33" i="51"/>
  <c r="Y33" i="51" s="1"/>
  <c r="X22" i="51"/>
  <c r="Y22" i="51" s="1"/>
  <c r="O32" i="51"/>
  <c r="P32" i="51" s="1"/>
  <c r="O33" i="51"/>
  <c r="P33" i="51" s="1"/>
  <c r="S32" i="51"/>
  <c r="T32" i="51" s="1"/>
  <c r="S33" i="51"/>
  <c r="T33" i="51" s="1"/>
  <c r="T6" i="51"/>
  <c r="S29" i="51"/>
  <c r="T29" i="51" s="1"/>
  <c r="S28" i="51"/>
  <c r="T28" i="51" s="1"/>
  <c r="Y6" i="51"/>
  <c r="X29" i="51"/>
  <c r="Y29" i="51" s="1"/>
  <c r="X32" i="51"/>
  <c r="Y32" i="51" s="1"/>
  <c r="X28" i="51"/>
  <c r="Y28" i="51" s="1"/>
  <c r="O29" i="51"/>
  <c r="P29" i="51" s="1"/>
  <c r="O28" i="51"/>
  <c r="P28" i="51" s="1"/>
  <c r="V29" i="51"/>
  <c r="W29" i="51" s="1"/>
  <c r="V32" i="51"/>
  <c r="W32" i="51" s="1"/>
  <c r="V28" i="51"/>
  <c r="W28" i="51" s="1"/>
  <c r="Z29" i="51"/>
  <c r="AA29" i="51" s="1"/>
  <c r="Z32" i="51"/>
  <c r="AA32" i="51" s="1"/>
  <c r="Z28" i="51"/>
  <c r="AA28" i="51" s="1"/>
  <c r="O27" i="51"/>
  <c r="P27" i="51" s="1"/>
  <c r="P26" i="51"/>
  <c r="O25" i="51"/>
  <c r="P25" i="51" s="1"/>
  <c r="O24" i="51"/>
  <c r="P24" i="51" s="1"/>
  <c r="O23" i="51"/>
  <c r="P23" i="51" s="1"/>
  <c r="P21" i="51"/>
  <c r="P20" i="51"/>
  <c r="V27" i="51"/>
  <c r="W27" i="51" s="1"/>
  <c r="V26" i="51"/>
  <c r="W26" i="51" s="1"/>
  <c r="V25" i="51"/>
  <c r="W25" i="51" s="1"/>
  <c r="V24" i="51"/>
  <c r="W24" i="51" s="1"/>
  <c r="V23" i="51"/>
  <c r="W23" i="51" s="1"/>
  <c r="W20" i="51"/>
  <c r="W21" i="51"/>
  <c r="Z27" i="51"/>
  <c r="AA27" i="51" s="1"/>
  <c r="Z26" i="51"/>
  <c r="AA26" i="51" s="1"/>
  <c r="Z25" i="51"/>
  <c r="AA25" i="51" s="1"/>
  <c r="Z24" i="51"/>
  <c r="AA24" i="51" s="1"/>
  <c r="Z23" i="51"/>
  <c r="AA23" i="51" s="1"/>
  <c r="AA20" i="51"/>
  <c r="AA21" i="51"/>
  <c r="W6" i="51"/>
  <c r="AA6" i="51"/>
  <c r="J29" i="51"/>
  <c r="S27" i="51"/>
  <c r="T27" i="51" s="1"/>
  <c r="S26" i="51"/>
  <c r="T26" i="51" s="1"/>
  <c r="S24" i="51"/>
  <c r="T24" i="51" s="1"/>
  <c r="S25" i="51"/>
  <c r="T25" i="51" s="1"/>
  <c r="S23" i="51"/>
  <c r="T23" i="51" s="1"/>
  <c r="T21" i="51"/>
  <c r="T20" i="51"/>
  <c r="X27" i="51"/>
  <c r="Y27" i="51" s="1"/>
  <c r="X26" i="51"/>
  <c r="Y26" i="51" s="1"/>
  <c r="X25" i="51"/>
  <c r="Y25" i="51" s="1"/>
  <c r="X24" i="51"/>
  <c r="Y24" i="51" s="1"/>
  <c r="X23" i="51"/>
  <c r="Y23" i="51" s="1"/>
  <c r="Y21" i="51"/>
  <c r="Y20" i="51"/>
  <c r="O35" i="51"/>
  <c r="P35" i="51" s="1"/>
  <c r="S35" i="51"/>
  <c r="T35" i="51" s="1"/>
  <c r="V35" i="51"/>
  <c r="W35" i="51" s="1"/>
  <c r="V34" i="51"/>
  <c r="W34" i="51" s="1"/>
  <c r="X35" i="51"/>
  <c r="Y35" i="51" s="1"/>
  <c r="X34" i="51"/>
  <c r="Y34" i="51" s="1"/>
  <c r="Z35" i="51"/>
  <c r="AA35" i="51" s="1"/>
  <c r="Z34" i="51"/>
  <c r="AA34" i="51" s="1"/>
  <c r="P6" i="51"/>
  <c r="W16" i="51"/>
  <c r="W12" i="51"/>
  <c r="AA16" i="51"/>
  <c r="AA12" i="51"/>
  <c r="AC35" i="51"/>
  <c r="P12" i="51"/>
  <c r="T12" i="51"/>
  <c r="W13" i="51"/>
  <c r="Y13" i="51"/>
  <c r="AA13" i="51"/>
  <c r="P14" i="51"/>
  <c r="T14" i="51"/>
  <c r="Y14" i="51"/>
  <c r="P15" i="51"/>
  <c r="T15" i="51"/>
  <c r="W15" i="51"/>
  <c r="Y15" i="51"/>
  <c r="AA15" i="51"/>
  <c r="P16" i="51"/>
  <c r="T16" i="51"/>
  <c r="Y12" i="51"/>
  <c r="W14" i="51"/>
  <c r="AA14" i="51"/>
  <c r="Y16" i="51"/>
  <c r="D8" i="50" l="1"/>
  <c r="G8" i="50" s="1"/>
  <c r="BG7" i="27" l="1"/>
  <c r="D7" i="50"/>
  <c r="G7" i="50" s="1"/>
  <c r="G5" i="50" l="1"/>
  <c r="G4" i="50"/>
  <c r="G3" i="50"/>
  <c r="C11" i="44"/>
  <c r="BO24" i="17" l="1"/>
  <c r="B15" i="48"/>
  <c r="B14" i="48"/>
  <c r="B13" i="48"/>
  <c r="B12" i="48"/>
  <c r="B11" i="48"/>
  <c r="B10" i="48"/>
  <c r="B9" i="48"/>
  <c r="B8" i="48"/>
  <c r="B5" i="48"/>
  <c r="B4" i="48"/>
  <c r="B3" i="48"/>
  <c r="B2" i="48"/>
  <c r="D15" i="48"/>
  <c r="E14" i="48"/>
  <c r="D14" i="48"/>
  <c r="E13" i="48"/>
  <c r="D13" i="48"/>
  <c r="E12" i="48"/>
  <c r="D12" i="48"/>
  <c r="E11" i="48"/>
  <c r="D11" i="48"/>
  <c r="E10" i="48"/>
  <c r="D10" i="48"/>
  <c r="E9" i="48"/>
  <c r="D9" i="48"/>
  <c r="E8" i="48"/>
  <c r="F15" i="48" l="1"/>
  <c r="F10" i="48"/>
  <c r="F12" i="48"/>
  <c r="F14" i="48"/>
  <c r="F9" i="48"/>
  <c r="F11" i="48"/>
  <c r="F13" i="48"/>
  <c r="E5" i="48"/>
  <c r="D5" i="48"/>
  <c r="E4" i="48"/>
  <c r="D4" i="48"/>
  <c r="E3" i="48"/>
  <c r="D3" i="48"/>
  <c r="E2" i="48"/>
  <c r="F3" i="48" l="1"/>
  <c r="F4" i="48"/>
  <c r="F5" i="48"/>
  <c r="BH35" i="17"/>
  <c r="BN35" i="17"/>
  <c r="BI28" i="17"/>
  <c r="BI24" i="17"/>
  <c r="BI17" i="17"/>
  <c r="BM36" i="17" s="1"/>
  <c r="BG17" i="17"/>
  <c r="BG38" i="17" s="1"/>
  <c r="BH38" i="17" s="1"/>
  <c r="BI38" i="17" s="1"/>
  <c r="AA35" i="34"/>
  <c r="AG33" i="34"/>
  <c r="AG35" i="34" s="1"/>
  <c r="AB28" i="34"/>
  <c r="AB24" i="34"/>
  <c r="AB17" i="34"/>
  <c r="Z17" i="34"/>
  <c r="AG16" i="34"/>
  <c r="AG17" i="34" s="1"/>
  <c r="BM37" i="17" l="1"/>
  <c r="AF35" i="34"/>
  <c r="Z38" i="34"/>
  <c r="AA38" i="34" s="1"/>
  <c r="AB38" i="34" s="1"/>
  <c r="BM35" i="17"/>
  <c r="BI22" i="17"/>
  <c r="BN36" i="17" s="1"/>
  <c r="AB22" i="34"/>
  <c r="AO28" i="27"/>
  <c r="W24" i="34" l="1"/>
  <c r="AG36" i="34"/>
  <c r="BD24" i="17"/>
  <c r="D6" i="50"/>
  <c r="G6" i="50" s="1"/>
  <c r="D48" i="51"/>
  <c r="BL6" i="17"/>
  <c r="BI26" i="17"/>
  <c r="BI35" i="17" s="1"/>
  <c r="BN16" i="17" s="1"/>
  <c r="AB26" i="34"/>
  <c r="AG18" i="34"/>
  <c r="AF21" i="34" s="1"/>
  <c r="AE7" i="34" s="1"/>
  <c r="AE6" i="34"/>
  <c r="BN6" i="17" l="1"/>
  <c r="BM6" i="17"/>
  <c r="BN17" i="17"/>
  <c r="BM21" i="17" s="1"/>
  <c r="AE10" i="34"/>
  <c r="AF10" i="34" s="1"/>
  <c r="AF6" i="34"/>
  <c r="AE8" i="34"/>
  <c r="AG6" i="34"/>
  <c r="AG7" i="34"/>
  <c r="AF7" i="34"/>
  <c r="AE6" i="47"/>
  <c r="AE7" i="47" s="1"/>
  <c r="W6" i="47"/>
  <c r="AE28" i="47"/>
  <c r="AF28" i="47" s="1"/>
  <c r="AE14" i="47"/>
  <c r="E49" i="47"/>
  <c r="D49" i="47"/>
  <c r="C49" i="47"/>
  <c r="E48" i="47"/>
  <c r="D48" i="47"/>
  <c r="C48" i="47"/>
  <c r="D47" i="47"/>
  <c r="C47" i="47"/>
  <c r="E46" i="47"/>
  <c r="D46" i="47"/>
  <c r="C46" i="47"/>
  <c r="E45" i="47"/>
  <c r="D45" i="47"/>
  <c r="C45" i="47"/>
  <c r="E44" i="47"/>
  <c r="D44" i="47"/>
  <c r="C44" i="47"/>
  <c r="E43" i="47"/>
  <c r="D43" i="47"/>
  <c r="C43" i="47"/>
  <c r="E42" i="47"/>
  <c r="D42" i="47"/>
  <c r="C42" i="47"/>
  <c r="BB41" i="47"/>
  <c r="BB45" i="47" s="1"/>
  <c r="BB46" i="47" s="1"/>
  <c r="AY41" i="47"/>
  <c r="AY45" i="47" s="1"/>
  <c r="AY46" i="47" s="1"/>
  <c r="AW41" i="47"/>
  <c r="AW45" i="47" s="1"/>
  <c r="AW46" i="47" s="1"/>
  <c r="AR41" i="47"/>
  <c r="AR45" i="47" s="1"/>
  <c r="AR46" i="47" s="1"/>
  <c r="AO41" i="47"/>
  <c r="AO45" i="47" s="1"/>
  <c r="AO46" i="47" s="1"/>
  <c r="AM41" i="47"/>
  <c r="AM45" i="47" s="1"/>
  <c r="AM46" i="47" s="1"/>
  <c r="AH41" i="47"/>
  <c r="AH45" i="47" s="1"/>
  <c r="AH46" i="47" s="1"/>
  <c r="R41" i="47"/>
  <c r="R45" i="47" s="1"/>
  <c r="R46" i="47" s="1"/>
  <c r="N41" i="47"/>
  <c r="N45" i="47" s="1"/>
  <c r="N46" i="47" s="1"/>
  <c r="L41" i="47"/>
  <c r="L45" i="47" s="1"/>
  <c r="L46" i="47" s="1"/>
  <c r="J41" i="47"/>
  <c r="J45" i="47" s="1"/>
  <c r="J46" i="47" s="1"/>
  <c r="E41" i="47"/>
  <c r="D41" i="47"/>
  <c r="C41" i="47"/>
  <c r="E40" i="47"/>
  <c r="D40" i="47"/>
  <c r="C40" i="47"/>
  <c r="E39" i="47"/>
  <c r="D39" i="47"/>
  <c r="C39" i="47"/>
  <c r="E38" i="47"/>
  <c r="D38" i="47"/>
  <c r="C38" i="47"/>
  <c r="BA37" i="47"/>
  <c r="AV37" i="47"/>
  <c r="AQ37" i="47"/>
  <c r="AL37" i="47"/>
  <c r="AG37" i="47"/>
  <c r="E37" i="47"/>
  <c r="D37" i="47"/>
  <c r="C37" i="47"/>
  <c r="BG36" i="47"/>
  <c r="BF36" i="47"/>
  <c r="BD36" i="47"/>
  <c r="BB36" i="47"/>
  <c r="BA36" i="47"/>
  <c r="AY36" i="47"/>
  <c r="AW36" i="47"/>
  <c r="AV36" i="47"/>
  <c r="AT36" i="47"/>
  <c r="AR36" i="47"/>
  <c r="AQ36" i="47"/>
  <c r="AO36" i="47"/>
  <c r="AM36" i="47"/>
  <c r="AL36" i="47"/>
  <c r="AJ36" i="47"/>
  <c r="AH36" i="47"/>
  <c r="AG36" i="47"/>
  <c r="R36" i="47"/>
  <c r="N36" i="47"/>
  <c r="L36" i="47"/>
  <c r="J36" i="47"/>
  <c r="D36" i="47"/>
  <c r="C36" i="47"/>
  <c r="E35" i="47"/>
  <c r="D35" i="47"/>
  <c r="C35" i="47"/>
  <c r="D34" i="47"/>
  <c r="C34" i="47"/>
  <c r="E33" i="47"/>
  <c r="D33" i="47"/>
  <c r="C33" i="47"/>
  <c r="E32" i="47"/>
  <c r="D32" i="47"/>
  <c r="C32" i="47"/>
  <c r="BG31" i="47"/>
  <c r="BH31" i="47" s="1"/>
  <c r="BD31" i="47"/>
  <c r="BE31" i="47" s="1"/>
  <c r="BB31" i="47"/>
  <c r="BC31" i="47" s="1"/>
  <c r="AY31" i="47"/>
  <c r="AZ31" i="47" s="1"/>
  <c r="AW31" i="47"/>
  <c r="AX31" i="47" s="1"/>
  <c r="AT31" i="47"/>
  <c r="AU31" i="47" s="1"/>
  <c r="AR31" i="47"/>
  <c r="AS31" i="47" s="1"/>
  <c r="AO31" i="47"/>
  <c r="AP31" i="47" s="1"/>
  <c r="AM31" i="47"/>
  <c r="AN31" i="47" s="1"/>
  <c r="AJ31" i="47"/>
  <c r="AK31" i="47" s="1"/>
  <c r="AH31" i="47"/>
  <c r="AI31" i="47" s="1"/>
  <c r="R31" i="47"/>
  <c r="S31" i="47" s="1"/>
  <c r="N31" i="47"/>
  <c r="O31" i="47" s="1"/>
  <c r="L31" i="47"/>
  <c r="M31" i="47" s="1"/>
  <c r="J31" i="47"/>
  <c r="K31" i="47" s="1"/>
  <c r="E31" i="47"/>
  <c r="D31" i="47"/>
  <c r="C31" i="47"/>
  <c r="BG30" i="47"/>
  <c r="BH30" i="47" s="1"/>
  <c r="BD30" i="47"/>
  <c r="BE30" i="47" s="1"/>
  <c r="BB30" i="47"/>
  <c r="BC30" i="47" s="1"/>
  <c r="AY30" i="47"/>
  <c r="AZ30" i="47" s="1"/>
  <c r="AW30" i="47"/>
  <c r="AX30" i="47" s="1"/>
  <c r="AT30" i="47"/>
  <c r="AU30" i="47" s="1"/>
  <c r="AR30" i="47"/>
  <c r="AS30" i="47" s="1"/>
  <c r="AO30" i="47"/>
  <c r="AP30" i="47" s="1"/>
  <c r="AM30" i="47"/>
  <c r="AN30" i="47" s="1"/>
  <c r="AJ30" i="47"/>
  <c r="AK30" i="47" s="1"/>
  <c r="AH30" i="47"/>
  <c r="AI30" i="47" s="1"/>
  <c r="AC30" i="47"/>
  <c r="AD30" i="47" s="1"/>
  <c r="R30" i="47"/>
  <c r="S30" i="47" s="1"/>
  <c r="N30" i="47"/>
  <c r="O30" i="47" s="1"/>
  <c r="L30" i="47"/>
  <c r="M30" i="47" s="1"/>
  <c r="J30" i="47"/>
  <c r="K30" i="47" s="1"/>
  <c r="E30" i="47"/>
  <c r="D30" i="47"/>
  <c r="C30" i="47"/>
  <c r="BH29" i="47"/>
  <c r="BE29" i="47"/>
  <c r="BB29" i="47"/>
  <c r="BC29" i="47" s="1"/>
  <c r="AY29" i="47"/>
  <c r="AZ29" i="47" s="1"/>
  <c r="AW29" i="47"/>
  <c r="AX29" i="47" s="1"/>
  <c r="AU29" i="47"/>
  <c r="AR29" i="47"/>
  <c r="AS29" i="47" s="1"/>
  <c r="AO29" i="47"/>
  <c r="AP29" i="47" s="1"/>
  <c r="AM29" i="47"/>
  <c r="AN29" i="47" s="1"/>
  <c r="AK29" i="47"/>
  <c r="AH29" i="47"/>
  <c r="AI29" i="47" s="1"/>
  <c r="AC29" i="47"/>
  <c r="AD29" i="47" s="1"/>
  <c r="R29" i="47"/>
  <c r="S29" i="47" s="1"/>
  <c r="N29" i="47"/>
  <c r="O29" i="47" s="1"/>
  <c r="L29" i="47"/>
  <c r="M29" i="47" s="1"/>
  <c r="J29" i="47"/>
  <c r="K29" i="47" s="1"/>
  <c r="E29" i="47"/>
  <c r="D29" i="47"/>
  <c r="C29" i="47"/>
  <c r="BH28" i="47"/>
  <c r="BE28" i="47"/>
  <c r="BB28" i="47"/>
  <c r="BC28" i="47" s="1"/>
  <c r="AY28" i="47"/>
  <c r="AZ28" i="47" s="1"/>
  <c r="AW28" i="47"/>
  <c r="AX28" i="47" s="1"/>
  <c r="AU28" i="47"/>
  <c r="AR28" i="47"/>
  <c r="AS28" i="47" s="1"/>
  <c r="AO28" i="47"/>
  <c r="AP28" i="47" s="1"/>
  <c r="AM28" i="47"/>
  <c r="AN28" i="47" s="1"/>
  <c r="AK28" i="47"/>
  <c r="AH28" i="47"/>
  <c r="AI28" i="47" s="1"/>
  <c r="AC28" i="47"/>
  <c r="AD28" i="47" s="1"/>
  <c r="R28" i="47"/>
  <c r="S28" i="47" s="1"/>
  <c r="N28" i="47"/>
  <c r="O28" i="47" s="1"/>
  <c r="L28" i="47"/>
  <c r="M28" i="47" s="1"/>
  <c r="J28" i="47"/>
  <c r="K28" i="47" s="1"/>
  <c r="E28" i="47"/>
  <c r="D28" i="47"/>
  <c r="C28" i="47"/>
  <c r="AM27" i="47"/>
  <c r="AN27" i="47" s="1"/>
  <c r="AJ27" i="47"/>
  <c r="AK27" i="47" s="1"/>
  <c r="AH27" i="47"/>
  <c r="AI27" i="47" s="1"/>
  <c r="AE27" i="47"/>
  <c r="AC27" i="47"/>
  <c r="AD27" i="47" s="1"/>
  <c r="AA27" i="47"/>
  <c r="Y27" i="47"/>
  <c r="W27" i="47"/>
  <c r="T27" i="47"/>
  <c r="R27" i="47"/>
  <c r="S27" i="47" s="1"/>
  <c r="O27" i="47"/>
  <c r="L27" i="47"/>
  <c r="M27" i="47" s="1"/>
  <c r="J27" i="47"/>
  <c r="K27" i="47" s="1"/>
  <c r="D27" i="47"/>
  <c r="C27" i="47"/>
  <c r="BD26" i="47"/>
  <c r="BE26" i="47" s="1"/>
  <c r="BB26" i="47"/>
  <c r="BC26" i="47" s="1"/>
  <c r="AY26" i="47"/>
  <c r="AZ26" i="47" s="1"/>
  <c r="AX26" i="47"/>
  <c r="AR26" i="47"/>
  <c r="AS26" i="47" s="1"/>
  <c r="AO26" i="47"/>
  <c r="AP26" i="47" s="1"/>
  <c r="AN26" i="47"/>
  <c r="AJ26" i="47"/>
  <c r="BG26" i="47" s="1"/>
  <c r="BH26" i="47" s="1"/>
  <c r="AH26" i="47"/>
  <c r="AI26" i="47" s="1"/>
  <c r="AE26" i="47"/>
  <c r="AC26" i="47"/>
  <c r="AD26" i="47" s="1"/>
  <c r="AA26" i="47"/>
  <c r="Y26" i="47"/>
  <c r="W26" i="47"/>
  <c r="T26" i="47"/>
  <c r="R26" i="47"/>
  <c r="S26" i="47" s="1"/>
  <c r="O26" i="47"/>
  <c r="L26" i="47"/>
  <c r="M26" i="47" s="1"/>
  <c r="J26" i="47"/>
  <c r="K26" i="47" s="1"/>
  <c r="D26" i="47"/>
  <c r="C26" i="47"/>
  <c r="BH25" i="47"/>
  <c r="BE25" i="47"/>
  <c r="BC25" i="47"/>
  <c r="AZ25" i="47"/>
  <c r="AX25" i="47"/>
  <c r="AU25" i="47"/>
  <c r="AS25" i="47"/>
  <c r="AP25" i="47"/>
  <c r="AN25" i="47"/>
  <c r="AK25" i="47"/>
  <c r="AI25" i="47"/>
  <c r="AF25" i="47"/>
  <c r="AD25" i="47"/>
  <c r="S25" i="47"/>
  <c r="O25" i="47"/>
  <c r="M25" i="47"/>
  <c r="K25" i="47"/>
  <c r="E25" i="47"/>
  <c r="D25" i="47"/>
  <c r="C25" i="47"/>
  <c r="D24" i="47"/>
  <c r="C24" i="47"/>
  <c r="E23" i="47"/>
  <c r="D23" i="47"/>
  <c r="C23" i="47"/>
  <c r="E22" i="47"/>
  <c r="D22" i="47"/>
  <c r="C22" i="47"/>
  <c r="E21" i="47"/>
  <c r="D21" i="47"/>
  <c r="C21" i="47"/>
  <c r="E20" i="47"/>
  <c r="D20" i="47"/>
  <c r="C20" i="47"/>
  <c r="E19" i="47"/>
  <c r="D19" i="47"/>
  <c r="C19" i="47"/>
  <c r="E18" i="47"/>
  <c r="D18" i="47"/>
  <c r="C18" i="47"/>
  <c r="BH17" i="47"/>
  <c r="BE17" i="47"/>
  <c r="BC17" i="47"/>
  <c r="AZ17" i="47"/>
  <c r="AX17" i="47"/>
  <c r="AU17" i="47"/>
  <c r="AS17" i="47"/>
  <c r="AP17" i="47"/>
  <c r="AN17" i="47"/>
  <c r="AK17" i="47"/>
  <c r="AI17" i="47"/>
  <c r="AD17" i="47"/>
  <c r="S17" i="47"/>
  <c r="N17" i="47"/>
  <c r="O17" i="47" s="1"/>
  <c r="L17" i="47"/>
  <c r="M17" i="47" s="1"/>
  <c r="J17" i="47"/>
  <c r="K17" i="47" s="1"/>
  <c r="E17" i="47"/>
  <c r="D17" i="47"/>
  <c r="C17" i="47"/>
  <c r="BH16" i="47"/>
  <c r="BE16" i="47"/>
  <c r="BB16" i="47"/>
  <c r="BC16" i="47" s="1"/>
  <c r="AY16" i="47"/>
  <c r="AZ16" i="47" s="1"/>
  <c r="AW16" i="47"/>
  <c r="AX16" i="47" s="1"/>
  <c r="AU16" i="47"/>
  <c r="AR16" i="47"/>
  <c r="AS16" i="47" s="1"/>
  <c r="AO16" i="47"/>
  <c r="AP16" i="47" s="1"/>
  <c r="AM16" i="47"/>
  <c r="AN16" i="47" s="1"/>
  <c r="AK16" i="47"/>
  <c r="AH16" i="47"/>
  <c r="AI16" i="47" s="1"/>
  <c r="AE16" i="47"/>
  <c r="AC16" i="47"/>
  <c r="AD16" i="47" s="1"/>
  <c r="AA16" i="47"/>
  <c r="Y16" i="47"/>
  <c r="W16" i="47"/>
  <c r="T16" i="47"/>
  <c r="R16" i="47"/>
  <c r="S16" i="47" s="1"/>
  <c r="P16" i="47"/>
  <c r="N16" i="47"/>
  <c r="O16" i="47" s="1"/>
  <c r="L16" i="47"/>
  <c r="M16" i="47" s="1"/>
  <c r="J16" i="47"/>
  <c r="K16" i="47" s="1"/>
  <c r="E16" i="47"/>
  <c r="D16" i="47"/>
  <c r="C16" i="47"/>
  <c r="BH15" i="47"/>
  <c r="BE15" i="47"/>
  <c r="BB15" i="47"/>
  <c r="BC15" i="47" s="1"/>
  <c r="AY15" i="47"/>
  <c r="AZ15" i="47" s="1"/>
  <c r="AW15" i="47"/>
  <c r="AX15" i="47" s="1"/>
  <c r="AU15" i="47"/>
  <c r="AR15" i="47"/>
  <c r="AS15" i="47" s="1"/>
  <c r="AO15" i="47"/>
  <c r="AP15" i="47" s="1"/>
  <c r="AM15" i="47"/>
  <c r="AN15" i="47" s="1"/>
  <c r="AK15" i="47"/>
  <c r="AH15" i="47"/>
  <c r="AI15" i="47" s="1"/>
  <c r="AE15" i="47"/>
  <c r="AC15" i="47"/>
  <c r="AD15" i="47" s="1"/>
  <c r="AA15" i="47"/>
  <c r="Y15" i="47"/>
  <c r="W15" i="47"/>
  <c r="T15" i="47"/>
  <c r="R15" i="47"/>
  <c r="S15" i="47" s="1"/>
  <c r="P15" i="47"/>
  <c r="N15" i="47"/>
  <c r="O15" i="47" s="1"/>
  <c r="L15" i="47"/>
  <c r="M15" i="47" s="1"/>
  <c r="J15" i="47"/>
  <c r="K15" i="47" s="1"/>
  <c r="E15" i="47"/>
  <c r="D15" i="47"/>
  <c r="C15" i="47"/>
  <c r="BH14" i="47"/>
  <c r="BE14" i="47"/>
  <c r="BB14" i="47"/>
  <c r="BC14" i="47" s="1"/>
  <c r="AY14" i="47"/>
  <c r="AZ14" i="47" s="1"/>
  <c r="AW14" i="47"/>
  <c r="AX14" i="47" s="1"/>
  <c r="AU14" i="47"/>
  <c r="AR14" i="47"/>
  <c r="AS14" i="47" s="1"/>
  <c r="AO14" i="47"/>
  <c r="AP14" i="47" s="1"/>
  <c r="AM14" i="47"/>
  <c r="AN14" i="47" s="1"/>
  <c r="AK14" i="47"/>
  <c r="AH14" i="47"/>
  <c r="AI14" i="47" s="1"/>
  <c r="AC14" i="47"/>
  <c r="AA14" i="47"/>
  <c r="Y14" i="47"/>
  <c r="W14" i="47"/>
  <c r="R14" i="47"/>
  <c r="S14" i="47" s="1"/>
  <c r="N14" i="47"/>
  <c r="O14" i="47" s="1"/>
  <c r="L14" i="47"/>
  <c r="M14" i="47" s="1"/>
  <c r="J14" i="47"/>
  <c r="K14" i="47" s="1"/>
  <c r="E14" i="47"/>
  <c r="D14" i="47"/>
  <c r="C14" i="47"/>
  <c r="BH13" i="47"/>
  <c r="BE13" i="47"/>
  <c r="BB13" i="47"/>
  <c r="BC13" i="47" s="1"/>
  <c r="AY13" i="47"/>
  <c r="AZ13" i="47" s="1"/>
  <c r="AW13" i="47"/>
  <c r="AX13" i="47" s="1"/>
  <c r="AU13" i="47"/>
  <c r="AR13" i="47"/>
  <c r="AS13" i="47" s="1"/>
  <c r="AO13" i="47"/>
  <c r="AP13" i="47" s="1"/>
  <c r="AM13" i="47"/>
  <c r="AN13" i="47" s="1"/>
  <c r="AK13" i="47"/>
  <c r="AH13" i="47"/>
  <c r="AI13" i="47" s="1"/>
  <c r="AD13" i="47"/>
  <c r="T13" i="47"/>
  <c r="R13" i="47"/>
  <c r="S13" i="47" s="1"/>
  <c r="P13" i="47"/>
  <c r="N13" i="47"/>
  <c r="O13" i="47" s="1"/>
  <c r="L13" i="47"/>
  <c r="M13" i="47" s="1"/>
  <c r="J13" i="47"/>
  <c r="K13" i="47" s="1"/>
  <c r="E13" i="47"/>
  <c r="D13" i="47"/>
  <c r="C13" i="47"/>
  <c r="E12" i="47"/>
  <c r="D12" i="47"/>
  <c r="C12" i="47"/>
  <c r="E11" i="47"/>
  <c r="D11" i="47"/>
  <c r="C11" i="47"/>
  <c r="E10" i="47"/>
  <c r="D10" i="47"/>
  <c r="C10" i="47"/>
  <c r="E9" i="47"/>
  <c r="D9" i="47"/>
  <c r="C9" i="47"/>
  <c r="E8" i="47"/>
  <c r="D8" i="47"/>
  <c r="C8" i="47"/>
  <c r="BH7" i="47"/>
  <c r="BD7" i="47"/>
  <c r="BB7" i="47"/>
  <c r="AY7" i="47"/>
  <c r="AW7" i="47"/>
  <c r="AT7" i="47"/>
  <c r="AR7" i="47"/>
  <c r="AO7" i="47"/>
  <c r="AM7" i="47"/>
  <c r="AJ7" i="47"/>
  <c r="AH7" i="47"/>
  <c r="AC7" i="47"/>
  <c r="R7" i="47"/>
  <c r="N7" i="47"/>
  <c r="L7" i="47"/>
  <c r="J7" i="47"/>
  <c r="E7" i="47"/>
  <c r="D7" i="47"/>
  <c r="C7" i="47"/>
  <c r="BH6" i="47"/>
  <c r="BE6" i="47"/>
  <c r="BE36" i="47" s="1"/>
  <c r="BC6" i="47"/>
  <c r="BC36" i="47" s="1"/>
  <c r="AZ6" i="47"/>
  <c r="AZ36" i="47" s="1"/>
  <c r="AX6" i="47"/>
  <c r="AX36" i="47" s="1"/>
  <c r="AU6" i="47"/>
  <c r="AU36" i="47" s="1"/>
  <c r="AS6" i="47"/>
  <c r="AS36" i="47" s="1"/>
  <c r="AP6" i="47"/>
  <c r="AP36" i="47" s="1"/>
  <c r="AN6" i="47"/>
  <c r="AN36" i="47" s="1"/>
  <c r="AK6" i="47"/>
  <c r="AK36" i="47" s="1"/>
  <c r="AI6" i="47"/>
  <c r="AI36" i="47" s="1"/>
  <c r="AD6" i="47"/>
  <c r="AA6" i="47"/>
  <c r="Y6" i="47"/>
  <c r="T6" i="47"/>
  <c r="S6" i="47"/>
  <c r="S36" i="47" s="1"/>
  <c r="P6" i="47"/>
  <c r="Q17" i="47" s="1"/>
  <c r="O6" i="47"/>
  <c r="O36" i="47" s="1"/>
  <c r="M6" i="47"/>
  <c r="M36" i="47" s="1"/>
  <c r="K6" i="47"/>
  <c r="K36" i="47" s="1"/>
  <c r="AK26" i="47" l="1"/>
  <c r="AV38" i="47"/>
  <c r="AL38" i="47"/>
  <c r="U13" i="47"/>
  <c r="Q16" i="47"/>
  <c r="P7" i="47"/>
  <c r="Q7" i="47" s="1"/>
  <c r="Q13" i="47"/>
  <c r="Q6" i="47"/>
  <c r="Q36" i="47" s="1"/>
  <c r="U16" i="47"/>
  <c r="BG27" i="47"/>
  <c r="BH27" i="47" s="1"/>
  <c r="AG10" i="34"/>
  <c r="U40" i="23" s="1"/>
  <c r="BL7" i="17"/>
  <c r="BL10" i="17"/>
  <c r="AE9" i="34"/>
  <c r="AF8" i="34"/>
  <c r="AG8" i="34"/>
  <c r="AD14" i="47"/>
  <c r="Z16" i="47"/>
  <c r="X16" i="47"/>
  <c r="AB16" i="47"/>
  <c r="AF15" i="47"/>
  <c r="AE29" i="47"/>
  <c r="AF29" i="47" s="1"/>
  <c r="AE30" i="47"/>
  <c r="AF30" i="47" s="1"/>
  <c r="AE31" i="47"/>
  <c r="AF31" i="47" s="1"/>
  <c r="AF6" i="47"/>
  <c r="AF13" i="47"/>
  <c r="AF16" i="47"/>
  <c r="AF17" i="47"/>
  <c r="AF26" i="47"/>
  <c r="AF27" i="47"/>
  <c r="AF14" i="47"/>
  <c r="T36" i="47"/>
  <c r="T30" i="47"/>
  <c r="U30" i="47" s="1"/>
  <c r="T28" i="47"/>
  <c r="U28" i="47" s="1"/>
  <c r="U25" i="47"/>
  <c r="T31" i="47"/>
  <c r="U31" i="47" s="1"/>
  <c r="T29" i="47"/>
  <c r="U29" i="47" s="1"/>
  <c r="U26" i="47"/>
  <c r="Y30" i="47"/>
  <c r="Z30" i="47" s="1"/>
  <c r="Y28" i="47"/>
  <c r="Z28" i="47" s="1"/>
  <c r="Z25" i="47"/>
  <c r="Y31" i="47"/>
  <c r="Z31" i="47" s="1"/>
  <c r="Y29" i="47"/>
  <c r="Z29" i="47" s="1"/>
  <c r="Z26" i="47"/>
  <c r="W7" i="47"/>
  <c r="X14" i="47" s="1"/>
  <c r="AA7" i="47"/>
  <c r="AB14" i="47" s="1"/>
  <c r="Z13" i="47"/>
  <c r="U17" i="47"/>
  <c r="Z17" i="47"/>
  <c r="W30" i="47"/>
  <c r="X30" i="47" s="1"/>
  <c r="W28" i="47"/>
  <c r="X28" i="47" s="1"/>
  <c r="X26" i="47"/>
  <c r="W31" i="47"/>
  <c r="X31" i="47" s="1"/>
  <c r="W29" i="47"/>
  <c r="X29" i="47" s="1"/>
  <c r="X25" i="47"/>
  <c r="AA30" i="47"/>
  <c r="AB30" i="47" s="1"/>
  <c r="AA28" i="47"/>
  <c r="AB28" i="47" s="1"/>
  <c r="AB26" i="47"/>
  <c r="AB25" i="47"/>
  <c r="AA31" i="47"/>
  <c r="AB31" i="47" s="1"/>
  <c r="AA29" i="47"/>
  <c r="AB29" i="47" s="1"/>
  <c r="T7" i="47"/>
  <c r="Y7" i="47"/>
  <c r="Z14" i="47" s="1"/>
  <c r="AC31" i="47"/>
  <c r="AD31" i="47" s="1"/>
  <c r="P36" i="47"/>
  <c r="P30" i="47"/>
  <c r="Q30" i="47" s="1"/>
  <c r="P28" i="47"/>
  <c r="Q27" i="47"/>
  <c r="Q25" i="47"/>
  <c r="P31" i="47"/>
  <c r="Q31" i="47" s="1"/>
  <c r="P29" i="47"/>
  <c r="Q29" i="47" s="1"/>
  <c r="Q26" i="47"/>
  <c r="U6" i="47"/>
  <c r="U36" i="47" s="1"/>
  <c r="X6" i="47"/>
  <c r="Z6" i="47"/>
  <c r="AB6" i="47"/>
  <c r="K7" i="47"/>
  <c r="M7" i="47"/>
  <c r="O7" i="47"/>
  <c r="S7" i="47"/>
  <c r="AD7" i="47"/>
  <c r="AF7" i="47"/>
  <c r="AI7" i="47"/>
  <c r="AK7" i="47"/>
  <c r="AN7" i="47"/>
  <c r="AP7" i="47"/>
  <c r="AS7" i="47"/>
  <c r="AU7" i="47"/>
  <c r="AX7" i="47"/>
  <c r="AZ7" i="47"/>
  <c r="BC7" i="47"/>
  <c r="BE7" i="47"/>
  <c r="X13" i="47"/>
  <c r="AB13" i="47"/>
  <c r="Q15" i="47"/>
  <c r="U15" i="47"/>
  <c r="X15" i="47"/>
  <c r="Z15" i="47"/>
  <c r="AB15" i="47"/>
  <c r="X17" i="47"/>
  <c r="AB17" i="47"/>
  <c r="X27" i="47"/>
  <c r="AB27" i="47"/>
  <c r="AO27" i="47"/>
  <c r="AT26" i="47"/>
  <c r="AU26" i="47" s="1"/>
  <c r="U27" i="47"/>
  <c r="Z27" i="47"/>
  <c r="AR27" i="47"/>
  <c r="AS27" i="47" s="1"/>
  <c r="AW27" i="47"/>
  <c r="AG38" i="47"/>
  <c r="AQ38" i="47"/>
  <c r="BA38" i="47"/>
  <c r="L42" i="47"/>
  <c r="AM42" i="47"/>
  <c r="AY42" i="47"/>
  <c r="L43" i="47"/>
  <c r="L44" i="47" s="1"/>
  <c r="AM43" i="47"/>
  <c r="AM44" i="47" s="1"/>
  <c r="AY43" i="47"/>
  <c r="AY44" i="47" s="1"/>
  <c r="R42" i="47"/>
  <c r="AR42" i="47"/>
  <c r="R43" i="47"/>
  <c r="R44" i="47" s="1"/>
  <c r="AR43" i="47"/>
  <c r="AR44" i="47" s="1"/>
  <c r="J42" i="47"/>
  <c r="N42" i="47"/>
  <c r="AH42" i="47"/>
  <c r="AO42" i="47"/>
  <c r="AW42" i="47"/>
  <c r="BB42" i="47"/>
  <c r="J43" i="47"/>
  <c r="J44" i="47" s="1"/>
  <c r="N43" i="47"/>
  <c r="N44" i="47" s="1"/>
  <c r="AH43" i="47"/>
  <c r="AH44" i="47" s="1"/>
  <c r="AO43" i="47"/>
  <c r="AO44" i="47" s="1"/>
  <c r="AW43" i="47"/>
  <c r="AW44" i="47" s="1"/>
  <c r="BB43" i="47"/>
  <c r="BB44" i="47" s="1"/>
  <c r="Q65" i="23"/>
  <c r="Q66" i="23"/>
  <c r="Q67" i="23"/>
  <c r="Q68" i="23"/>
  <c r="Q69" i="23"/>
  <c r="Q70" i="23"/>
  <c r="Q71" i="23"/>
  <c r="Q72" i="23"/>
  <c r="Q73" i="23"/>
  <c r="Q74" i="23"/>
  <c r="Q75" i="23"/>
  <c r="Q76" i="23"/>
  <c r="Q77" i="23"/>
  <c r="Q78" i="23"/>
  <c r="Q79" i="23"/>
  <c r="Q80" i="23"/>
  <c r="Q81" i="23"/>
  <c r="D34" i="57" l="1"/>
  <c r="G27" i="37"/>
  <c r="D34" i="53"/>
  <c r="D34" i="51"/>
  <c r="E34" i="47"/>
  <c r="BN10" i="17"/>
  <c r="BM10" i="17"/>
  <c r="BM7" i="17"/>
  <c r="BN7" i="17"/>
  <c r="BL8" i="17"/>
  <c r="AG9" i="34"/>
  <c r="AF9" i="34"/>
  <c r="AX27" i="47"/>
  <c r="BB27" i="47"/>
  <c r="BC27" i="47" s="1"/>
  <c r="AY27" i="47"/>
  <c r="AZ27" i="47" s="1"/>
  <c r="BD27" i="47" s="1"/>
  <c r="BE27" i="47" s="1"/>
  <c r="AP27" i="47"/>
  <c r="AT27" i="47"/>
  <c r="AU27" i="47" s="1"/>
  <c r="U7" i="47"/>
  <c r="AB7" i="47"/>
  <c r="Q28" i="47"/>
  <c r="Z7" i="47"/>
  <c r="X7" i="47"/>
  <c r="P6" i="27"/>
  <c r="T6" i="27"/>
  <c r="D36" i="51" l="1"/>
  <c r="E36" i="47"/>
  <c r="E47" i="47"/>
  <c r="D47" i="51"/>
  <c r="BN8" i="17"/>
  <c r="BL9" i="17"/>
  <c r="BM8" i="17"/>
  <c r="BM9" i="17" l="1"/>
  <c r="BN9" i="17"/>
  <c r="BB41" i="27"/>
  <c r="AY41" i="27"/>
  <c r="AW41" i="27"/>
  <c r="D24" i="51" l="1"/>
  <c r="E24" i="47"/>
  <c r="AY42" i="27"/>
  <c r="AY43" i="27"/>
  <c r="AY44" i="27" s="1"/>
  <c r="BB42" i="27"/>
  <c r="BB43" i="27"/>
  <c r="BB44" i="27" s="1"/>
  <c r="AW45" i="27"/>
  <c r="AW46" i="27" s="1"/>
  <c r="AW43" i="27"/>
  <c r="AW44" i="27" s="1"/>
  <c r="AW42" i="27"/>
  <c r="BB45" i="27"/>
  <c r="BB46" i="27" s="1"/>
  <c r="AY45" i="27"/>
  <c r="AY46" i="27" s="1"/>
  <c r="Q27" i="27"/>
  <c r="T15" i="27"/>
  <c r="T13" i="27"/>
  <c r="R27" i="27"/>
  <c r="S27" i="27" s="1"/>
  <c r="R26" i="27"/>
  <c r="S26" i="27" s="1"/>
  <c r="R31" i="27"/>
  <c r="S31" i="27" s="1"/>
  <c r="R30" i="27"/>
  <c r="S30" i="27" s="1"/>
  <c r="R29" i="27"/>
  <c r="S29" i="27" s="1"/>
  <c r="R28" i="27"/>
  <c r="S28" i="27" s="1"/>
  <c r="S25" i="27"/>
  <c r="S17" i="27"/>
  <c r="R16" i="27"/>
  <c r="S16" i="27" s="1"/>
  <c r="R15" i="27"/>
  <c r="S15" i="27" s="1"/>
  <c r="R14" i="27"/>
  <c r="S14" i="27" s="1"/>
  <c r="R13" i="27"/>
  <c r="S13" i="27" s="1"/>
  <c r="R7" i="27"/>
  <c r="S6" i="27"/>
  <c r="P15" i="27"/>
  <c r="Q15" i="27" s="1"/>
  <c r="P13" i="27"/>
  <c r="P31" i="27"/>
  <c r="Q31" i="27" s="1"/>
  <c r="P30" i="27"/>
  <c r="Q30" i="27" s="1"/>
  <c r="P29" i="27"/>
  <c r="Q29" i="27" s="1"/>
  <c r="P28" i="27"/>
  <c r="Q28" i="27" s="1"/>
  <c r="Q26" i="27"/>
  <c r="Q17" i="27"/>
  <c r="P16" i="27"/>
  <c r="Q6" i="27"/>
  <c r="P14" i="47" l="1"/>
  <c r="Q14" i="47" s="1"/>
  <c r="P13" i="51"/>
  <c r="T14" i="47"/>
  <c r="U14" i="47" s="1"/>
  <c r="T13" i="51"/>
  <c r="P14" i="27"/>
  <c r="Q14" i="27" s="1"/>
  <c r="T14" i="27"/>
  <c r="P7" i="27"/>
  <c r="Q7" i="27" s="1"/>
  <c r="Q16" i="27"/>
  <c r="Q25" i="27"/>
  <c r="Q13" i="27"/>
  <c r="S7" i="27"/>
  <c r="AR29" i="27" l="1"/>
  <c r="AS29" i="27" s="1"/>
  <c r="AR28" i="27"/>
  <c r="AS28" i="27" s="1"/>
  <c r="AG36" i="27" l="1"/>
  <c r="AG37" i="27" l="1"/>
  <c r="AG38" i="27" s="1"/>
  <c r="AA6" i="27" l="1"/>
  <c r="Y6" i="27"/>
  <c r="W6" i="27"/>
  <c r="BG30" i="27" l="1"/>
  <c r="BG31" i="27"/>
  <c r="C49" i="27" l="1"/>
  <c r="D49" i="27"/>
  <c r="E49" i="27"/>
  <c r="BB29" i="27" l="1"/>
  <c r="BB28" i="27"/>
  <c r="AY29" i="27"/>
  <c r="AY28" i="27"/>
  <c r="AW29" i="27"/>
  <c r="AW28" i="27"/>
  <c r="AM28" i="27"/>
  <c r="AH29" i="27"/>
  <c r="AH28" i="27"/>
  <c r="AE29" i="27"/>
  <c r="AE28" i="27"/>
  <c r="AC29" i="27"/>
  <c r="AC28" i="27"/>
  <c r="AA29" i="27"/>
  <c r="AA28" i="27"/>
  <c r="Y29" i="27"/>
  <c r="Y28" i="27"/>
  <c r="W29" i="27"/>
  <c r="W28" i="27"/>
  <c r="T29" i="27"/>
  <c r="T28" i="27"/>
  <c r="J29" i="27"/>
  <c r="J28" i="27"/>
  <c r="L29" i="27"/>
  <c r="L28" i="27"/>
  <c r="N29" i="27"/>
  <c r="N28" i="27"/>
  <c r="BD26" i="27"/>
  <c r="C11" i="28"/>
  <c r="C12" i="28"/>
  <c r="C14" i="44"/>
  <c r="C16" i="44" s="1"/>
  <c r="BB15" i="27"/>
  <c r="BB14" i="27"/>
  <c r="BB13" i="27"/>
  <c r="BD31" i="27"/>
  <c r="BE31" i="27" s="1"/>
  <c r="BD30" i="27"/>
  <c r="BE30" i="27" s="1"/>
  <c r="BE25" i="27"/>
  <c r="BE17" i="27"/>
  <c r="BE16" i="27"/>
  <c r="BE15" i="27"/>
  <c r="BE14" i="27"/>
  <c r="BE13" i="27"/>
  <c r="BD7" i="27"/>
  <c r="BE6" i="27"/>
  <c r="AY16" i="27"/>
  <c r="AW16" i="27"/>
  <c r="AY15" i="27"/>
  <c r="AY14" i="27"/>
  <c r="AY13" i="27"/>
  <c r="AW15" i="27"/>
  <c r="AW14" i="27"/>
  <c r="AW13" i="27"/>
  <c r="AT7" i="27"/>
  <c r="AJ7" i="27"/>
  <c r="C13" i="28" l="1"/>
  <c r="BE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7" i="27"/>
  <c r="J16" i="27"/>
  <c r="Q29" i="37" l="1"/>
  <c r="E28" i="37"/>
  <c r="E27" i="37"/>
  <c r="Q28" i="37"/>
  <c r="E15" i="37"/>
  <c r="E14" i="37"/>
  <c r="E21" i="37"/>
  <c r="E20" i="37"/>
  <c r="AT31" i="27"/>
  <c r="AU31" i="27" s="1"/>
  <c r="AT30" i="27"/>
  <c r="AU30" i="27" s="1"/>
  <c r="AU25" i="27"/>
  <c r="AU17" i="27"/>
  <c r="AU16" i="27"/>
  <c r="AU15" i="27"/>
  <c r="AU14" i="27"/>
  <c r="AU13" i="27"/>
  <c r="AU6" i="27"/>
  <c r="AR15" i="27"/>
  <c r="AR14" i="27"/>
  <c r="AR13" i="27"/>
  <c r="AO15" i="27"/>
  <c r="AO14" i="27"/>
  <c r="AO13" i="27"/>
  <c r="AM15" i="27"/>
  <c r="AM14" i="27"/>
  <c r="AM13" i="27"/>
  <c r="AH15" i="27"/>
  <c r="AH14" i="27"/>
  <c r="AH13" i="27"/>
  <c r="AE15" i="27"/>
  <c r="AE14" i="27"/>
  <c r="AC15" i="27"/>
  <c r="AC14" i="27"/>
  <c r="AA15" i="27"/>
  <c r="AA14" i="27"/>
  <c r="Y15" i="27"/>
  <c r="Y14" i="27"/>
  <c r="W15" i="27"/>
  <c r="W14" i="27"/>
  <c r="N15" i="27"/>
  <c r="N14" i="27"/>
  <c r="N13" i="27"/>
  <c r="L15" i="27"/>
  <c r="L14" i="27"/>
  <c r="L13" i="27"/>
  <c r="J15" i="27"/>
  <c r="J14" i="27"/>
  <c r="J13" i="27"/>
  <c r="AU7" i="27" l="1"/>
  <c r="C39" i="27"/>
  <c r="E39" i="27"/>
  <c r="C40" i="27"/>
  <c r="E40" i="27"/>
  <c r="C41" i="27"/>
  <c r="E41" i="27"/>
  <c r="C42" i="27"/>
  <c r="E42" i="27"/>
  <c r="C43" i="27"/>
  <c r="E43" i="27"/>
  <c r="C44" i="27"/>
  <c r="E44" i="27"/>
  <c r="C45" i="27"/>
  <c r="E45" i="27"/>
  <c r="C46" i="27"/>
  <c r="E46" i="27"/>
  <c r="C47" i="27"/>
  <c r="E47" i="27"/>
  <c r="C48" i="27"/>
  <c r="E48" i="27"/>
  <c r="I49" i="42"/>
  <c r="I48" i="42"/>
  <c r="D48" i="42"/>
  <c r="C48" i="42"/>
  <c r="I47" i="42"/>
  <c r="D47" i="42"/>
  <c r="C47" i="42"/>
  <c r="I46" i="42"/>
  <c r="D46" i="42"/>
  <c r="C46" i="42"/>
  <c r="I45" i="42"/>
  <c r="D45" i="42"/>
  <c r="C45" i="42"/>
  <c r="I44" i="42"/>
  <c r="D44" i="42"/>
  <c r="C44" i="42"/>
  <c r="I43" i="42"/>
  <c r="D43" i="42"/>
  <c r="C43" i="42"/>
  <c r="I42" i="42"/>
  <c r="D42" i="42"/>
  <c r="C42" i="42"/>
  <c r="I41" i="42"/>
  <c r="D41" i="42"/>
  <c r="C41" i="42"/>
  <c r="I40" i="42"/>
  <c r="D40" i="42"/>
  <c r="C40" i="42"/>
  <c r="D39" i="42"/>
  <c r="C39" i="42"/>
  <c r="D38" i="42"/>
  <c r="C38" i="42"/>
  <c r="D37" i="42"/>
  <c r="C37" i="42"/>
  <c r="D36" i="42"/>
  <c r="C36" i="42"/>
  <c r="D35" i="42"/>
  <c r="C35" i="42"/>
  <c r="D34" i="42"/>
  <c r="C34" i="42"/>
  <c r="BQ33" i="42"/>
  <c r="BR33" i="42" s="1"/>
  <c r="BM33" i="42"/>
  <c r="BN33" i="42" s="1"/>
  <c r="BJ33" i="42"/>
  <c r="BK33" i="42" s="1"/>
  <c r="BG33" i="42"/>
  <c r="BH33" i="42" s="1"/>
  <c r="BC33" i="42"/>
  <c r="BD33" i="42" s="1"/>
  <c r="AZ33" i="42"/>
  <c r="BA33" i="42" s="1"/>
  <c r="AW33" i="42"/>
  <c r="AX33" i="42" s="1"/>
  <c r="AS33" i="42"/>
  <c r="AT33" i="42" s="1"/>
  <c r="AP33" i="42"/>
  <c r="AQ33" i="42" s="1"/>
  <c r="AL33" i="42"/>
  <c r="AM33" i="42" s="1"/>
  <c r="AF33" i="42"/>
  <c r="AG33" i="42" s="1"/>
  <c r="AC33" i="42"/>
  <c r="AD33" i="42" s="1"/>
  <c r="Z33" i="42"/>
  <c r="AA33" i="42" s="1"/>
  <c r="V33" i="42"/>
  <c r="W33" i="42" s="1"/>
  <c r="S33" i="42"/>
  <c r="T33" i="42" s="1"/>
  <c r="P33" i="42"/>
  <c r="Q33" i="42" s="1"/>
  <c r="M33" i="42"/>
  <c r="N33" i="42" s="1"/>
  <c r="D33" i="42"/>
  <c r="C33" i="42"/>
  <c r="BQ32" i="42"/>
  <c r="BR32" i="42" s="1"/>
  <c r="BM32" i="42"/>
  <c r="BN32" i="42" s="1"/>
  <c r="BJ32" i="42"/>
  <c r="BK32" i="42" s="1"/>
  <c r="BG32" i="42"/>
  <c r="BH32" i="42" s="1"/>
  <c r="BC32" i="42"/>
  <c r="BD32" i="42" s="1"/>
  <c r="AZ32" i="42"/>
  <c r="BA32" i="42" s="1"/>
  <c r="AW32" i="42"/>
  <c r="AX32" i="42" s="1"/>
  <c r="AS32" i="42"/>
  <c r="AT32" i="42" s="1"/>
  <c r="AP32" i="42"/>
  <c r="AQ32" i="42" s="1"/>
  <c r="AL32" i="42"/>
  <c r="AM32" i="42" s="1"/>
  <c r="AI32" i="42"/>
  <c r="AJ32" i="42" s="1"/>
  <c r="AF32" i="42"/>
  <c r="AG32" i="42" s="1"/>
  <c r="AC32" i="42"/>
  <c r="AD32" i="42" s="1"/>
  <c r="Z32" i="42"/>
  <c r="AA32" i="42" s="1"/>
  <c r="V32" i="42"/>
  <c r="W32" i="42" s="1"/>
  <c r="S32" i="42"/>
  <c r="T32" i="42" s="1"/>
  <c r="P32" i="42"/>
  <c r="Q32" i="42" s="1"/>
  <c r="M32" i="42"/>
  <c r="N32" i="42" s="1"/>
  <c r="D32" i="42"/>
  <c r="C32" i="42"/>
  <c r="BR31" i="42"/>
  <c r="BM31" i="42"/>
  <c r="BN31" i="42" s="1"/>
  <c r="BJ31" i="42"/>
  <c r="BK31" i="42" s="1"/>
  <c r="BH31" i="42"/>
  <c r="AW31" i="42"/>
  <c r="AX31" i="42" s="1"/>
  <c r="AT31" i="42"/>
  <c r="AP31" i="42"/>
  <c r="AQ31" i="42" s="1"/>
  <c r="AI31" i="42"/>
  <c r="AL31" i="42" s="1"/>
  <c r="AM31" i="42" s="1"/>
  <c r="V31" i="42"/>
  <c r="W31" i="42" s="1"/>
  <c r="T31" i="42"/>
  <c r="P31" i="42"/>
  <c r="Q31" i="42" s="1"/>
  <c r="M31" i="42"/>
  <c r="N31" i="42" s="1"/>
  <c r="D31" i="42"/>
  <c r="C31" i="42"/>
  <c r="BR30" i="42"/>
  <c r="AW30" i="42"/>
  <c r="BG30" i="42" s="1"/>
  <c r="AT30" i="42"/>
  <c r="AP30" i="42"/>
  <c r="AQ30" i="42" s="1"/>
  <c r="AI30" i="42"/>
  <c r="AJ30" i="42" s="1"/>
  <c r="V30" i="42"/>
  <c r="W30" i="42" s="1"/>
  <c r="T30" i="42"/>
  <c r="P30" i="42"/>
  <c r="Q30" i="42" s="1"/>
  <c r="M30" i="42"/>
  <c r="N30" i="42" s="1"/>
  <c r="D30" i="42"/>
  <c r="C30" i="42"/>
  <c r="AW29" i="42"/>
  <c r="BG29" i="42" s="1"/>
  <c r="AS29" i="42"/>
  <c r="BQ29" i="42" s="1"/>
  <c r="BR29" i="42" s="1"/>
  <c r="AP29" i="42"/>
  <c r="AQ29" i="42" s="1"/>
  <c r="AL29" i="42"/>
  <c r="AM29" i="42" s="1"/>
  <c r="AI29" i="42"/>
  <c r="AJ29" i="42" s="1"/>
  <c r="AF29" i="42"/>
  <c r="AG29" i="42" s="1"/>
  <c r="AC29" i="42"/>
  <c r="AD29" i="42" s="1"/>
  <c r="Z29" i="42"/>
  <c r="AA29" i="42" s="1"/>
  <c r="V29" i="42"/>
  <c r="W29" i="42" s="1"/>
  <c r="T29" i="42"/>
  <c r="P29" i="42"/>
  <c r="Q29" i="42" s="1"/>
  <c r="M29" i="42"/>
  <c r="N29" i="42" s="1"/>
  <c r="D29" i="42"/>
  <c r="C29" i="42"/>
  <c r="BM28" i="42"/>
  <c r="BN28" i="42" s="1"/>
  <c r="BJ28" i="42"/>
  <c r="BK28" i="42" s="1"/>
  <c r="BH28" i="42"/>
  <c r="BC28" i="42"/>
  <c r="BD28" i="42" s="1"/>
  <c r="AZ28" i="42"/>
  <c r="BA28" i="42" s="1"/>
  <c r="AX28" i="42"/>
  <c r="AS28" i="42"/>
  <c r="BQ28" i="42" s="1"/>
  <c r="BR28" i="42" s="1"/>
  <c r="AP28" i="42"/>
  <c r="AQ28" i="42" s="1"/>
  <c r="AL28" i="42"/>
  <c r="AM28" i="42" s="1"/>
  <c r="AI28" i="42"/>
  <c r="AJ28" i="42" s="1"/>
  <c r="AF28" i="42"/>
  <c r="AG28" i="42" s="1"/>
  <c r="AC28" i="42"/>
  <c r="AD28" i="42" s="1"/>
  <c r="Z28" i="42"/>
  <c r="AA28" i="42" s="1"/>
  <c r="V28" i="42"/>
  <c r="W28" i="42" s="1"/>
  <c r="T28" i="42"/>
  <c r="P28" i="42"/>
  <c r="Q28" i="42" s="1"/>
  <c r="M28" i="42"/>
  <c r="N28" i="42" s="1"/>
  <c r="D28" i="42"/>
  <c r="C28" i="42"/>
  <c r="BQ27" i="42"/>
  <c r="BR27" i="42" s="1"/>
  <c r="BN27" i="42"/>
  <c r="BK27" i="42"/>
  <c r="BH27" i="42"/>
  <c r="BD27" i="42"/>
  <c r="BA27" i="42"/>
  <c r="AX27" i="42"/>
  <c r="AT27" i="42"/>
  <c r="AQ27" i="42"/>
  <c r="AM27" i="42"/>
  <c r="AJ27" i="42"/>
  <c r="AG27" i="42"/>
  <c r="AD27" i="42"/>
  <c r="AA27" i="42"/>
  <c r="W27" i="42"/>
  <c r="T27" i="42"/>
  <c r="Q27" i="42"/>
  <c r="N27" i="42"/>
  <c r="C27" i="42"/>
  <c r="BR26" i="42"/>
  <c r="AT26" i="42"/>
  <c r="C26" i="42"/>
  <c r="D25" i="42"/>
  <c r="C25" i="42"/>
  <c r="D24" i="42"/>
  <c r="C24" i="42"/>
  <c r="D23" i="42"/>
  <c r="C23" i="42"/>
  <c r="D22" i="42"/>
  <c r="C22" i="42"/>
  <c r="D21" i="42"/>
  <c r="C21" i="42"/>
  <c r="D20" i="42"/>
  <c r="C20" i="42"/>
  <c r="D19" i="42"/>
  <c r="C19" i="42"/>
  <c r="BR18" i="42"/>
  <c r="BN18" i="42"/>
  <c r="BK18" i="42"/>
  <c r="BH18" i="42"/>
  <c r="BD18" i="42"/>
  <c r="BA18" i="42"/>
  <c r="AX18" i="42"/>
  <c r="AT18" i="42"/>
  <c r="AM18" i="42"/>
  <c r="AJ18" i="42"/>
  <c r="AG18" i="42"/>
  <c r="AD18" i="42"/>
  <c r="AA18" i="42"/>
  <c r="W18" i="42"/>
  <c r="S18" i="42"/>
  <c r="T18" i="42" s="1"/>
  <c r="P18" i="42"/>
  <c r="Q18" i="42" s="1"/>
  <c r="M18" i="42"/>
  <c r="N18" i="42" s="1"/>
  <c r="D18" i="42"/>
  <c r="C18" i="42"/>
  <c r="BR17" i="42"/>
  <c r="BM17" i="42"/>
  <c r="BN17" i="42" s="1"/>
  <c r="BJ17" i="42"/>
  <c r="BK17" i="42" s="1"/>
  <c r="BG17" i="42"/>
  <c r="BH17" i="42" s="1"/>
  <c r="BC17" i="42"/>
  <c r="BD17" i="42" s="1"/>
  <c r="AZ17" i="42"/>
  <c r="BA17" i="42" s="1"/>
  <c r="AW17" i="42"/>
  <c r="AX17" i="42" s="1"/>
  <c r="AT17" i="42"/>
  <c r="AP17" i="42"/>
  <c r="AQ17" i="42" s="1"/>
  <c r="AL17" i="42"/>
  <c r="AM17" i="42" s="1"/>
  <c r="AI17" i="42"/>
  <c r="AJ17" i="42" s="1"/>
  <c r="AF17" i="42"/>
  <c r="AG17" i="42" s="1"/>
  <c r="AC17" i="42"/>
  <c r="AD17" i="42" s="1"/>
  <c r="Z17" i="42"/>
  <c r="AA17" i="42" s="1"/>
  <c r="V17" i="42"/>
  <c r="W17" i="42" s="1"/>
  <c r="S17" i="42"/>
  <c r="T17" i="42" s="1"/>
  <c r="P17" i="42"/>
  <c r="Q17" i="42" s="1"/>
  <c r="M17" i="42"/>
  <c r="N17" i="42" s="1"/>
  <c r="D17" i="42"/>
  <c r="C17" i="42"/>
  <c r="BQ16" i="42"/>
  <c r="BR16" i="42" s="1"/>
  <c r="BM16" i="42"/>
  <c r="BN16" i="42" s="1"/>
  <c r="BJ16" i="42"/>
  <c r="BK16" i="42" s="1"/>
  <c r="BG16" i="42"/>
  <c r="BH16" i="42" s="1"/>
  <c r="BC16" i="42"/>
  <c r="BD16" i="42" s="1"/>
  <c r="AZ16" i="42"/>
  <c r="BA16" i="42" s="1"/>
  <c r="AW16" i="42"/>
  <c r="AX16" i="42" s="1"/>
  <c r="AS16" i="42"/>
  <c r="AT16" i="42" s="1"/>
  <c r="AP16" i="42"/>
  <c r="AQ16" i="42" s="1"/>
  <c r="AL16" i="42"/>
  <c r="AM16" i="42" s="1"/>
  <c r="AI16" i="42"/>
  <c r="AJ16" i="42" s="1"/>
  <c r="AF16" i="42"/>
  <c r="AG16" i="42" s="1"/>
  <c r="AC16" i="42"/>
  <c r="AD16" i="42" s="1"/>
  <c r="Z16" i="42"/>
  <c r="AA16" i="42" s="1"/>
  <c r="V16" i="42"/>
  <c r="W16" i="42" s="1"/>
  <c r="S16" i="42"/>
  <c r="T16" i="42" s="1"/>
  <c r="P16" i="42"/>
  <c r="Q16" i="42" s="1"/>
  <c r="M16" i="42"/>
  <c r="N16" i="42" s="1"/>
  <c r="D16" i="42"/>
  <c r="C16" i="42"/>
  <c r="BQ15" i="42"/>
  <c r="BR15" i="42" s="1"/>
  <c r="BM15" i="42"/>
  <c r="BN15" i="42" s="1"/>
  <c r="BJ15" i="42"/>
  <c r="BK15" i="42" s="1"/>
  <c r="BG15" i="42"/>
  <c r="BH15" i="42" s="1"/>
  <c r="BC15" i="42"/>
  <c r="BD15" i="42" s="1"/>
  <c r="AZ15" i="42"/>
  <c r="BA15" i="42" s="1"/>
  <c r="AW15" i="42"/>
  <c r="AX15" i="42" s="1"/>
  <c r="AS15" i="42"/>
  <c r="AT15" i="42" s="1"/>
  <c r="AP15" i="42"/>
  <c r="AQ15" i="42" s="1"/>
  <c r="AL15" i="42"/>
  <c r="AM15" i="42" s="1"/>
  <c r="AI15" i="42"/>
  <c r="AJ15" i="42" s="1"/>
  <c r="AF15" i="42"/>
  <c r="AG15" i="42" s="1"/>
  <c r="AC15" i="42"/>
  <c r="AD15" i="42" s="1"/>
  <c r="Z15" i="42"/>
  <c r="AA15" i="42" s="1"/>
  <c r="V15" i="42"/>
  <c r="W15" i="42" s="1"/>
  <c r="S15" i="42"/>
  <c r="T15" i="42" s="1"/>
  <c r="P15" i="42"/>
  <c r="Q15" i="42" s="1"/>
  <c r="M15" i="42"/>
  <c r="N15" i="42" s="1"/>
  <c r="D15" i="42"/>
  <c r="C15" i="42"/>
  <c r="BQ14" i="42"/>
  <c r="BR14" i="42" s="1"/>
  <c r="BM14" i="42"/>
  <c r="BN14" i="42" s="1"/>
  <c r="BJ14" i="42"/>
  <c r="BK14" i="42" s="1"/>
  <c r="BG14" i="42"/>
  <c r="BH14" i="42" s="1"/>
  <c r="BC14" i="42"/>
  <c r="BD14" i="42" s="1"/>
  <c r="AZ14" i="42"/>
  <c r="BA14" i="42" s="1"/>
  <c r="AW14" i="42"/>
  <c r="AX14" i="42" s="1"/>
  <c r="AS14" i="42"/>
  <c r="AT14" i="42" s="1"/>
  <c r="AP14" i="42"/>
  <c r="AQ14" i="42" s="1"/>
  <c r="AL14" i="42"/>
  <c r="AM14" i="42" s="1"/>
  <c r="AI14" i="42"/>
  <c r="AJ14" i="42" s="1"/>
  <c r="AF14" i="42"/>
  <c r="AG14" i="42" s="1"/>
  <c r="AC14" i="42"/>
  <c r="AD14" i="42" s="1"/>
  <c r="Z14" i="42"/>
  <c r="AA14" i="42" s="1"/>
  <c r="V14" i="42"/>
  <c r="W14" i="42" s="1"/>
  <c r="S14" i="42"/>
  <c r="T14" i="42" s="1"/>
  <c r="P14" i="42"/>
  <c r="Q14" i="42" s="1"/>
  <c r="M14" i="42"/>
  <c r="N14" i="42" s="1"/>
  <c r="D14" i="42"/>
  <c r="C14" i="42"/>
  <c r="D13" i="42"/>
  <c r="C13" i="42"/>
  <c r="D12" i="42"/>
  <c r="C12" i="42"/>
  <c r="D11" i="42"/>
  <c r="C11" i="42"/>
  <c r="D10" i="42"/>
  <c r="C10" i="42"/>
  <c r="D9" i="42"/>
  <c r="C9" i="42"/>
  <c r="BQ8" i="42"/>
  <c r="BM8" i="42"/>
  <c r="BJ8" i="42"/>
  <c r="BG8" i="42"/>
  <c r="BC8" i="42"/>
  <c r="AZ8" i="42"/>
  <c r="AW8" i="42"/>
  <c r="AS8" i="42"/>
  <c r="AP8" i="42"/>
  <c r="AL8" i="42"/>
  <c r="AI8" i="42"/>
  <c r="AF8" i="42"/>
  <c r="AC8" i="42"/>
  <c r="Z8" i="42"/>
  <c r="V8" i="42"/>
  <c r="S8" i="42"/>
  <c r="P8" i="42"/>
  <c r="M8" i="42"/>
  <c r="D8" i="42"/>
  <c r="C8" i="42"/>
  <c r="BQ7" i="42"/>
  <c r="BM7" i="42"/>
  <c r="BJ7" i="42"/>
  <c r="BG7" i="42"/>
  <c r="BC7" i="42"/>
  <c r="AZ7" i="42"/>
  <c r="AW7" i="42"/>
  <c r="AT7" i="42"/>
  <c r="AP7" i="42"/>
  <c r="AQ7" i="42" s="1"/>
  <c r="AL7" i="42"/>
  <c r="AM7" i="42" s="1"/>
  <c r="AI7" i="42"/>
  <c r="AJ7" i="42" s="1"/>
  <c r="AF7" i="42"/>
  <c r="AG7" i="42" s="1"/>
  <c r="AC7" i="42"/>
  <c r="AD7" i="42" s="1"/>
  <c r="Z7" i="42"/>
  <c r="AA7" i="42" s="1"/>
  <c r="V7" i="42"/>
  <c r="W7" i="42" s="1"/>
  <c r="S7" i="42"/>
  <c r="T7" i="42" s="1"/>
  <c r="P7" i="42"/>
  <c r="Q7" i="42" s="1"/>
  <c r="M7" i="42"/>
  <c r="N7" i="42" s="1"/>
  <c r="D7" i="42"/>
  <c r="C7" i="42"/>
  <c r="BR6" i="42"/>
  <c r="BN6" i="42"/>
  <c r="BK6" i="42"/>
  <c r="BH6" i="42"/>
  <c r="BD6" i="42"/>
  <c r="BA6" i="42"/>
  <c r="AX6" i="42"/>
  <c r="AT6" i="42"/>
  <c r="AQ6" i="42"/>
  <c r="AM6" i="42"/>
  <c r="AJ6" i="42"/>
  <c r="AG6" i="42"/>
  <c r="AD6" i="42"/>
  <c r="AA6" i="42"/>
  <c r="W6" i="42"/>
  <c r="T6" i="42"/>
  <c r="Q6" i="42"/>
  <c r="N6" i="42"/>
  <c r="CE35" i="15"/>
  <c r="CK33" i="15"/>
  <c r="CK35" i="15" s="1"/>
  <c r="CF28" i="15"/>
  <c r="CF24" i="15"/>
  <c r="CF17" i="15"/>
  <c r="CD17" i="15"/>
  <c r="CE38" i="15" s="1"/>
  <c r="CF38" i="15" s="1"/>
  <c r="V16" i="34"/>
  <c r="V17" i="34" s="1"/>
  <c r="K16" i="34"/>
  <c r="K17" i="34" s="1"/>
  <c r="AW35" i="17"/>
  <c r="BC33" i="17"/>
  <c r="BC35" i="17" s="1"/>
  <c r="AX28" i="17"/>
  <c r="AX24" i="17"/>
  <c r="AX17" i="17"/>
  <c r="AV17" i="17"/>
  <c r="AV38" i="17" s="1"/>
  <c r="AW38" i="17" s="1"/>
  <c r="AX38" i="17" s="1"/>
  <c r="AX30" i="42" l="1"/>
  <c r="Z31" i="42"/>
  <c r="AA31" i="42" s="1"/>
  <c r="AC31" i="42"/>
  <c r="AD31" i="42" s="1"/>
  <c r="AF31" i="42"/>
  <c r="AG31" i="42" s="1"/>
  <c r="AF30" i="42"/>
  <c r="AG30" i="42" s="1"/>
  <c r="Z30" i="42"/>
  <c r="AA30" i="42" s="1"/>
  <c r="AC30" i="42"/>
  <c r="AD30" i="42" s="1"/>
  <c r="AT28" i="42"/>
  <c r="AI33" i="42"/>
  <c r="AJ33" i="42" s="1"/>
  <c r="BA7" i="42"/>
  <c r="BH7" i="42"/>
  <c r="BN7" i="42"/>
  <c r="N8" i="42"/>
  <c r="T8" i="42"/>
  <c r="AA8" i="42"/>
  <c r="AG8" i="42"/>
  <c r="AM8" i="42"/>
  <c r="AT8" i="42"/>
  <c r="BA8" i="42"/>
  <c r="BH8" i="42"/>
  <c r="BN8" i="42"/>
  <c r="AX7" i="42"/>
  <c r="BD7" i="42"/>
  <c r="BK7" i="42"/>
  <c r="BR7" i="42"/>
  <c r="Q8" i="42"/>
  <c r="W8" i="42"/>
  <c r="AD8" i="42"/>
  <c r="AJ8" i="42"/>
  <c r="AQ8" i="42"/>
  <c r="AX8" i="42"/>
  <c r="BD8" i="42"/>
  <c r="BK8" i="42"/>
  <c r="BR8" i="42"/>
  <c r="BM30" i="42"/>
  <c r="BN30" i="42" s="1"/>
  <c r="BJ30" i="42"/>
  <c r="BK30" i="42" s="1"/>
  <c r="BH30" i="42"/>
  <c r="BM29" i="42"/>
  <c r="BN29" i="42" s="1"/>
  <c r="BJ29" i="42"/>
  <c r="BK29" i="42" s="1"/>
  <c r="BH29" i="42"/>
  <c r="AT29" i="42"/>
  <c r="AX29" i="42"/>
  <c r="AL30" i="42"/>
  <c r="AM30" i="42" s="1"/>
  <c r="AJ31" i="42"/>
  <c r="AZ31" i="42"/>
  <c r="BA31" i="42" s="1"/>
  <c r="BC31" i="42"/>
  <c r="BD31" i="42" s="1"/>
  <c r="AZ29" i="42"/>
  <c r="BA29" i="42" s="1"/>
  <c r="BC29" i="42"/>
  <c r="BD29" i="42" s="1"/>
  <c r="AZ30" i="42"/>
  <c r="BA30" i="42" s="1"/>
  <c r="BC30" i="42"/>
  <c r="BD30" i="42" s="1"/>
  <c r="CF22" i="15"/>
  <c r="CJ35" i="15"/>
  <c r="E15" i="43" s="1"/>
  <c r="BB35" i="17"/>
  <c r="C12" i="43" s="1"/>
  <c r="AX22" i="17"/>
  <c r="AS24" i="17" s="1"/>
  <c r="F28" i="17"/>
  <c r="BC36" i="17" l="1"/>
  <c r="CA24" i="15"/>
  <c r="CK36" i="15"/>
  <c r="CF26" i="15"/>
  <c r="CF35" i="15" s="1"/>
  <c r="CK16" i="15" s="1"/>
  <c r="CK17" i="15" s="1"/>
  <c r="CK18" i="15"/>
  <c r="CI6" i="15"/>
  <c r="AX26" i="17"/>
  <c r="AX35" i="17" s="1"/>
  <c r="BC16" i="17" s="1"/>
  <c r="BC17" i="17" s="1"/>
  <c r="BC18" i="17"/>
  <c r="BA6" i="17"/>
  <c r="AL35" i="17"/>
  <c r="AR33" i="17"/>
  <c r="AR35" i="17" s="1"/>
  <c r="AM28" i="17"/>
  <c r="AM24" i="17"/>
  <c r="AM17" i="17"/>
  <c r="AK17" i="17"/>
  <c r="AM22" i="17" s="1"/>
  <c r="AR18" i="17" s="1"/>
  <c r="AA35" i="17"/>
  <c r="AG33" i="17"/>
  <c r="AG35" i="17" s="1"/>
  <c r="AB28" i="17"/>
  <c r="AB24" i="17"/>
  <c r="AB17" i="17"/>
  <c r="Z17" i="17"/>
  <c r="V33" i="17"/>
  <c r="Q16" i="17"/>
  <c r="D2" i="48" s="1"/>
  <c r="F2" i="48" s="1"/>
  <c r="CJ21" i="15" l="1"/>
  <c r="CI10" i="15" s="1"/>
  <c r="AR36" i="17"/>
  <c r="AH24" i="17"/>
  <c r="CJ6" i="15"/>
  <c r="CK6" i="15"/>
  <c r="AK38" i="17"/>
  <c r="AL38" i="17" s="1"/>
  <c r="AM38" i="17" s="1"/>
  <c r="AP6" i="17" s="1"/>
  <c r="BB21" i="17"/>
  <c r="BB6" i="17"/>
  <c r="BC6" i="17"/>
  <c r="AM26" i="17"/>
  <c r="AM35" i="17" s="1"/>
  <c r="AR16" i="17" s="1"/>
  <c r="AR17" i="17" s="1"/>
  <c r="AQ21" i="17" s="1"/>
  <c r="AQ35" i="17"/>
  <c r="C11" i="43" s="1"/>
  <c r="AA38" i="17"/>
  <c r="AB38" i="17" s="1"/>
  <c r="AB22" i="17"/>
  <c r="W24" i="17" s="1"/>
  <c r="AF35" i="17"/>
  <c r="C10" i="43" s="1"/>
  <c r="BY33" i="15"/>
  <c r="AG36" i="17" l="1"/>
  <c r="CI7" i="15"/>
  <c r="CI8" i="15" s="1"/>
  <c r="CI9" i="15" s="1"/>
  <c r="AP7" i="17"/>
  <c r="AQ7" i="17" s="1"/>
  <c r="BA7" i="17"/>
  <c r="BA10" i="17"/>
  <c r="AR6" i="17"/>
  <c r="AQ6" i="17"/>
  <c r="AP10" i="17"/>
  <c r="AE6" i="17"/>
  <c r="AB26" i="17"/>
  <c r="AB35" i="17" s="1"/>
  <c r="AG16" i="17" s="1"/>
  <c r="AG17" i="17" s="1"/>
  <c r="AG18" i="17"/>
  <c r="CJ7" i="15" l="1"/>
  <c r="CK7" i="15"/>
  <c r="CK10" i="15"/>
  <c r="CJ10" i="15"/>
  <c r="AR7" i="17"/>
  <c r="AP8" i="17"/>
  <c r="AP9" i="17" s="1"/>
  <c r="BC10" i="17"/>
  <c r="BB10" i="17"/>
  <c r="BB7" i="17"/>
  <c r="BA8" i="17"/>
  <c r="BC7" i="17"/>
  <c r="AR10" i="17"/>
  <c r="AQ10" i="17"/>
  <c r="AF21" i="17"/>
  <c r="AE7" i="17" s="1"/>
  <c r="AF7" i="17" s="1"/>
  <c r="AG6" i="17"/>
  <c r="AF6" i="17"/>
  <c r="O17" i="17"/>
  <c r="O38" i="17" s="1"/>
  <c r="V35" i="17"/>
  <c r="AR8" i="17" l="1"/>
  <c r="CJ8" i="15"/>
  <c r="CK8" i="15"/>
  <c r="AQ8" i="17"/>
  <c r="BA9" i="17"/>
  <c r="BC8" i="17"/>
  <c r="BB8" i="17"/>
  <c r="AQ9" i="17"/>
  <c r="AR9" i="17"/>
  <c r="AE8" i="17"/>
  <c r="AG8" i="17" s="1"/>
  <c r="AG7" i="17"/>
  <c r="AE10" i="17"/>
  <c r="AG10" i="17" s="1"/>
  <c r="CK9" i="15" l="1"/>
  <c r="CJ9" i="15"/>
  <c r="BB9" i="17"/>
  <c r="BC9" i="17"/>
  <c r="AE9" i="17"/>
  <c r="AF9" i="17" s="1"/>
  <c r="AF8" i="17"/>
  <c r="AF10" i="17"/>
  <c r="D26" i="51" l="1"/>
  <c r="E26" i="47"/>
  <c r="D26" i="42"/>
  <c r="AG9" i="17"/>
  <c r="Q55" i="23"/>
  <c r="Q56" i="23"/>
  <c r="Q57" i="23"/>
  <c r="Q58" i="23"/>
  <c r="Q59" i="23"/>
  <c r="Q60" i="23"/>
  <c r="Q61" i="23"/>
  <c r="Q62" i="23"/>
  <c r="Q63" i="23"/>
  <c r="Q54" i="23"/>
  <c r="BS35" i="15" l="1"/>
  <c r="BY35" i="15"/>
  <c r="BT28" i="15"/>
  <c r="BT24" i="15"/>
  <c r="BT17" i="15"/>
  <c r="BR17" i="15"/>
  <c r="BS38" i="15" s="1"/>
  <c r="BT38" i="15" s="1"/>
  <c r="BX35" i="15" l="1"/>
  <c r="E14" i="43" s="1"/>
  <c r="BT22" i="15"/>
  <c r="BO24" i="15" s="1"/>
  <c r="BY36" i="15" l="1"/>
  <c r="BT26" i="15"/>
  <c r="BY18" i="15"/>
  <c r="BW6" i="15"/>
  <c r="J27" i="27"/>
  <c r="BT35" i="15" l="1"/>
  <c r="BY16" i="15" s="1"/>
  <c r="BY6" i="15"/>
  <c r="BX6" i="15"/>
  <c r="BY17" i="15" l="1"/>
  <c r="BX21" i="15" s="1"/>
  <c r="BW7" i="15" s="1"/>
  <c r="BX7" i="15" s="1"/>
  <c r="BW8" i="15" l="1"/>
  <c r="BW9" i="15" s="1"/>
  <c r="BY9" i="15" s="1"/>
  <c r="BY7" i="15"/>
  <c r="BW10" i="15"/>
  <c r="BY10" i="15" s="1"/>
  <c r="BX8" i="15" l="1"/>
  <c r="BX9" i="15"/>
  <c r="BX10" i="15"/>
  <c r="BY8" i="15"/>
  <c r="Q12" i="37"/>
  <c r="E25" i="37"/>
  <c r="AE27" i="27" l="1"/>
  <c r="AE26" i="27"/>
  <c r="AC27" i="27"/>
  <c r="AC26" i="27"/>
  <c r="AA27" i="27"/>
  <c r="AA26" i="27"/>
  <c r="Y27" i="27"/>
  <c r="Y26" i="27"/>
  <c r="W27" i="27"/>
  <c r="W26" i="27"/>
  <c r="AE16" i="27"/>
  <c r="AC16" i="27"/>
  <c r="AA16" i="27"/>
  <c r="P35" i="34" l="1"/>
  <c r="V33" i="34"/>
  <c r="V35" i="34" s="1"/>
  <c r="Q28" i="34"/>
  <c r="Q24" i="34"/>
  <c r="Q17" i="34"/>
  <c r="O17" i="34"/>
  <c r="P35" i="17"/>
  <c r="Q28" i="17"/>
  <c r="Q17" i="17"/>
  <c r="U35" i="17" s="1"/>
  <c r="C9" i="43" s="1"/>
  <c r="Q22" i="17"/>
  <c r="V36" i="17" s="1"/>
  <c r="P38" i="34" l="1"/>
  <c r="Q38" i="34" s="1"/>
  <c r="U35" i="34"/>
  <c r="D9" i="43" s="1"/>
  <c r="Q22" i="34"/>
  <c r="V36" i="34" s="1"/>
  <c r="P38" i="17"/>
  <c r="Q38" i="17" s="1"/>
  <c r="T6" i="17" s="1"/>
  <c r="L24" i="34" l="1"/>
  <c r="T6" i="34"/>
  <c r="Q26" i="34"/>
  <c r="V18" i="34"/>
  <c r="U21" i="34" s="1"/>
  <c r="T7" i="34" s="1"/>
  <c r="U6" i="17"/>
  <c r="V6" i="17"/>
  <c r="Q24" i="17"/>
  <c r="V18" i="17"/>
  <c r="BB26" i="27"/>
  <c r="AY26" i="27"/>
  <c r="BB16" i="27"/>
  <c r="T26" i="27"/>
  <c r="AO26" i="27"/>
  <c r="AT26" i="27" s="1"/>
  <c r="AU26" i="27" s="1"/>
  <c r="AR26" i="27"/>
  <c r="AR16" i="27"/>
  <c r="E30" i="37"/>
  <c r="AH27" i="27"/>
  <c r="AH26" i="27"/>
  <c r="AH16" i="27"/>
  <c r="AO16" i="27"/>
  <c r="AM16" i="27"/>
  <c r="Y16" i="27"/>
  <c r="W16" i="27"/>
  <c r="T16" i="27"/>
  <c r="N16" i="27"/>
  <c r="L16" i="27"/>
  <c r="Q26" i="17" l="1"/>
  <c r="Q35" i="17" s="1"/>
  <c r="L24" i="17"/>
  <c r="V7" i="34"/>
  <c r="U7" i="34"/>
  <c r="U6" i="34"/>
  <c r="T8" i="34"/>
  <c r="V6" i="34"/>
  <c r="T10" i="34"/>
  <c r="V16" i="17" l="1"/>
  <c r="V17" i="17" s="1"/>
  <c r="T9" i="34"/>
  <c r="V8" i="34"/>
  <c r="U8" i="34"/>
  <c r="U10" i="34"/>
  <c r="V10" i="34"/>
  <c r="U21" i="17" l="1"/>
  <c r="T10" i="17" s="1"/>
  <c r="V10" i="17" s="1"/>
  <c r="V9" i="34"/>
  <c r="U9" i="34"/>
  <c r="Q46" i="23"/>
  <c r="Q47" i="23"/>
  <c r="Q48" i="23"/>
  <c r="Q49" i="23"/>
  <c r="Q50" i="23"/>
  <c r="Q51" i="23"/>
  <c r="Q52" i="23"/>
  <c r="Q64" i="23"/>
  <c r="D27" i="51" l="1"/>
  <c r="E27" i="47"/>
  <c r="D27" i="42"/>
  <c r="T7" i="17"/>
  <c r="U7" i="17" s="1"/>
  <c r="U10" i="17"/>
  <c r="V7" i="17" l="1"/>
  <c r="T8" i="17"/>
  <c r="BN33" i="15"/>
  <c r="U8" i="17" l="1"/>
  <c r="V8" i="17"/>
  <c r="T9" i="17"/>
  <c r="Q14" i="23"/>
  <c r="Q16" i="23"/>
  <c r="Q17" i="23"/>
  <c r="Q19" i="23"/>
  <c r="Q20" i="23"/>
  <c r="Q21" i="23"/>
  <c r="Q23" i="23"/>
  <c r="Q24" i="23"/>
  <c r="Q26" i="23"/>
  <c r="Q27" i="23"/>
  <c r="Q28" i="23"/>
  <c r="Q29" i="23"/>
  <c r="Q31" i="23"/>
  <c r="Q32" i="23"/>
  <c r="Q33" i="23"/>
  <c r="Q34" i="23"/>
  <c r="Q35" i="23"/>
  <c r="Q36" i="23"/>
  <c r="Q37" i="23"/>
  <c r="Q38" i="23"/>
  <c r="Q39" i="23"/>
  <c r="Q40" i="23"/>
  <c r="Q41" i="23"/>
  <c r="Q42" i="23"/>
  <c r="Q43" i="23"/>
  <c r="Q44" i="23"/>
  <c r="Q45" i="23"/>
  <c r="Q53" i="23"/>
  <c r="Q82" i="23"/>
  <c r="Q83" i="23"/>
  <c r="Q84" i="23"/>
  <c r="Q85" i="23"/>
  <c r="Q86" i="23"/>
  <c r="Q87" i="23"/>
  <c r="Q88" i="23"/>
  <c r="Q89" i="23"/>
  <c r="Q90" i="23"/>
  <c r="Q91" i="23"/>
  <c r="Q92" i="23"/>
  <c r="Q93" i="23"/>
  <c r="Q94" i="23"/>
  <c r="Q95" i="23"/>
  <c r="Q96" i="23"/>
  <c r="Q97" i="23"/>
  <c r="Q98" i="23"/>
  <c r="Q99" i="23"/>
  <c r="Q100" i="23"/>
  <c r="Q101" i="23"/>
  <c r="Q102" i="23"/>
  <c r="Q103" i="23"/>
  <c r="Q104" i="23"/>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7"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V9" i="17" l="1"/>
  <c r="U9" i="17"/>
  <c r="G40" i="37"/>
  <c r="Q25" i="23"/>
  <c r="G25" i="37"/>
  <c r="G15" i="37"/>
  <c r="G36" i="37"/>
  <c r="G18" i="37"/>
  <c r="G33" i="37"/>
  <c r="G28" i="37"/>
  <c r="G21" i="37"/>
  <c r="Q30" i="23"/>
  <c r="G30" i="37"/>
  <c r="Q22" i="23"/>
  <c r="G23" i="37"/>
  <c r="G12" i="37"/>
  <c r="G6" i="37"/>
  <c r="G9" i="37"/>
  <c r="Q18" i="23"/>
  <c r="Q15" i="23"/>
  <c r="G20" i="37"/>
  <c r="G17" i="37"/>
  <c r="G14" i="37"/>
  <c r="G11" i="37"/>
  <c r="G8" i="37"/>
  <c r="G5" i="37"/>
  <c r="G38" i="37"/>
  <c r="G35" i="37"/>
  <c r="G32" i="37"/>
  <c r="AR7" i="27"/>
  <c r="AS7" i="27" s="1"/>
  <c r="AS15" i="27"/>
  <c r="AS16" i="27"/>
  <c r="AS6" i="27"/>
  <c r="AR30" i="27"/>
  <c r="AS30" i="27" s="1"/>
  <c r="AS13" i="27"/>
  <c r="AS26" i="27"/>
  <c r="AS14" i="27"/>
  <c r="AS25" i="27"/>
  <c r="AR31" i="27"/>
  <c r="AS31" i="27" s="1"/>
  <c r="AS17" i="27"/>
  <c r="AI6" i="27" l="1"/>
  <c r="AI13" i="27"/>
  <c r="AI15" i="27"/>
  <c r="AI25" i="27"/>
  <c r="AI28" i="27"/>
  <c r="AH30" i="27"/>
  <c r="AI30" i="27" s="1"/>
  <c r="AH7" i="27"/>
  <c r="AI7" i="27" s="1"/>
  <c r="AI14" i="27"/>
  <c r="AI16" i="27"/>
  <c r="AI26" i="27"/>
  <c r="AI29" i="27"/>
  <c r="AH31" i="27"/>
  <c r="AI31" i="27" s="1"/>
  <c r="U29" i="27"/>
  <c r="K33" i="34" l="1"/>
  <c r="K35" i="34" s="1"/>
  <c r="BC33" i="15"/>
  <c r="AR33" i="15"/>
  <c r="AG33" i="15"/>
  <c r="E32" i="15"/>
  <c r="K33" i="17"/>
  <c r="AV17" i="15"/>
  <c r="Z17" i="15"/>
  <c r="AJ27" i="27" l="1"/>
  <c r="BG27" i="27" s="1"/>
  <c r="AJ26" i="27"/>
  <c r="BG26" i="27" s="1"/>
  <c r="AM27" i="27" l="1"/>
  <c r="BH27" i="27"/>
  <c r="T27" i="27"/>
  <c r="L27" i="27"/>
  <c r="O27" i="27"/>
  <c r="U27" i="27" l="1"/>
  <c r="AN27" i="27"/>
  <c r="AO27" i="27"/>
  <c r="AT27" i="27" s="1"/>
  <c r="AU27" i="27" s="1"/>
  <c r="AR27" i="27"/>
  <c r="AS27" i="27" s="1"/>
  <c r="K27" i="27"/>
  <c r="AI27" i="27"/>
  <c r="M27" i="27"/>
  <c r="AK27" i="27"/>
  <c r="AW27" i="27"/>
  <c r="AU29" i="27" l="1"/>
  <c r="BB27" i="27"/>
  <c r="BC27" i="27" s="1"/>
  <c r="AY27" i="27"/>
  <c r="AZ27" i="27" s="1"/>
  <c r="BD27" i="27" s="1"/>
  <c r="BE27" i="27" s="1"/>
  <c r="AP27" i="27"/>
  <c r="AX27" i="27"/>
  <c r="BH7" i="27"/>
  <c r="BB7" i="27"/>
  <c r="BC7" i="27" s="1"/>
  <c r="AY7" i="27"/>
  <c r="AZ7" i="27" s="1"/>
  <c r="AW7" i="27"/>
  <c r="AX7" i="27" s="1"/>
  <c r="AO7" i="27"/>
  <c r="AM7" i="27"/>
  <c r="AK7" i="27"/>
  <c r="T7" i="27"/>
  <c r="U7" i="27" s="1"/>
  <c r="N7" i="27"/>
  <c r="L7" i="27"/>
  <c r="M7" i="27" s="1"/>
  <c r="J7" i="27"/>
  <c r="K7" i="27" s="1"/>
  <c r="AN7" i="27" l="1"/>
  <c r="AM38" i="27"/>
  <c r="AP7" i="27"/>
  <c r="AO38" i="27"/>
  <c r="O7" i="27"/>
  <c r="C3" i="28"/>
  <c r="C4" i="28" s="1"/>
  <c r="C15" i="28" s="1"/>
  <c r="Q11" i="37"/>
  <c r="E23" i="37"/>
  <c r="P24" i="27" l="1"/>
  <c r="Q24" i="27" s="1"/>
  <c r="N24" i="47"/>
  <c r="P24" i="47"/>
  <c r="BH26" i="27"/>
  <c r="BH25" i="27"/>
  <c r="BH31" i="27"/>
  <c r="BH30" i="27"/>
  <c r="BH17" i="27"/>
  <c r="BH16" i="27"/>
  <c r="BH15" i="27"/>
  <c r="BH14" i="27"/>
  <c r="BH13" i="27"/>
  <c r="BH6" i="27"/>
  <c r="AJ31" i="27"/>
  <c r="AK31" i="27" s="1"/>
  <c r="AJ30" i="27"/>
  <c r="AK30" i="27" s="1"/>
  <c r="AK29" i="27"/>
  <c r="AK28" i="27"/>
  <c r="AK26" i="27"/>
  <c r="AK25" i="27"/>
  <c r="AK17" i="27"/>
  <c r="AK16" i="27"/>
  <c r="AK6" i="27"/>
  <c r="Q24" i="47" l="1"/>
  <c r="BG24" i="47"/>
  <c r="O24" i="47"/>
  <c r="J24" i="47"/>
  <c r="L24" i="47"/>
  <c r="R24" i="47"/>
  <c r="AA24" i="47"/>
  <c r="AJ24" i="47"/>
  <c r="BD24" i="47"/>
  <c r="AC24" i="47"/>
  <c r="AH24" i="47"/>
  <c r="T24" i="47"/>
  <c r="AM24" i="47"/>
  <c r="BB24" i="47"/>
  <c r="W24" i="47"/>
  <c r="AE24" i="47"/>
  <c r="AT24" i="47"/>
  <c r="Y24" i="47"/>
  <c r="AK15" i="27"/>
  <c r="AK14" i="27"/>
  <c r="AK13" i="27"/>
  <c r="E40" i="37"/>
  <c r="BE24" i="47" l="1"/>
  <c r="BH24" i="47"/>
  <c r="BC24" i="47"/>
  <c r="AD24" i="47"/>
  <c r="S24" i="47"/>
  <c r="AU24" i="47"/>
  <c r="AR24" i="47"/>
  <c r="AN24" i="47"/>
  <c r="AO24" i="47"/>
  <c r="AW24" i="47"/>
  <c r="AF24" i="47"/>
  <c r="U24" i="47"/>
  <c r="M24" i="47"/>
  <c r="Z24" i="47"/>
  <c r="AK24" i="47"/>
  <c r="X24" i="47"/>
  <c r="AI24" i="47"/>
  <c r="AB24" i="47"/>
  <c r="K24" i="47"/>
  <c r="E18" i="37"/>
  <c r="Q9" i="37"/>
  <c r="Q10" i="37"/>
  <c r="E17" i="37"/>
  <c r="AY24" i="47" l="1"/>
  <c r="AX24" i="47"/>
  <c r="AS24" i="47"/>
  <c r="AP24" i="47"/>
  <c r="BH35" i="15"/>
  <c r="BI28" i="15"/>
  <c r="BN35" i="15" s="1"/>
  <c r="BI24" i="15"/>
  <c r="BI17" i="15"/>
  <c r="BG17" i="15"/>
  <c r="BH38" i="15" s="1"/>
  <c r="BI38" i="15" s="1"/>
  <c r="Q35" i="37"/>
  <c r="E38" i="37"/>
  <c r="BB31" i="27"/>
  <c r="BC31" i="27" s="1"/>
  <c r="BB30" i="27"/>
  <c r="BC30" i="27" s="1"/>
  <c r="BC25" i="27"/>
  <c r="BC17" i="27"/>
  <c r="BC14" i="27"/>
  <c r="BC6" i="27"/>
  <c r="AZ24" i="47" l="1"/>
  <c r="BC16" i="27"/>
  <c r="BC13" i="27"/>
  <c r="BC15" i="27"/>
  <c r="BM35" i="15"/>
  <c r="E13" i="43" s="1"/>
  <c r="BI22" i="15"/>
  <c r="BD24" i="15" s="1"/>
  <c r="BN36" i="15" l="1"/>
  <c r="BI26" i="15"/>
  <c r="BI35" i="15" s="1"/>
  <c r="BN16" i="15" s="1"/>
  <c r="BN17" i="15" s="1"/>
  <c r="BN18" i="15"/>
  <c r="BL6" i="15"/>
  <c r="BM21" i="15" l="1"/>
  <c r="BN6" i="15"/>
  <c r="BM6" i="15"/>
  <c r="BL7" i="15" l="1"/>
  <c r="BL10" i="15"/>
  <c r="BN10" i="15" s="1"/>
  <c r="BM10" i="15" l="1"/>
  <c r="BN7" i="15"/>
  <c r="BM7" i="15"/>
  <c r="BL8" i="15"/>
  <c r="BL9" i="15" l="1"/>
  <c r="BN8" i="15"/>
  <c r="BM8" i="15"/>
  <c r="BM9" i="15" l="1"/>
  <c r="BN9" i="15"/>
  <c r="Q8" i="37" l="1"/>
  <c r="N30" i="27" l="1"/>
  <c r="Q34" i="37" l="1"/>
  <c r="Q33" i="37"/>
  <c r="Q7" i="37"/>
  <c r="Q6" i="37"/>
  <c r="Q5" i="37"/>
  <c r="E36" i="37" l="1"/>
  <c r="E35" i="37"/>
  <c r="E33" i="37"/>
  <c r="E32" i="37"/>
  <c r="E6" i="37"/>
  <c r="E8" i="37"/>
  <c r="E9" i="37"/>
  <c r="E11" i="37"/>
  <c r="E12" i="37"/>
  <c r="E5" i="37"/>
  <c r="M10" i="57" l="1"/>
  <c r="N10" i="57" s="1"/>
  <c r="S8" i="57"/>
  <c r="K7" i="57"/>
  <c r="S11" i="57"/>
  <c r="T11" i="57" s="1"/>
  <c r="I10" i="57"/>
  <c r="J10" i="57" s="1"/>
  <c r="S9" i="57"/>
  <c r="T9" i="57" s="1"/>
  <c r="M8" i="57"/>
  <c r="N8" i="57" s="1"/>
  <c r="M7" i="57"/>
  <c r="P11" i="57"/>
  <c r="Q11" i="57" s="1"/>
  <c r="P9" i="57"/>
  <c r="Q9" i="57" s="1"/>
  <c r="K8" i="57"/>
  <c r="L8" i="57" s="1"/>
  <c r="P7" i="57"/>
  <c r="M11" i="57"/>
  <c r="N11" i="57" s="1"/>
  <c r="I8" i="57"/>
  <c r="J8" i="57" s="1"/>
  <c r="K11" i="57"/>
  <c r="L11" i="57" s="1"/>
  <c r="I11" i="57"/>
  <c r="J11" i="57" s="1"/>
  <c r="S10" i="57"/>
  <c r="T10" i="57" s="1"/>
  <c r="K10" i="57"/>
  <c r="L10" i="57" s="1"/>
  <c r="P8" i="57"/>
  <c r="Q8" i="57" s="1"/>
  <c r="I7" i="57"/>
  <c r="S30" i="57"/>
  <c r="P30" i="57"/>
  <c r="BC11" i="53"/>
  <c r="BD11" i="53" s="1"/>
  <c r="AS11" i="53"/>
  <c r="AT11" i="53" s="1"/>
  <c r="AI11" i="53"/>
  <c r="AJ11" i="53" s="1"/>
  <c r="Z11" i="53"/>
  <c r="AA11" i="53" s="1"/>
  <c r="Q11" i="53"/>
  <c r="R11" i="53" s="1"/>
  <c r="I11" i="53"/>
  <c r="J11" i="53" s="1"/>
  <c r="BF10" i="53"/>
  <c r="BG10" i="53" s="1"/>
  <c r="AV10" i="53"/>
  <c r="AW10" i="53" s="1"/>
  <c r="AB10" i="53"/>
  <c r="AC10" i="53" s="1"/>
  <c r="S10" i="53"/>
  <c r="T10" i="53" s="1"/>
  <c r="K10" i="53"/>
  <c r="L10" i="53" s="1"/>
  <c r="AX9" i="53"/>
  <c r="AY9" i="53" s="1"/>
  <c r="BC8" i="53"/>
  <c r="BD8" i="53" s="1"/>
  <c r="AS8" i="53"/>
  <c r="AT8" i="53" s="1"/>
  <c r="AI8" i="53"/>
  <c r="AJ8" i="53" s="1"/>
  <c r="Z8" i="53"/>
  <c r="AA8" i="53" s="1"/>
  <c r="Q8" i="53"/>
  <c r="R8" i="53" s="1"/>
  <c r="I8" i="53"/>
  <c r="J8" i="53" s="1"/>
  <c r="BF7" i="53"/>
  <c r="BG7" i="53" s="1"/>
  <c r="AL7" i="53"/>
  <c r="AM7" i="53" s="1"/>
  <c r="AB7" i="53"/>
  <c r="AC7" i="53" s="1"/>
  <c r="S7" i="53"/>
  <c r="T7" i="53" s="1"/>
  <c r="K7" i="53"/>
  <c r="L7" i="53" s="1"/>
  <c r="AQ11" i="53"/>
  <c r="AR11" i="53" s="1"/>
  <c r="O11" i="53"/>
  <c r="P11" i="53" s="1"/>
  <c r="AI10" i="53"/>
  <c r="AJ10" i="53" s="1"/>
  <c r="I10" i="53"/>
  <c r="J10" i="53" s="1"/>
  <c r="AV9" i="53"/>
  <c r="AW9" i="53" s="1"/>
  <c r="AQ8" i="53"/>
  <c r="AR8" i="53" s="1"/>
  <c r="O8" i="53"/>
  <c r="P8" i="53" s="1"/>
  <c r="AI7" i="53"/>
  <c r="AJ7" i="53" s="1"/>
  <c r="Q7" i="53"/>
  <c r="R7" i="53" s="1"/>
  <c r="AN11" i="53"/>
  <c r="AO11" i="53" s="1"/>
  <c r="V11" i="53"/>
  <c r="W11" i="53" s="1"/>
  <c r="BA10" i="53"/>
  <c r="BB10" i="53" s="1"/>
  <c r="X10" i="53"/>
  <c r="Y10" i="53" s="1"/>
  <c r="O10" i="53"/>
  <c r="P10" i="53" s="1"/>
  <c r="BC9" i="53"/>
  <c r="BD9" i="53" s="1"/>
  <c r="AX8" i="53"/>
  <c r="AY8" i="53" s="1"/>
  <c r="AD8" i="53"/>
  <c r="AE8" i="53" s="1"/>
  <c r="AQ7" i="53"/>
  <c r="AR7" i="53" s="1"/>
  <c r="X7" i="53"/>
  <c r="Y7" i="53" s="1"/>
  <c r="AV11" i="53"/>
  <c r="AW11" i="53" s="1"/>
  <c r="S11" i="53"/>
  <c r="T11" i="53" s="1"/>
  <c r="AD10" i="53"/>
  <c r="AE10" i="53" s="1"/>
  <c r="M10" i="53"/>
  <c r="N10" i="53" s="1"/>
  <c r="AQ9" i="53"/>
  <c r="AR9" i="53" s="1"/>
  <c r="AV8" i="53"/>
  <c r="AW8" i="53" s="1"/>
  <c r="S8" i="53"/>
  <c r="T8" i="53" s="1"/>
  <c r="AD7" i="53"/>
  <c r="AE7" i="53" s="1"/>
  <c r="M7" i="53"/>
  <c r="N7" i="53" s="1"/>
  <c r="BA11" i="53"/>
  <c r="BB11" i="53" s="1"/>
  <c r="AG11" i="53"/>
  <c r="AH11" i="53" s="1"/>
  <c r="X11" i="53"/>
  <c r="Y11" i="53" s="1"/>
  <c r="BC10" i="53"/>
  <c r="BD10" i="53" s="1"/>
  <c r="Z10" i="53"/>
  <c r="AA10" i="53" s="1"/>
  <c r="Q10" i="53"/>
  <c r="R10" i="53" s="1"/>
  <c r="BF9" i="53"/>
  <c r="BG9" i="53" s="1"/>
  <c r="BA8" i="53"/>
  <c r="BB8" i="53" s="1"/>
  <c r="AG8" i="53"/>
  <c r="AH8" i="53" s="1"/>
  <c r="X8" i="53"/>
  <c r="Y8" i="53" s="1"/>
  <c r="AS7" i="53"/>
  <c r="AT7" i="53" s="1"/>
  <c r="Z7" i="53"/>
  <c r="AA7" i="53" s="1"/>
  <c r="I7" i="53"/>
  <c r="AX11" i="53"/>
  <c r="AY11" i="53" s="1"/>
  <c r="AD11" i="53"/>
  <c r="AE11" i="53" s="1"/>
  <c r="M11" i="53"/>
  <c r="N11" i="53" s="1"/>
  <c r="AG10" i="53"/>
  <c r="AH10" i="53" s="1"/>
  <c r="AS9" i="53"/>
  <c r="AT9" i="53" s="1"/>
  <c r="AN8" i="53"/>
  <c r="AO8" i="53" s="1"/>
  <c r="V8" i="53"/>
  <c r="W8" i="53" s="1"/>
  <c r="M8" i="53"/>
  <c r="N8" i="53" s="1"/>
  <c r="AG7" i="53"/>
  <c r="AH7" i="53" s="1"/>
  <c r="O7" i="53"/>
  <c r="P7" i="53" s="1"/>
  <c r="AL11" i="53"/>
  <c r="AM11" i="53" s="1"/>
  <c r="AB11" i="53"/>
  <c r="AC11" i="53" s="1"/>
  <c r="K11" i="53"/>
  <c r="L11" i="53" s="1"/>
  <c r="AX10" i="53"/>
  <c r="AY10" i="53" s="1"/>
  <c r="V10" i="53"/>
  <c r="W10" i="53" s="1"/>
  <c r="BA9" i="53"/>
  <c r="BB9" i="53" s="1"/>
  <c r="BF8" i="53"/>
  <c r="BG8" i="53" s="1"/>
  <c r="AL8" i="53"/>
  <c r="AM8" i="53" s="1"/>
  <c r="AB8" i="53"/>
  <c r="AC8" i="53" s="1"/>
  <c r="K8" i="53"/>
  <c r="L8" i="53" s="1"/>
  <c r="AN7" i="53"/>
  <c r="AO7" i="53" s="1"/>
  <c r="V7" i="53"/>
  <c r="W7" i="53" s="1"/>
  <c r="AV11" i="51"/>
  <c r="AW11" i="51" s="1"/>
  <c r="AL11" i="51"/>
  <c r="AM11" i="51" s="1"/>
  <c r="AB11" i="51"/>
  <c r="AC11" i="51" s="1"/>
  <c r="S11" i="51"/>
  <c r="T11" i="51" s="1"/>
  <c r="K11" i="51"/>
  <c r="L11" i="51" s="1"/>
  <c r="AX10" i="51"/>
  <c r="AY10" i="51" s="1"/>
  <c r="AD10" i="51"/>
  <c r="AE10" i="51" s="1"/>
  <c r="V10" i="51"/>
  <c r="W10" i="51" s="1"/>
  <c r="M10" i="51"/>
  <c r="N10" i="51" s="1"/>
  <c r="BA9" i="51"/>
  <c r="BB9" i="51" s="1"/>
  <c r="BA8" i="51"/>
  <c r="BB8" i="51" s="1"/>
  <c r="AQ8" i="51"/>
  <c r="AR8" i="51" s="1"/>
  <c r="AB8" i="51"/>
  <c r="AC8" i="51" s="1"/>
  <c r="S8" i="51"/>
  <c r="T8" i="51" s="1"/>
  <c r="K8" i="51"/>
  <c r="L8" i="51" s="1"/>
  <c r="AN7" i="51"/>
  <c r="AO7" i="51" s="1"/>
  <c r="BA11" i="51"/>
  <c r="BB11" i="51" s="1"/>
  <c r="AG11" i="51"/>
  <c r="AH11" i="51" s="1"/>
  <c r="O11" i="51"/>
  <c r="P11" i="51" s="1"/>
  <c r="BC10" i="51"/>
  <c r="BD10" i="51" s="1"/>
  <c r="Z10" i="51"/>
  <c r="AA10" i="51" s="1"/>
  <c r="I10" i="51"/>
  <c r="J10" i="51" s="1"/>
  <c r="BF9" i="51"/>
  <c r="BG9" i="51" s="1"/>
  <c r="BF8" i="51"/>
  <c r="BG8" i="51" s="1"/>
  <c r="AL8" i="51"/>
  <c r="AM8" i="51" s="1"/>
  <c r="O8" i="51"/>
  <c r="P8" i="51" s="1"/>
  <c r="AI7" i="51"/>
  <c r="AJ7" i="51" s="1"/>
  <c r="AN11" i="51"/>
  <c r="AO11" i="51" s="1"/>
  <c r="V11" i="51"/>
  <c r="W11" i="51" s="1"/>
  <c r="AG10" i="51"/>
  <c r="AH10" i="51" s="1"/>
  <c r="O10" i="51"/>
  <c r="P10" i="51" s="1"/>
  <c r="BC9" i="51"/>
  <c r="BD9" i="51" s="1"/>
  <c r="AS8" i="51"/>
  <c r="AT8" i="51" s="1"/>
  <c r="V8" i="51"/>
  <c r="W8" i="51" s="1"/>
  <c r="M8" i="51"/>
  <c r="N8" i="51" s="1"/>
  <c r="AG7" i="51"/>
  <c r="AH7" i="51" s="1"/>
  <c r="BC11" i="51"/>
  <c r="BD11" i="51" s="1"/>
  <c r="AS11" i="51"/>
  <c r="AT11" i="51" s="1"/>
  <c r="AI11" i="51"/>
  <c r="AJ11" i="51" s="1"/>
  <c r="Z11" i="51"/>
  <c r="AA11" i="51" s="1"/>
  <c r="Q11" i="51"/>
  <c r="R11" i="51" s="1"/>
  <c r="I11" i="51"/>
  <c r="J11" i="51" s="1"/>
  <c r="BF10" i="51"/>
  <c r="BG10" i="51" s="1"/>
  <c r="AV10" i="51"/>
  <c r="AW10" i="51" s="1"/>
  <c r="AB10" i="51"/>
  <c r="AC10" i="51" s="1"/>
  <c r="S10" i="51"/>
  <c r="T10" i="51" s="1"/>
  <c r="K10" i="51"/>
  <c r="L10" i="51" s="1"/>
  <c r="AS9" i="51"/>
  <c r="AT9" i="51" s="1"/>
  <c r="AX8" i="51"/>
  <c r="AY8" i="51" s="1"/>
  <c r="AN8" i="51"/>
  <c r="AO8" i="51" s="1"/>
  <c r="Z8" i="51"/>
  <c r="AA8" i="51" s="1"/>
  <c r="Q8" i="51"/>
  <c r="R8" i="51" s="1"/>
  <c r="I8" i="51"/>
  <c r="J8" i="51" s="1"/>
  <c r="BF7" i="51"/>
  <c r="BG7" i="51" s="1"/>
  <c r="AL7" i="51"/>
  <c r="AM7" i="51" s="1"/>
  <c r="AQ11" i="51"/>
  <c r="AR11" i="51" s="1"/>
  <c r="X11" i="51"/>
  <c r="Y11" i="51" s="1"/>
  <c r="AI10" i="51"/>
  <c r="AJ10" i="51" s="1"/>
  <c r="Q10" i="51"/>
  <c r="R10" i="51" s="1"/>
  <c r="AQ9" i="51"/>
  <c r="AR9" i="51" s="1"/>
  <c r="AV8" i="51"/>
  <c r="AW8" i="51" s="1"/>
  <c r="X8" i="51"/>
  <c r="Y8" i="51" s="1"/>
  <c r="AS7" i="51"/>
  <c r="AT7" i="51" s="1"/>
  <c r="AX11" i="51"/>
  <c r="AY11" i="51" s="1"/>
  <c r="AD11" i="51"/>
  <c r="AE11" i="51" s="1"/>
  <c r="M11" i="51"/>
  <c r="N11" i="51" s="1"/>
  <c r="BA10" i="51"/>
  <c r="BB10" i="51" s="1"/>
  <c r="X10" i="51"/>
  <c r="Y10" i="51" s="1"/>
  <c r="BC8" i="51"/>
  <c r="BD8" i="51" s="1"/>
  <c r="AD8" i="51"/>
  <c r="AE8" i="51" s="1"/>
  <c r="AQ7" i="51"/>
  <c r="AR7" i="51" s="1"/>
  <c r="AL30" i="53"/>
  <c r="O30" i="53"/>
  <c r="P30" i="53" s="1"/>
  <c r="M30" i="53"/>
  <c r="M30" i="51"/>
  <c r="I30" i="51" s="1"/>
  <c r="O30" i="51"/>
  <c r="P30" i="51" s="1"/>
  <c r="AB30" i="51"/>
  <c r="AG30" i="53"/>
  <c r="AH30" i="53" s="1"/>
  <c r="BF30" i="53"/>
  <c r="BG30" i="53" s="1"/>
  <c r="AI30" i="53"/>
  <c r="AJ30" i="53" s="1"/>
  <c r="BC30" i="51"/>
  <c r="BD30" i="51" s="1"/>
  <c r="BF30" i="51"/>
  <c r="BG30" i="51" s="1"/>
  <c r="AL30" i="51"/>
  <c r="AB30" i="53"/>
  <c r="BA30" i="53"/>
  <c r="BB30" i="53" s="1"/>
  <c r="BC30" i="53"/>
  <c r="BD30" i="53" s="1"/>
  <c r="AV30" i="51"/>
  <c r="AQ30" i="51"/>
  <c r="AR30" i="51" s="1"/>
  <c r="AS30" i="51"/>
  <c r="AT30" i="51" s="1"/>
  <c r="AV30" i="53"/>
  <c r="AS30" i="53"/>
  <c r="AT30" i="53" s="1"/>
  <c r="AQ30" i="53"/>
  <c r="AR30" i="53" s="1"/>
  <c r="AI30" i="51"/>
  <c r="AJ30" i="51" s="1"/>
  <c r="BA30" i="51"/>
  <c r="BB30" i="51" s="1"/>
  <c r="AG30" i="51"/>
  <c r="AH30" i="51" s="1"/>
  <c r="BD12" i="47"/>
  <c r="BE12" i="47" s="1"/>
  <c r="AT12" i="47"/>
  <c r="AU12" i="47" s="1"/>
  <c r="AJ12" i="47"/>
  <c r="AK12" i="47" s="1"/>
  <c r="AA12" i="47"/>
  <c r="AB12" i="47" s="1"/>
  <c r="R12" i="47"/>
  <c r="S12" i="47" s="1"/>
  <c r="J12" i="47"/>
  <c r="K12" i="47" s="1"/>
  <c r="BG11" i="47"/>
  <c r="BH11" i="47" s="1"/>
  <c r="AW11" i="47"/>
  <c r="AX11" i="47" s="1"/>
  <c r="AC11" i="47"/>
  <c r="AD11" i="47" s="1"/>
  <c r="T11" i="47"/>
  <c r="U11" i="47" s="1"/>
  <c r="L11" i="47"/>
  <c r="M11" i="47" s="1"/>
  <c r="AT10" i="47"/>
  <c r="AU10" i="47" s="1"/>
  <c r="BD9" i="47"/>
  <c r="BE9" i="47" s="1"/>
  <c r="AT9" i="47"/>
  <c r="AU9" i="47" s="1"/>
  <c r="AE9" i="47"/>
  <c r="AF9" i="47" s="1"/>
  <c r="W9" i="47"/>
  <c r="X9" i="47" s="1"/>
  <c r="N9" i="47"/>
  <c r="O9" i="47" s="1"/>
  <c r="AR8" i="47"/>
  <c r="AS8" i="47" s="1"/>
  <c r="AH8" i="47"/>
  <c r="AI8" i="47" s="1"/>
  <c r="AE12" i="47"/>
  <c r="AF12" i="47" s="1"/>
  <c r="BB11" i="47"/>
  <c r="BC11" i="47" s="1"/>
  <c r="P11" i="47"/>
  <c r="Q11" i="47" s="1"/>
  <c r="AY9" i="47"/>
  <c r="AZ9" i="47" s="1"/>
  <c r="J9" i="47"/>
  <c r="K9" i="47" s="1"/>
  <c r="BB12" i="47"/>
  <c r="BC12" i="47" s="1"/>
  <c r="AR12" i="47"/>
  <c r="AS12" i="47" s="1"/>
  <c r="AH12" i="47"/>
  <c r="AI12" i="47" s="1"/>
  <c r="Y12" i="47"/>
  <c r="Z12" i="47" s="1"/>
  <c r="P12" i="47"/>
  <c r="Q12" i="47" s="1"/>
  <c r="BD11" i="47"/>
  <c r="BE11" i="47" s="1"/>
  <c r="AJ11" i="47"/>
  <c r="AK11" i="47" s="1"/>
  <c r="AA11" i="47"/>
  <c r="AB11" i="47" s="1"/>
  <c r="R11" i="47"/>
  <c r="S11" i="47" s="1"/>
  <c r="J11" i="47"/>
  <c r="K11" i="47" s="1"/>
  <c r="BG10" i="47"/>
  <c r="BH10" i="47" s="1"/>
  <c r="AR10" i="47"/>
  <c r="AS10" i="47" s="1"/>
  <c r="BB9" i="47"/>
  <c r="BC9" i="47" s="1"/>
  <c r="AR9" i="47"/>
  <c r="AS9" i="47" s="1"/>
  <c r="AC9" i="47"/>
  <c r="AD9" i="47" s="1"/>
  <c r="T9" i="47"/>
  <c r="U9" i="47" s="1"/>
  <c r="L9" i="47"/>
  <c r="M9" i="47" s="1"/>
  <c r="AO8" i="47"/>
  <c r="AP8" i="47" s="1"/>
  <c r="AY12" i="47"/>
  <c r="AZ12" i="47" s="1"/>
  <c r="AH11" i="47"/>
  <c r="AI11" i="47" s="1"/>
  <c r="AO9" i="47"/>
  <c r="AP9" i="47" s="1"/>
  <c r="BG8" i="47"/>
  <c r="BH8" i="47" s="1"/>
  <c r="AO12" i="47"/>
  <c r="AP12" i="47" s="1"/>
  <c r="W12" i="47"/>
  <c r="X12" i="47" s="1"/>
  <c r="Y11" i="47"/>
  <c r="Z11" i="47" s="1"/>
  <c r="BD10" i="47"/>
  <c r="BE10" i="47" s="1"/>
  <c r="R9" i="47"/>
  <c r="S9" i="47" s="1"/>
  <c r="AW12" i="47"/>
  <c r="AX12" i="47" s="1"/>
  <c r="AM12" i="47"/>
  <c r="AN12" i="47" s="1"/>
  <c r="AC12" i="47"/>
  <c r="AD12" i="47" s="1"/>
  <c r="T12" i="47"/>
  <c r="U12" i="47" s="1"/>
  <c r="L12" i="47"/>
  <c r="M12" i="47" s="1"/>
  <c r="AY11" i="47"/>
  <c r="AZ11" i="47" s="1"/>
  <c r="AE11" i="47"/>
  <c r="AF11" i="47" s="1"/>
  <c r="W11" i="47"/>
  <c r="X11" i="47" s="1"/>
  <c r="N11" i="47"/>
  <c r="O11" i="47" s="1"/>
  <c r="BB10" i="47"/>
  <c r="BC10" i="47" s="1"/>
  <c r="AH10" i="47"/>
  <c r="AI10" i="47" s="1"/>
  <c r="BG9" i="47"/>
  <c r="BH9" i="47" s="1"/>
  <c r="AW9" i="47"/>
  <c r="AX9" i="47" s="1"/>
  <c r="AM9" i="47"/>
  <c r="AN9" i="47" s="1"/>
  <c r="Y9" i="47"/>
  <c r="Z9" i="47" s="1"/>
  <c r="P9" i="47"/>
  <c r="Q9" i="47" s="1"/>
  <c r="AT8" i="47"/>
  <c r="AU8" i="47" s="1"/>
  <c r="AJ8" i="47"/>
  <c r="AK8" i="47" s="1"/>
  <c r="N12" i="47"/>
  <c r="O12" i="47" s="1"/>
  <c r="AJ10" i="47"/>
  <c r="AK10" i="47" s="1"/>
  <c r="AA9" i="47"/>
  <c r="AB9" i="47" s="1"/>
  <c r="AM8" i="47"/>
  <c r="AN8" i="47" s="1"/>
  <c r="P9" i="27"/>
  <c r="Q9" i="27" s="1"/>
  <c r="R12" i="27"/>
  <c r="S12" i="27" s="1"/>
  <c r="P12" i="27"/>
  <c r="Q12" i="27" s="1"/>
  <c r="R11" i="27"/>
  <c r="S11" i="27" s="1"/>
  <c r="R9" i="27"/>
  <c r="S9" i="27" s="1"/>
  <c r="P11" i="27"/>
  <c r="Q11" i="27" s="1"/>
  <c r="BD10" i="27"/>
  <c r="BE10" i="27" s="1"/>
  <c r="BD9" i="27"/>
  <c r="BE9" i="27" s="1"/>
  <c r="BD11" i="27"/>
  <c r="BE11" i="27" s="1"/>
  <c r="BD12" i="27"/>
  <c r="BE12" i="27" s="1"/>
  <c r="BD23" i="47"/>
  <c r="BE23" i="47" s="1"/>
  <c r="AC23" i="47"/>
  <c r="AT23" i="47"/>
  <c r="AU23" i="47" s="1"/>
  <c r="P23" i="27"/>
  <c r="Q23" i="27" s="1"/>
  <c r="AT23" i="27"/>
  <c r="AJ23" i="27"/>
  <c r="AW23" i="47"/>
  <c r="P23" i="47"/>
  <c r="Q23" i="47" s="1"/>
  <c r="AM23" i="47"/>
  <c r="N23" i="27"/>
  <c r="R23" i="27" s="1"/>
  <c r="BB23" i="27"/>
  <c r="AR23" i="27"/>
  <c r="AR23" i="47"/>
  <c r="AS23" i="47" s="1"/>
  <c r="BG23" i="47"/>
  <c r="BH23" i="47" s="1"/>
  <c r="AH23" i="47"/>
  <c r="AI23" i="47" s="1"/>
  <c r="AH23" i="27"/>
  <c r="BG23" i="27"/>
  <c r="AW23" i="27"/>
  <c r="AJ23" i="47"/>
  <c r="AK23" i="47" s="1"/>
  <c r="BB23" i="47"/>
  <c r="BC23" i="47" s="1"/>
  <c r="N23" i="47"/>
  <c r="AM23" i="27"/>
  <c r="AC23" i="27"/>
  <c r="BD23" i="27"/>
  <c r="BE23" i="27" s="1"/>
  <c r="AE11" i="27"/>
  <c r="AT9" i="27"/>
  <c r="AU9" i="27" s="1"/>
  <c r="AJ10" i="27"/>
  <c r="AK10" i="27" s="1"/>
  <c r="AJ12" i="27"/>
  <c r="AK12" i="27" s="1"/>
  <c r="AE9" i="27"/>
  <c r="AE12" i="27"/>
  <c r="AC9" i="27"/>
  <c r="AC12" i="27"/>
  <c r="AA9" i="27"/>
  <c r="AA12" i="27"/>
  <c r="Y9" i="27"/>
  <c r="Y12" i="27"/>
  <c r="W12" i="27"/>
  <c r="W9" i="27"/>
  <c r="AT12" i="27"/>
  <c r="AU12" i="27" s="1"/>
  <c r="AT10" i="27"/>
  <c r="AU10" i="27" s="1"/>
  <c r="AT8" i="27"/>
  <c r="AJ11" i="27"/>
  <c r="AK11" i="27" s="1"/>
  <c r="AC11" i="27"/>
  <c r="AA11" i="27"/>
  <c r="Y11" i="27"/>
  <c r="W11" i="27"/>
  <c r="BG25" i="42"/>
  <c r="BC13" i="42"/>
  <c r="BD13" i="42" s="1"/>
  <c r="AP13" i="42"/>
  <c r="AQ13" i="42" s="1"/>
  <c r="V13" i="42"/>
  <c r="W13" i="42" s="1"/>
  <c r="BQ12" i="42"/>
  <c r="BR12" i="42" s="1"/>
  <c r="AS12" i="42"/>
  <c r="AT12" i="42" s="1"/>
  <c r="AF12" i="42"/>
  <c r="AG12" i="42" s="1"/>
  <c r="M12" i="42"/>
  <c r="N12" i="42" s="1"/>
  <c r="AW11" i="42"/>
  <c r="AX11" i="42" s="1"/>
  <c r="BM10" i="42"/>
  <c r="BN10" i="42" s="1"/>
  <c r="AL10" i="42"/>
  <c r="AM10" i="42" s="1"/>
  <c r="S10" i="42"/>
  <c r="T10" i="42" s="1"/>
  <c r="BC9" i="42"/>
  <c r="BD9" i="42" s="1"/>
  <c r="AI9" i="42"/>
  <c r="AJ9" i="42" s="1"/>
  <c r="V9" i="42"/>
  <c r="W9" i="42" s="1"/>
  <c r="BQ25" i="42"/>
  <c r="BR25" i="42" s="1"/>
  <c r="BC25" i="42"/>
  <c r="BD25" i="42" s="1"/>
  <c r="AS25" i="42"/>
  <c r="AT25" i="42" s="1"/>
  <c r="AP18" i="42"/>
  <c r="AQ18" i="42" s="1"/>
  <c r="BM13" i="42"/>
  <c r="BN13" i="42" s="1"/>
  <c r="BG13" i="42"/>
  <c r="BH13" i="42" s="1"/>
  <c r="AZ13" i="42"/>
  <c r="BA13" i="42" s="1"/>
  <c r="AS13" i="42"/>
  <c r="AT13" i="42" s="1"/>
  <c r="AL13" i="42"/>
  <c r="AM13" i="42" s="1"/>
  <c r="AF13" i="42"/>
  <c r="AG13" i="42" s="1"/>
  <c r="Z13" i="42"/>
  <c r="AA13" i="42" s="1"/>
  <c r="S13" i="42"/>
  <c r="T13" i="42" s="1"/>
  <c r="M13" i="42"/>
  <c r="N13" i="42" s="1"/>
  <c r="BM12" i="42"/>
  <c r="BN12" i="42" s="1"/>
  <c r="BG12" i="42"/>
  <c r="BH12" i="42" s="1"/>
  <c r="AP12" i="42"/>
  <c r="AQ12" i="42" s="1"/>
  <c r="AI12" i="42"/>
  <c r="AJ12" i="42" s="1"/>
  <c r="AC12" i="42"/>
  <c r="AD12" i="42" s="1"/>
  <c r="V12" i="42"/>
  <c r="W12" i="42" s="1"/>
  <c r="P12" i="42"/>
  <c r="Q12" i="42" s="1"/>
  <c r="BQ11" i="42"/>
  <c r="BR11" i="42" s="1"/>
  <c r="AZ11" i="42"/>
  <c r="BA11" i="42" s="1"/>
  <c r="AS11" i="42"/>
  <c r="AT11" i="42" s="1"/>
  <c r="BQ10" i="42"/>
  <c r="BR10" i="42" s="1"/>
  <c r="BJ10" i="42"/>
  <c r="BK10" i="42" s="1"/>
  <c r="BC10" i="42"/>
  <c r="BD10" i="42" s="1"/>
  <c r="AI10" i="42"/>
  <c r="AJ10" i="42" s="1"/>
  <c r="AC10" i="42"/>
  <c r="AD10" i="42" s="1"/>
  <c r="V10" i="42"/>
  <c r="W10" i="42" s="1"/>
  <c r="P10" i="42"/>
  <c r="Q10" i="42" s="1"/>
  <c r="BQ9" i="42"/>
  <c r="BR9" i="42" s="1"/>
  <c r="AS9" i="42"/>
  <c r="AT9" i="42" s="1"/>
  <c r="AL9" i="42"/>
  <c r="AM9" i="42" s="1"/>
  <c r="AF9" i="42"/>
  <c r="AG9" i="42" s="1"/>
  <c r="Z9" i="42"/>
  <c r="AA9" i="42" s="1"/>
  <c r="S9" i="42"/>
  <c r="T9" i="42" s="1"/>
  <c r="M9" i="42"/>
  <c r="N9" i="42" s="1"/>
  <c r="AW25" i="42"/>
  <c r="AP25" i="42"/>
  <c r="AQ25" i="42" s="1"/>
  <c r="S25" i="42"/>
  <c r="BJ13" i="42"/>
  <c r="BK13" i="42" s="1"/>
  <c r="AW13" i="42"/>
  <c r="AX13" i="42" s="1"/>
  <c r="AI13" i="42"/>
  <c r="AJ13" i="42" s="1"/>
  <c r="AC13" i="42"/>
  <c r="AD13" i="42" s="1"/>
  <c r="P13" i="42"/>
  <c r="Q13" i="42" s="1"/>
  <c r="BJ12" i="42"/>
  <c r="BK12" i="42" s="1"/>
  <c r="AL12" i="42"/>
  <c r="AM12" i="42" s="1"/>
  <c r="Z12" i="42"/>
  <c r="AA12" i="42" s="1"/>
  <c r="S12" i="42"/>
  <c r="T12" i="42" s="1"/>
  <c r="BC11" i="42"/>
  <c r="BD11" i="42" s="1"/>
  <c r="AP11" i="42"/>
  <c r="AQ11" i="42" s="1"/>
  <c r="BG10" i="42"/>
  <c r="BH10" i="42" s="1"/>
  <c r="AF10" i="42"/>
  <c r="AG10" i="42" s="1"/>
  <c r="Z10" i="42"/>
  <c r="AA10" i="42" s="1"/>
  <c r="M10" i="42"/>
  <c r="N10" i="42" s="1"/>
  <c r="AP9" i="42"/>
  <c r="AQ9" i="42" s="1"/>
  <c r="AC9" i="42"/>
  <c r="AD9" i="42" s="1"/>
  <c r="P9" i="42"/>
  <c r="Q9" i="42" s="1"/>
  <c r="AR10" i="27"/>
  <c r="AS10" i="27" s="1"/>
  <c r="AR8" i="27"/>
  <c r="AR12" i="27"/>
  <c r="AS12" i="27" s="1"/>
  <c r="AR9" i="27"/>
  <c r="AY11" i="27"/>
  <c r="AZ11" i="27" s="1"/>
  <c r="AW9" i="27"/>
  <c r="AW12" i="27"/>
  <c r="AX12" i="27" s="1"/>
  <c r="AM12" i="27"/>
  <c r="AN12" i="27" s="1"/>
  <c r="AH11" i="27"/>
  <c r="AI11" i="27" s="1"/>
  <c r="AH8" i="27"/>
  <c r="AI8" i="27" s="1"/>
  <c r="AY9" i="27"/>
  <c r="AY12" i="27"/>
  <c r="AZ12" i="27" s="1"/>
  <c r="AW11" i="27"/>
  <c r="AX11" i="27" s="1"/>
  <c r="AO12" i="27"/>
  <c r="AP12" i="27" s="1"/>
  <c r="AH10" i="27"/>
  <c r="AI10" i="27" s="1"/>
  <c r="AH12" i="27"/>
  <c r="AI12" i="27" s="1"/>
  <c r="AI17" i="27"/>
  <c r="J12" i="27"/>
  <c r="K12" i="27" s="1"/>
  <c r="T11" i="27"/>
  <c r="U11" i="27" s="1"/>
  <c r="N12" i="27"/>
  <c r="O12" i="27" s="1"/>
  <c r="L11" i="27"/>
  <c r="J11" i="27"/>
  <c r="K11" i="27" s="1"/>
  <c r="T12" i="27"/>
  <c r="U12" i="27" s="1"/>
  <c r="N11" i="27"/>
  <c r="O11" i="27" s="1"/>
  <c r="L12" i="27"/>
  <c r="AJ8" i="27"/>
  <c r="BG9" i="27"/>
  <c r="BH9" i="27" s="1"/>
  <c r="BB12" i="27"/>
  <c r="BC12" i="27" s="1"/>
  <c r="BG8" i="27"/>
  <c r="BG10" i="27"/>
  <c r="BH10" i="27" s="1"/>
  <c r="BG11" i="27"/>
  <c r="BH11" i="27" s="1"/>
  <c r="BB11" i="27"/>
  <c r="BC11" i="27" s="1"/>
  <c r="BB9" i="27"/>
  <c r="BC9" i="27" s="1"/>
  <c r="S17" i="57" l="1"/>
  <c r="T8" i="57"/>
  <c r="K17" i="57"/>
  <c r="L7" i="57"/>
  <c r="M17" i="57"/>
  <c r="N7" i="57"/>
  <c r="P17" i="57"/>
  <c r="Q7" i="57"/>
  <c r="I17" i="57"/>
  <c r="J7" i="57"/>
  <c r="T30" i="57"/>
  <c r="Q30" i="57"/>
  <c r="J7" i="53"/>
  <c r="AN30" i="51"/>
  <c r="AO30" i="51" s="1"/>
  <c r="AM30" i="51"/>
  <c r="N30" i="51"/>
  <c r="J30" i="51"/>
  <c r="Q30" i="51"/>
  <c r="R30" i="51" s="1"/>
  <c r="K30" i="51"/>
  <c r="L30" i="51" s="1"/>
  <c r="S30" i="51"/>
  <c r="T30" i="51" s="1"/>
  <c r="AD30" i="53"/>
  <c r="AE30" i="53" s="1"/>
  <c r="X30" i="53"/>
  <c r="Y30" i="53" s="1"/>
  <c r="AC30" i="53"/>
  <c r="V30" i="53"/>
  <c r="W30" i="53" s="1"/>
  <c r="Z30" i="53"/>
  <c r="AA30" i="53" s="1"/>
  <c r="AN30" i="53"/>
  <c r="AO30" i="53" s="1"/>
  <c r="AM30" i="53"/>
  <c r="AX30" i="51"/>
  <c r="AY30" i="51" s="1"/>
  <c r="AW30" i="51"/>
  <c r="S30" i="53"/>
  <c r="T30" i="53" s="1"/>
  <c r="N30" i="53"/>
  <c r="I30" i="53"/>
  <c r="J30" i="53" s="1"/>
  <c r="K30" i="53"/>
  <c r="L30" i="53" s="1"/>
  <c r="Q30" i="53"/>
  <c r="R30" i="53" s="1"/>
  <c r="AX30" i="53"/>
  <c r="AY30" i="53" s="1"/>
  <c r="AW30" i="53"/>
  <c r="AD30" i="51"/>
  <c r="AE30" i="51" s="1"/>
  <c r="X30" i="51"/>
  <c r="Y30" i="51" s="1"/>
  <c r="AC30" i="51"/>
  <c r="V30" i="51"/>
  <c r="W30" i="51" s="1"/>
  <c r="Z30" i="51"/>
  <c r="AA30" i="51" s="1"/>
  <c r="W23" i="27"/>
  <c r="Y23" i="27"/>
  <c r="AE23" i="27"/>
  <c r="AA23" i="27"/>
  <c r="AY23" i="47"/>
  <c r="AZ23" i="47" s="1"/>
  <c r="AX23" i="47"/>
  <c r="AE23" i="47"/>
  <c r="AF23" i="47" s="1"/>
  <c r="AD23" i="47"/>
  <c r="Y23" i="47"/>
  <c r="Z23" i="47" s="1"/>
  <c r="AA23" i="47"/>
  <c r="AB23" i="47" s="1"/>
  <c r="W23" i="47"/>
  <c r="X23" i="47" s="1"/>
  <c r="R23" i="47"/>
  <c r="S23" i="47" s="1"/>
  <c r="T23" i="47"/>
  <c r="U23" i="47" s="1"/>
  <c r="O23" i="47"/>
  <c r="L23" i="47"/>
  <c r="M23" i="47" s="1"/>
  <c r="J23" i="47"/>
  <c r="K23" i="47" s="1"/>
  <c r="AO23" i="47"/>
  <c r="AP23" i="47" s="1"/>
  <c r="AN23" i="47"/>
  <c r="AU8" i="27"/>
  <c r="T25" i="42"/>
  <c r="M25" i="42"/>
  <c r="N25" i="42" s="1"/>
  <c r="AI25" i="42"/>
  <c r="AJ25" i="42" s="1"/>
  <c r="V25" i="42"/>
  <c r="W25" i="42" s="1"/>
  <c r="P25" i="42"/>
  <c r="Q25" i="42" s="1"/>
  <c r="AC25" i="42"/>
  <c r="AD25" i="42" s="1"/>
  <c r="Z25" i="42"/>
  <c r="AA25" i="42" s="1"/>
  <c r="AL25" i="42"/>
  <c r="AM25" i="42" s="1"/>
  <c r="AF25" i="42"/>
  <c r="AG25" i="42" s="1"/>
  <c r="AX25" i="42"/>
  <c r="AZ25" i="42"/>
  <c r="BA25" i="42" s="1"/>
  <c r="BH25" i="42"/>
  <c r="BJ25" i="42"/>
  <c r="BK25" i="42" s="1"/>
  <c r="BM25" i="42"/>
  <c r="BN25" i="42" s="1"/>
  <c r="M11" i="27"/>
  <c r="M12" i="27"/>
  <c r="BH8" i="27"/>
  <c r="S34" i="57" l="1"/>
  <c r="T34" i="57" s="1"/>
  <c r="S18" i="57"/>
  <c r="T17" i="57"/>
  <c r="L17" i="57"/>
  <c r="K18" i="57"/>
  <c r="K34" i="57"/>
  <c r="M18" i="57"/>
  <c r="N17" i="57"/>
  <c r="Q17" i="57"/>
  <c r="P18" i="57"/>
  <c r="P34" i="57"/>
  <c r="Q34" i="57" s="1"/>
  <c r="J17" i="57"/>
  <c r="I18" i="57"/>
  <c r="AY31" i="27"/>
  <c r="AZ31" i="27" s="1"/>
  <c r="AY30" i="27"/>
  <c r="AZ30" i="27" s="1"/>
  <c r="AW31" i="27"/>
  <c r="AX31" i="27" s="1"/>
  <c r="AW30" i="27"/>
  <c r="AX30" i="27" s="1"/>
  <c r="AO31" i="27"/>
  <c r="AP31" i="27" s="1"/>
  <c r="AO30" i="27"/>
  <c r="AP30" i="27" s="1"/>
  <c r="AM31" i="27"/>
  <c r="AN31" i="27" s="1"/>
  <c r="AM30" i="27"/>
  <c r="AN30" i="27" s="1"/>
  <c r="T31" i="27"/>
  <c r="U31" i="27" s="1"/>
  <c r="T30" i="27"/>
  <c r="U30" i="27" s="1"/>
  <c r="N31" i="27"/>
  <c r="O31" i="27" s="1"/>
  <c r="O30" i="27"/>
  <c r="L31" i="27"/>
  <c r="M31" i="27" s="1"/>
  <c r="L30" i="27"/>
  <c r="M30" i="27" s="1"/>
  <c r="J31" i="27"/>
  <c r="K31" i="27" s="1"/>
  <c r="J30" i="27"/>
  <c r="K30" i="27" s="1"/>
  <c r="T18" i="57" l="1"/>
  <c r="L18" i="57"/>
  <c r="K19" i="57"/>
  <c r="L34" i="57"/>
  <c r="M36" i="57"/>
  <c r="N36" i="57" s="1"/>
  <c r="N18" i="57"/>
  <c r="Q18" i="57"/>
  <c r="I36" i="57"/>
  <c r="J36" i="57" s="1"/>
  <c r="J18" i="57"/>
  <c r="J17" i="27"/>
  <c r="L17" i="27"/>
  <c r="N17" i="27"/>
  <c r="L19" i="57" l="1"/>
  <c r="K36" i="57"/>
  <c r="L36" i="57" s="1"/>
  <c r="D17" i="34"/>
  <c r="E35" i="34"/>
  <c r="F28" i="34"/>
  <c r="F24" i="34"/>
  <c r="K35" i="17"/>
  <c r="E35" i="17"/>
  <c r="F17" i="34"/>
  <c r="E38" i="34" l="1"/>
  <c r="F38" i="34" s="1"/>
  <c r="F22" i="34"/>
  <c r="J35" i="34"/>
  <c r="D8" i="43" s="1"/>
  <c r="K18" i="34" l="1"/>
  <c r="K36" i="34"/>
  <c r="A24" i="34"/>
  <c r="D5" i="43"/>
  <c r="D4" i="43"/>
  <c r="I6" i="34"/>
  <c r="F26" i="34"/>
  <c r="J21" i="34" l="1"/>
  <c r="I10" i="34" s="1"/>
  <c r="K10" i="34" s="1"/>
  <c r="K6" i="34"/>
  <c r="J6" i="34"/>
  <c r="Q13" i="23"/>
  <c r="J28" i="37" l="1"/>
  <c r="AL9" i="53" s="1"/>
  <c r="J27" i="37"/>
  <c r="AL10" i="51" s="1"/>
  <c r="I25" i="37"/>
  <c r="J30" i="37"/>
  <c r="AW10" i="42"/>
  <c r="AX10" i="42" s="1"/>
  <c r="AW9" i="42"/>
  <c r="J36" i="37"/>
  <c r="J40" i="37"/>
  <c r="O40" i="37" s="1"/>
  <c r="J35" i="37"/>
  <c r="J32" i="37"/>
  <c r="BG9" i="42" s="1"/>
  <c r="J33" i="37"/>
  <c r="BG11" i="42" s="1"/>
  <c r="BH11" i="42" s="1"/>
  <c r="J38" i="37"/>
  <c r="AM10" i="53" l="1"/>
  <c r="BF11" i="53"/>
  <c r="AV17" i="53"/>
  <c r="AW7" i="53"/>
  <c r="Z9" i="53"/>
  <c r="AM9" i="53"/>
  <c r="O38" i="37"/>
  <c r="M30" i="37"/>
  <c r="M31" i="37" s="1"/>
  <c r="AV7" i="51"/>
  <c r="AW7" i="51" s="1"/>
  <c r="BF11" i="51"/>
  <c r="AV9" i="51"/>
  <c r="AW9" i="51" s="1"/>
  <c r="AL9" i="51"/>
  <c r="AM9" i="51" s="1"/>
  <c r="BG12" i="27"/>
  <c r="AM11" i="47"/>
  <c r="AN11" i="47" s="1"/>
  <c r="AM10" i="51"/>
  <c r="O35" i="37"/>
  <c r="AW8" i="47"/>
  <c r="BQ13" i="42"/>
  <c r="BQ37" i="42" s="1"/>
  <c r="BG12" i="47"/>
  <c r="O36" i="37"/>
  <c r="AW10" i="47"/>
  <c r="AX10" i="47" s="1"/>
  <c r="AM10" i="27"/>
  <c r="AM10" i="47"/>
  <c r="H14" i="37"/>
  <c r="I14" i="37"/>
  <c r="J14" i="37"/>
  <c r="H15" i="37"/>
  <c r="J15" i="37"/>
  <c r="I15" i="37"/>
  <c r="N27" i="37"/>
  <c r="M27" i="37"/>
  <c r="O27" i="37"/>
  <c r="J29" i="37"/>
  <c r="K27" i="37"/>
  <c r="K28" i="37"/>
  <c r="AN9" i="53" s="1"/>
  <c r="N28" i="37"/>
  <c r="M28" i="37"/>
  <c r="O28" i="37"/>
  <c r="AU23" i="27"/>
  <c r="BG19" i="42"/>
  <c r="BG37" i="42"/>
  <c r="BH9" i="42"/>
  <c r="AX9" i="42"/>
  <c r="AM11" i="27"/>
  <c r="AW12" i="42"/>
  <c r="AX12" i="42" s="1"/>
  <c r="P11" i="42"/>
  <c r="AF11" i="42"/>
  <c r="H25" i="37"/>
  <c r="J25" i="37"/>
  <c r="I26" i="37"/>
  <c r="J31" i="37"/>
  <c r="O30" i="37"/>
  <c r="K30" i="37"/>
  <c r="N30" i="37"/>
  <c r="N31" i="37" s="1"/>
  <c r="AM8" i="27"/>
  <c r="O33" i="37"/>
  <c r="AW10" i="27"/>
  <c r="AM9" i="27"/>
  <c r="AN9" i="27" s="1"/>
  <c r="O32" i="37"/>
  <c r="AW8" i="27"/>
  <c r="I23" i="37"/>
  <c r="I24" i="37" s="1"/>
  <c r="J23" i="37"/>
  <c r="H23" i="37"/>
  <c r="H24" i="37" s="1"/>
  <c r="K40" i="37"/>
  <c r="M40" i="37"/>
  <c r="M41" i="37" s="1"/>
  <c r="J41" i="37"/>
  <c r="N40" i="37"/>
  <c r="N41" i="37" s="1"/>
  <c r="I17" i="37"/>
  <c r="J17" i="37"/>
  <c r="H17" i="37"/>
  <c r="J18" i="37"/>
  <c r="I18" i="37"/>
  <c r="H18" i="37"/>
  <c r="N36" i="37"/>
  <c r="M36" i="37"/>
  <c r="N33" i="37"/>
  <c r="M33" i="37"/>
  <c r="N32" i="37"/>
  <c r="M32" i="37"/>
  <c r="K35" i="37"/>
  <c r="N35" i="37"/>
  <c r="M35" i="37"/>
  <c r="K38" i="37"/>
  <c r="N38" i="37"/>
  <c r="M38" i="37"/>
  <c r="I20" i="37"/>
  <c r="J20" i="37"/>
  <c r="O20" i="37" s="1"/>
  <c r="H20" i="37"/>
  <c r="H21" i="37"/>
  <c r="I21" i="37"/>
  <c r="J21" i="37"/>
  <c r="J39" i="37"/>
  <c r="J11" i="37"/>
  <c r="O11" i="37" s="1"/>
  <c r="H11" i="37"/>
  <c r="I11" i="37"/>
  <c r="K32" i="37"/>
  <c r="BJ9" i="42" s="1"/>
  <c r="J5" i="37"/>
  <c r="O5" i="37" s="1"/>
  <c r="H5" i="37"/>
  <c r="I5" i="37"/>
  <c r="J8" i="37"/>
  <c r="H8" i="37"/>
  <c r="I8" i="37"/>
  <c r="J9" i="37"/>
  <c r="H9" i="37"/>
  <c r="I9" i="37"/>
  <c r="K33" i="37"/>
  <c r="J34" i="37"/>
  <c r="J12" i="37"/>
  <c r="O12" i="37" s="1"/>
  <c r="H12" i="37"/>
  <c r="I12" i="37"/>
  <c r="J6" i="37"/>
  <c r="O6" i="37" s="1"/>
  <c r="I6" i="37"/>
  <c r="H6" i="37"/>
  <c r="J37" i="37"/>
  <c r="K36" i="37"/>
  <c r="I7" i="34"/>
  <c r="I8" i="34" s="1"/>
  <c r="O21" i="37" l="1"/>
  <c r="O9" i="51"/>
  <c r="AN10" i="53"/>
  <c r="AO10" i="53" s="1"/>
  <c r="AL17" i="53"/>
  <c r="AM17" i="53" s="1"/>
  <c r="AS10" i="53"/>
  <c r="BG11" i="53"/>
  <c r="BF17" i="53"/>
  <c r="AX7" i="53"/>
  <c r="AB9" i="53"/>
  <c r="O9" i="53"/>
  <c r="AO9" i="53"/>
  <c r="BC7" i="53"/>
  <c r="AA9" i="53"/>
  <c r="Z17" i="53"/>
  <c r="AV34" i="53"/>
  <c r="AV18" i="53"/>
  <c r="AW17" i="53"/>
  <c r="BC7" i="51"/>
  <c r="BD7" i="51" s="1"/>
  <c r="K31" i="37"/>
  <c r="BD8" i="47"/>
  <c r="BD18" i="47" s="1"/>
  <c r="BD8" i="27"/>
  <c r="BE8" i="27" s="1"/>
  <c r="AV17" i="51"/>
  <c r="AV18" i="51" s="1"/>
  <c r="AB9" i="51"/>
  <c r="AC9" i="51" s="1"/>
  <c r="J10" i="47"/>
  <c r="K10" i="47" s="1"/>
  <c r="Z9" i="51"/>
  <c r="AA9" i="51" s="1"/>
  <c r="I22" i="37"/>
  <c r="AL17" i="51"/>
  <c r="J8" i="47"/>
  <c r="K8" i="47" s="1"/>
  <c r="I7" i="51"/>
  <c r="Z7" i="51"/>
  <c r="K7" i="51"/>
  <c r="I9" i="51"/>
  <c r="J9" i="51" s="1"/>
  <c r="AB7" i="51"/>
  <c r="AC7" i="51" s="1"/>
  <c r="M7" i="51"/>
  <c r="N7" i="51" s="1"/>
  <c r="O7" i="51"/>
  <c r="P7" i="51" s="1"/>
  <c r="K9" i="51"/>
  <c r="L9" i="51" s="1"/>
  <c r="AY10" i="47"/>
  <c r="AZ10" i="47" s="1"/>
  <c r="AX9" i="51"/>
  <c r="AY9" i="51" s="1"/>
  <c r="M9" i="51"/>
  <c r="AO10" i="47"/>
  <c r="AN9" i="51"/>
  <c r="AY8" i="47"/>
  <c r="AX7" i="51"/>
  <c r="AT11" i="47"/>
  <c r="AU11" i="47" s="1"/>
  <c r="AS10" i="51"/>
  <c r="AO11" i="47"/>
  <c r="AP11" i="47" s="1"/>
  <c r="AN10" i="51"/>
  <c r="AO10" i="51" s="1"/>
  <c r="BG11" i="51"/>
  <c r="BF17" i="51"/>
  <c r="BQ19" i="42"/>
  <c r="BQ21" i="42" s="1"/>
  <c r="BR21" i="42" s="1"/>
  <c r="BR13" i="42"/>
  <c r="P10" i="47"/>
  <c r="Q10" i="47" s="1"/>
  <c r="N10" i="47"/>
  <c r="O10" i="47" s="1"/>
  <c r="AC10" i="47"/>
  <c r="AD10" i="47" s="1"/>
  <c r="P8" i="27"/>
  <c r="Q8" i="27" s="1"/>
  <c r="AC8" i="47"/>
  <c r="P8" i="47"/>
  <c r="N8" i="47"/>
  <c r="AN10" i="47"/>
  <c r="AM34" i="47"/>
  <c r="AM18" i="47"/>
  <c r="BH12" i="47"/>
  <c r="BG34" i="47"/>
  <c r="BG18" i="47"/>
  <c r="AX8" i="47"/>
  <c r="AW34" i="47"/>
  <c r="AW18" i="47"/>
  <c r="L10" i="27"/>
  <c r="L10" i="47"/>
  <c r="M10" i="47" s="1"/>
  <c r="AA10" i="47"/>
  <c r="AB10" i="47" s="1"/>
  <c r="AA8" i="27"/>
  <c r="L8" i="47"/>
  <c r="AA8" i="47"/>
  <c r="O18" i="37"/>
  <c r="P10" i="27"/>
  <c r="Q10" i="27" s="1"/>
  <c r="O17" i="37"/>
  <c r="AC8" i="27"/>
  <c r="AC10" i="27"/>
  <c r="AA10" i="27"/>
  <c r="L28" i="37"/>
  <c r="AO10" i="27"/>
  <c r="M29" i="37"/>
  <c r="I16" i="37"/>
  <c r="L27" i="37"/>
  <c r="K29" i="37"/>
  <c r="O29" i="37"/>
  <c r="N29" i="37"/>
  <c r="M15" i="37"/>
  <c r="O15" i="37"/>
  <c r="K15" i="37"/>
  <c r="L15" i="37" s="1"/>
  <c r="N15" i="37"/>
  <c r="M14" i="37"/>
  <c r="K14" i="37"/>
  <c r="N14" i="37"/>
  <c r="J16" i="37"/>
  <c r="O14" i="37"/>
  <c r="H16" i="37"/>
  <c r="O31" i="37"/>
  <c r="AT11" i="27"/>
  <c r="AY10" i="27"/>
  <c r="BJ11" i="42"/>
  <c r="BK11" i="42" s="1"/>
  <c r="AZ9" i="42"/>
  <c r="AZ10" i="42"/>
  <c r="BA10" i="42" s="1"/>
  <c r="AO11" i="27"/>
  <c r="AZ12" i="42"/>
  <c r="BA12" i="42" s="1"/>
  <c r="J10" i="27"/>
  <c r="K10" i="27" s="1"/>
  <c r="M11" i="42"/>
  <c r="Q11" i="42"/>
  <c r="P37" i="42"/>
  <c r="P19" i="42"/>
  <c r="AW37" i="42"/>
  <c r="BG41" i="42"/>
  <c r="BG47" i="42"/>
  <c r="BK9" i="42"/>
  <c r="AI11" i="42"/>
  <c r="S11" i="42"/>
  <c r="AG11" i="42"/>
  <c r="AF19" i="42"/>
  <c r="AF37" i="42"/>
  <c r="AW19" i="42"/>
  <c r="BG20" i="42"/>
  <c r="BH20" i="42" s="1"/>
  <c r="BG22" i="42"/>
  <c r="BH22" i="42" s="1"/>
  <c r="BH19" i="42"/>
  <c r="BG21" i="42"/>
  <c r="BH21" i="42" s="1"/>
  <c r="N10" i="27"/>
  <c r="H26" i="37"/>
  <c r="J26" i="37"/>
  <c r="AY8" i="27"/>
  <c r="O23" i="37"/>
  <c r="AI8" i="51" s="1"/>
  <c r="J24" i="37"/>
  <c r="M25" i="37"/>
  <c r="O25" i="37"/>
  <c r="N25" i="37"/>
  <c r="K25" i="37"/>
  <c r="J9" i="27"/>
  <c r="K9" i="27" s="1"/>
  <c r="J8" i="27"/>
  <c r="K8" i="27" s="1"/>
  <c r="L9" i="27"/>
  <c r="L8" i="27"/>
  <c r="L30" i="37"/>
  <c r="AS9" i="27"/>
  <c r="AO9" i="27"/>
  <c r="AO8" i="27"/>
  <c r="O9" i="37"/>
  <c r="N9" i="27"/>
  <c r="O8" i="37"/>
  <c r="N8" i="27"/>
  <c r="AK8" i="27"/>
  <c r="O41" i="37"/>
  <c r="BG34" i="27"/>
  <c r="M23" i="37"/>
  <c r="M24" i="37" s="1"/>
  <c r="N23" i="37"/>
  <c r="N24" i="37" s="1"/>
  <c r="K23" i="37"/>
  <c r="K24" i="37" s="1"/>
  <c r="L40" i="37"/>
  <c r="L41" i="37" s="1"/>
  <c r="K41" i="37"/>
  <c r="I19" i="37"/>
  <c r="L33" i="37"/>
  <c r="L32" i="37"/>
  <c r="L35" i="37"/>
  <c r="O37" i="37"/>
  <c r="L38" i="37"/>
  <c r="O39" i="37"/>
  <c r="M18" i="37"/>
  <c r="K18" i="37"/>
  <c r="N18" i="37"/>
  <c r="H19" i="37"/>
  <c r="N17" i="37"/>
  <c r="J19" i="37"/>
  <c r="K17" i="37"/>
  <c r="M17" i="37"/>
  <c r="N39" i="37"/>
  <c r="M37" i="37"/>
  <c r="M39" i="37"/>
  <c r="M34" i="37"/>
  <c r="N21" i="37"/>
  <c r="M21" i="37"/>
  <c r="K20" i="37"/>
  <c r="N20" i="37"/>
  <c r="M20" i="37"/>
  <c r="N37" i="37"/>
  <c r="N9" i="37"/>
  <c r="M9" i="37"/>
  <c r="N12" i="37"/>
  <c r="M12" i="37"/>
  <c r="M5" i="37"/>
  <c r="N5" i="37"/>
  <c r="K11" i="37"/>
  <c r="N11" i="37"/>
  <c r="M11" i="37"/>
  <c r="N34" i="37"/>
  <c r="M6" i="37"/>
  <c r="N6" i="37"/>
  <c r="K8" i="37"/>
  <c r="N8" i="37"/>
  <c r="M8" i="37"/>
  <c r="H22" i="37"/>
  <c r="BM11" i="42"/>
  <c r="BN11" i="42" s="1"/>
  <c r="K39" i="37"/>
  <c r="K21" i="37"/>
  <c r="J22" i="37"/>
  <c r="K37" i="37"/>
  <c r="L36" i="37"/>
  <c r="H13" i="37"/>
  <c r="I10" i="37"/>
  <c r="K5" i="37"/>
  <c r="H10" i="37"/>
  <c r="I13" i="37"/>
  <c r="I7" i="37"/>
  <c r="K6" i="37"/>
  <c r="J7" i="37"/>
  <c r="K34" i="37"/>
  <c r="J13" i="37"/>
  <c r="K12" i="37"/>
  <c r="H7" i="37"/>
  <c r="K9" i="37"/>
  <c r="J10" i="37"/>
  <c r="J10" i="34"/>
  <c r="K7" i="34"/>
  <c r="J7" i="34"/>
  <c r="V9" i="53" l="1"/>
  <c r="X9" i="53"/>
  <c r="AL34" i="53"/>
  <c r="AM34" i="53" s="1"/>
  <c r="BD18" i="27"/>
  <c r="AL18" i="53"/>
  <c r="AM18" i="53" s="1"/>
  <c r="L29" i="37"/>
  <c r="AN17" i="53"/>
  <c r="AO17" i="53" s="1"/>
  <c r="AQ10" i="53"/>
  <c r="AW18" i="53"/>
  <c r="AA17" i="53"/>
  <c r="Z18" i="53"/>
  <c r="BC17" i="53"/>
  <c r="BD7" i="53"/>
  <c r="AC9" i="53"/>
  <c r="AB17" i="53"/>
  <c r="AT10" i="53"/>
  <c r="AS17" i="53"/>
  <c r="Y9" i="53"/>
  <c r="X17" i="53"/>
  <c r="W9" i="53"/>
  <c r="V17" i="53"/>
  <c r="BA7" i="53"/>
  <c r="AD9" i="53"/>
  <c r="S9" i="53"/>
  <c r="Q9" i="53"/>
  <c r="AI9" i="53"/>
  <c r="AW34" i="53"/>
  <c r="P9" i="53"/>
  <c r="O17" i="53"/>
  <c r="AX17" i="53"/>
  <c r="AY7" i="53"/>
  <c r="BF18" i="53"/>
  <c r="BG17" i="53"/>
  <c r="BE8" i="47"/>
  <c r="BC17" i="51"/>
  <c r="BC34" i="51" s="1"/>
  <c r="BD34" i="51" s="1"/>
  <c r="BD34" i="47"/>
  <c r="BD34" i="27"/>
  <c r="AM17" i="51"/>
  <c r="AL34" i="51"/>
  <c r="AM34" i="51" s="1"/>
  <c r="AW17" i="51"/>
  <c r="AV34" i="51"/>
  <c r="AW34" i="51" s="1"/>
  <c r="Z17" i="51"/>
  <c r="AA17" i="51" s="1"/>
  <c r="V7" i="51"/>
  <c r="W7" i="51" s="1"/>
  <c r="BA7" i="51"/>
  <c r="BA17" i="51" s="1"/>
  <c r="BA34" i="51" s="1"/>
  <c r="BB34" i="51" s="1"/>
  <c r="AI9" i="51"/>
  <c r="AJ9" i="51" s="1"/>
  <c r="AD9" i="51"/>
  <c r="AE9" i="51" s="1"/>
  <c r="X7" i="51"/>
  <c r="Y7" i="51" s="1"/>
  <c r="AT18" i="47"/>
  <c r="AT19" i="47" s="1"/>
  <c r="J18" i="47"/>
  <c r="J20" i="47" s="1"/>
  <c r="I17" i="51"/>
  <c r="I34" i="51" s="1"/>
  <c r="AB17" i="51"/>
  <c r="AC17" i="51" s="1"/>
  <c r="AL18" i="51"/>
  <c r="AM18" i="51" s="1"/>
  <c r="AY34" i="47"/>
  <c r="AO18" i="47"/>
  <c r="AO19" i="47" s="1"/>
  <c r="AP10" i="47"/>
  <c r="AZ8" i="47"/>
  <c r="AY18" i="47"/>
  <c r="AZ18" i="47" s="1"/>
  <c r="AT34" i="47"/>
  <c r="J34" i="47"/>
  <c r="AA7" i="51"/>
  <c r="L7" i="51"/>
  <c r="K17" i="51"/>
  <c r="K34" i="51" s="1"/>
  <c r="L34" i="51" s="1"/>
  <c r="J28" i="51"/>
  <c r="J7" i="51"/>
  <c r="AD7" i="51"/>
  <c r="Q7" i="51"/>
  <c r="R7" i="51" s="1"/>
  <c r="S7" i="51"/>
  <c r="T7" i="51" s="1"/>
  <c r="AR11" i="47"/>
  <c r="AR18" i="47" s="1"/>
  <c r="AQ10" i="51"/>
  <c r="AJ8" i="51"/>
  <c r="AO34" i="47"/>
  <c r="AX17" i="51"/>
  <c r="AX34" i="51" s="1"/>
  <c r="AY34" i="51" s="1"/>
  <c r="AY7" i="51"/>
  <c r="P9" i="51"/>
  <c r="O17" i="51"/>
  <c r="O34" i="51" s="1"/>
  <c r="Y10" i="47"/>
  <c r="Z10" i="47" s="1"/>
  <c r="X9" i="51"/>
  <c r="Y9" i="51" s="1"/>
  <c r="W10" i="47"/>
  <c r="X10" i="47" s="1"/>
  <c r="V9" i="51"/>
  <c r="W9" i="51" s="1"/>
  <c r="S9" i="51"/>
  <c r="Q9" i="51"/>
  <c r="BF18" i="51"/>
  <c r="BG17" i="51"/>
  <c r="AW18" i="51"/>
  <c r="AT10" i="51"/>
  <c r="AS17" i="51"/>
  <c r="AS34" i="51" s="1"/>
  <c r="AT34" i="51" s="1"/>
  <c r="AO9" i="51"/>
  <c r="AN17" i="51"/>
  <c r="AN34" i="51" s="1"/>
  <c r="AO34" i="51" s="1"/>
  <c r="N9" i="51"/>
  <c r="M17" i="51"/>
  <c r="M34" i="51" s="1"/>
  <c r="N34" i="51" s="1"/>
  <c r="M16" i="37"/>
  <c r="BQ20" i="42"/>
  <c r="BR20" i="42" s="1"/>
  <c r="BQ22" i="42"/>
  <c r="BR22" i="42" s="1"/>
  <c r="BR19" i="42"/>
  <c r="T8" i="47"/>
  <c r="R8" i="47"/>
  <c r="AE8" i="47"/>
  <c r="R10" i="27"/>
  <c r="S10" i="27" s="1"/>
  <c r="AE10" i="47"/>
  <c r="AF10" i="47" s="1"/>
  <c r="T10" i="47"/>
  <c r="U10" i="47" s="1"/>
  <c r="R10" i="47"/>
  <c r="S10" i="47" s="1"/>
  <c r="AM19" i="47"/>
  <c r="AM20" i="47"/>
  <c r="AN18" i="47"/>
  <c r="P34" i="47"/>
  <c r="P18" i="47"/>
  <c r="Q8" i="47"/>
  <c r="Y8" i="27"/>
  <c r="Y8" i="47"/>
  <c r="AB8" i="47"/>
  <c r="AA18" i="47"/>
  <c r="AA34" i="47"/>
  <c r="BG20" i="47"/>
  <c r="BG19" i="47"/>
  <c r="BH18" i="47"/>
  <c r="AD8" i="47"/>
  <c r="AC34" i="47"/>
  <c r="AC18" i="47"/>
  <c r="W8" i="27"/>
  <c r="W8" i="47"/>
  <c r="AJ9" i="27"/>
  <c r="AJ34" i="27" s="1"/>
  <c r="AJ9" i="47"/>
  <c r="M8" i="47"/>
  <c r="L18" i="47"/>
  <c r="L34" i="47"/>
  <c r="AW19" i="47"/>
  <c r="AX18" i="47"/>
  <c r="AW20" i="47"/>
  <c r="BD19" i="47"/>
  <c r="BE18" i="47"/>
  <c r="BD20" i="47"/>
  <c r="BM9" i="42"/>
  <c r="BM19" i="42" s="1"/>
  <c r="BB8" i="47"/>
  <c r="N18" i="47"/>
  <c r="O8" i="47"/>
  <c r="N34" i="47"/>
  <c r="AE8" i="27"/>
  <c r="R8" i="27"/>
  <c r="P18" i="27"/>
  <c r="P34" i="27"/>
  <c r="Y10" i="27"/>
  <c r="AE10" i="27"/>
  <c r="O16" i="37"/>
  <c r="K16" i="37"/>
  <c r="L14" i="37"/>
  <c r="L16" i="37" s="1"/>
  <c r="N16" i="37"/>
  <c r="BJ37" i="42"/>
  <c r="AU11" i="27"/>
  <c r="AT34" i="27"/>
  <c r="AT18" i="27"/>
  <c r="Z11" i="42"/>
  <c r="Z37" i="42" s="1"/>
  <c r="W10" i="27"/>
  <c r="BJ19" i="42"/>
  <c r="BK19" i="42" s="1"/>
  <c r="AR11" i="27"/>
  <c r="AS11" i="27" s="1"/>
  <c r="BC12" i="42"/>
  <c r="AC11" i="42"/>
  <c r="AJ11" i="42"/>
  <c r="AI19" i="42"/>
  <c r="AI37" i="42"/>
  <c r="AW49" i="42"/>
  <c r="AW44" i="42"/>
  <c r="AW40" i="42"/>
  <c r="N11" i="42"/>
  <c r="M37" i="42"/>
  <c r="M45" i="42" s="1"/>
  <c r="M19" i="42"/>
  <c r="AZ37" i="42"/>
  <c r="AZ46" i="42" s="1"/>
  <c r="BA9" i="42"/>
  <c r="AZ19" i="42"/>
  <c r="V11" i="42"/>
  <c r="AL11" i="42"/>
  <c r="O24" i="37"/>
  <c r="AS10" i="42"/>
  <c r="AX19" i="42"/>
  <c r="AW22" i="42"/>
  <c r="AX22" i="42" s="1"/>
  <c r="AW20" i="42"/>
  <c r="AX20" i="42" s="1"/>
  <c r="AW21" i="42"/>
  <c r="AX21" i="42" s="1"/>
  <c r="AG19" i="42"/>
  <c r="AF20" i="42"/>
  <c r="AG20" i="42" s="1"/>
  <c r="AF22" i="42"/>
  <c r="AG22" i="42" s="1"/>
  <c r="AF21" i="42"/>
  <c r="AG21" i="42" s="1"/>
  <c r="T11" i="42"/>
  <c r="S19" i="42"/>
  <c r="S37" i="42"/>
  <c r="P20" i="42"/>
  <c r="Q20" i="42" s="1"/>
  <c r="Q19" i="42"/>
  <c r="P21" i="42"/>
  <c r="Q21" i="42" s="1"/>
  <c r="P22" i="42"/>
  <c r="Q22" i="42" s="1"/>
  <c r="O26" i="37"/>
  <c r="N26" i="37"/>
  <c r="M26" i="37"/>
  <c r="K26" i="37"/>
  <c r="L25" i="37"/>
  <c r="T10" i="27"/>
  <c r="L31" i="37"/>
  <c r="T9" i="27"/>
  <c r="T8" i="27"/>
  <c r="AC18" i="27"/>
  <c r="AC34" i="27"/>
  <c r="AS8" i="27"/>
  <c r="L34" i="37"/>
  <c r="BB8" i="27"/>
  <c r="L37" i="37"/>
  <c r="BB10" i="27"/>
  <c r="BH12" i="27"/>
  <c r="BG18" i="27"/>
  <c r="L23" i="37"/>
  <c r="L6" i="37"/>
  <c r="L11" i="37"/>
  <c r="O13" i="37"/>
  <c r="L20" i="37"/>
  <c r="O22" i="37"/>
  <c r="O34" i="37"/>
  <c r="L8" i="37"/>
  <c r="O10" i="37"/>
  <c r="L5" i="37"/>
  <c r="O7" i="37"/>
  <c r="L18" i="37"/>
  <c r="O19" i="37"/>
  <c r="N19" i="37"/>
  <c r="M19" i="37"/>
  <c r="L17" i="37"/>
  <c r="K19" i="37"/>
  <c r="M13" i="37"/>
  <c r="N10" i="37"/>
  <c r="N22" i="37"/>
  <c r="M22" i="37"/>
  <c r="M10" i="37"/>
  <c r="N7" i="37"/>
  <c r="M7" i="37"/>
  <c r="N13" i="37"/>
  <c r="L21" i="37"/>
  <c r="K22" i="37"/>
  <c r="L39" i="37"/>
  <c r="K13" i="37"/>
  <c r="L12" i="37"/>
  <c r="K10" i="37"/>
  <c r="L9" i="37"/>
  <c r="K7" i="37"/>
  <c r="I9" i="34"/>
  <c r="K8" i="34"/>
  <c r="J8" i="34"/>
  <c r="BD20" i="27" l="1"/>
  <c r="BE20" i="27" s="1"/>
  <c r="BD19" i="27"/>
  <c r="BE19" i="27" s="1"/>
  <c r="BE18" i="27"/>
  <c r="AD17" i="51"/>
  <c r="AN18" i="53"/>
  <c r="AO18" i="53" s="1"/>
  <c r="AN34" i="53"/>
  <c r="AO34" i="53" s="1"/>
  <c r="BG18" i="53"/>
  <c r="AX34" i="53"/>
  <c r="AX18" i="53"/>
  <c r="AY17" i="53"/>
  <c r="T9" i="53"/>
  <c r="S17" i="53"/>
  <c r="BA17" i="53"/>
  <c r="BB7" i="53"/>
  <c r="W17" i="53"/>
  <c r="V18" i="53"/>
  <c r="Y17" i="53"/>
  <c r="X18" i="53"/>
  <c r="AS34" i="53"/>
  <c r="AS18" i="53"/>
  <c r="AT17" i="53"/>
  <c r="J34" i="53"/>
  <c r="AA18" i="53"/>
  <c r="AR10" i="53"/>
  <c r="AQ17" i="53"/>
  <c r="AG9" i="53"/>
  <c r="O34" i="53"/>
  <c r="O18" i="53"/>
  <c r="P17" i="53"/>
  <c r="AJ9" i="53"/>
  <c r="AI17" i="53"/>
  <c r="R9" i="53"/>
  <c r="Q17" i="53"/>
  <c r="AE9" i="53"/>
  <c r="AD17" i="53"/>
  <c r="AB18" i="53"/>
  <c r="AC17" i="53"/>
  <c r="M19" i="53"/>
  <c r="BC34" i="53"/>
  <c r="BC18" i="53"/>
  <c r="BD17" i="53"/>
  <c r="BC18" i="51"/>
  <c r="BD18" i="51" s="1"/>
  <c r="BD17" i="51"/>
  <c r="Z18" i="51"/>
  <c r="AA18" i="51" s="1"/>
  <c r="J17" i="51"/>
  <c r="J34" i="51"/>
  <c r="BB7" i="51"/>
  <c r="AI17" i="51"/>
  <c r="AI34" i="51" s="1"/>
  <c r="AJ34" i="51" s="1"/>
  <c r="I18" i="51"/>
  <c r="J18" i="51" s="1"/>
  <c r="K18" i="47"/>
  <c r="J19" i="47"/>
  <c r="K19" i="47" s="1"/>
  <c r="AT20" i="47"/>
  <c r="AU20" i="47" s="1"/>
  <c r="AB18" i="51"/>
  <c r="AC18" i="51" s="1"/>
  <c r="AU18" i="47"/>
  <c r="L26" i="37"/>
  <c r="AG9" i="51"/>
  <c r="AH9" i="51" s="1"/>
  <c r="AP18" i="47"/>
  <c r="AR34" i="47"/>
  <c r="AY20" i="47"/>
  <c r="AZ20" i="47" s="1"/>
  <c r="AO20" i="47"/>
  <c r="AP20" i="47" s="1"/>
  <c r="AS11" i="47"/>
  <c r="AY19" i="47"/>
  <c r="AZ19" i="47" s="1"/>
  <c r="AE7" i="51"/>
  <c r="L17" i="51"/>
  <c r="K18" i="51"/>
  <c r="AH9" i="47"/>
  <c r="AH34" i="47" s="1"/>
  <c r="AG8" i="51"/>
  <c r="AN18" i="51"/>
  <c r="AO17" i="51"/>
  <c r="R9" i="51"/>
  <c r="Q17" i="51"/>
  <c r="Q34" i="51" s="1"/>
  <c r="R34" i="51" s="1"/>
  <c r="P17" i="51"/>
  <c r="O18" i="51"/>
  <c r="AX18" i="51"/>
  <c r="AY17" i="51"/>
  <c r="V17" i="51"/>
  <c r="M18" i="51"/>
  <c r="N17" i="51"/>
  <c r="AS18" i="51"/>
  <c r="AT17" i="51"/>
  <c r="BG18" i="51"/>
  <c r="T9" i="51"/>
  <c r="S17" i="51"/>
  <c r="X17" i="51"/>
  <c r="AR10" i="51"/>
  <c r="AQ17" i="51"/>
  <c r="AQ34" i="51" s="1"/>
  <c r="AR34" i="51" s="1"/>
  <c r="BA18" i="51"/>
  <c r="BB17" i="51"/>
  <c r="BN9" i="42"/>
  <c r="BM37" i="42"/>
  <c r="AU19" i="47"/>
  <c r="BH19" i="47"/>
  <c r="Q18" i="47"/>
  <c r="P19" i="47"/>
  <c r="P20" i="47"/>
  <c r="AN20" i="47"/>
  <c r="O18" i="47"/>
  <c r="N20" i="47"/>
  <c r="N19" i="47"/>
  <c r="AP19" i="47"/>
  <c r="BE20" i="47"/>
  <c r="AX20" i="47"/>
  <c r="L20" i="47"/>
  <c r="M18" i="47"/>
  <c r="L19" i="47"/>
  <c r="W34" i="47"/>
  <c r="X8" i="47"/>
  <c r="W18" i="47"/>
  <c r="BH20" i="47"/>
  <c r="Y18" i="47"/>
  <c r="Z8" i="47"/>
  <c r="Y34" i="47"/>
  <c r="K20" i="47"/>
  <c r="AN19" i="47"/>
  <c r="AE34" i="47"/>
  <c r="AE18" i="47"/>
  <c r="AF8" i="47"/>
  <c r="BC8" i="47"/>
  <c r="BB34" i="47"/>
  <c r="BB18" i="47"/>
  <c r="AR19" i="47"/>
  <c r="AR20" i="47"/>
  <c r="AS18" i="47"/>
  <c r="R34" i="47"/>
  <c r="S8" i="47"/>
  <c r="R18" i="47"/>
  <c r="BE19" i="47"/>
  <c r="AX19" i="47"/>
  <c r="AK9" i="47"/>
  <c r="AJ18" i="47"/>
  <c r="AJ34" i="47"/>
  <c r="AC20" i="47"/>
  <c r="AC19" i="47"/>
  <c r="AD18" i="47"/>
  <c r="AB18" i="47"/>
  <c r="AA19" i="47"/>
  <c r="AA20" i="47"/>
  <c r="T34" i="47"/>
  <c r="U8" i="47"/>
  <c r="T18" i="47"/>
  <c r="R18" i="27"/>
  <c r="S8" i="27"/>
  <c r="R34" i="27"/>
  <c r="Q18" i="27"/>
  <c r="P19" i="27"/>
  <c r="P20" i="27"/>
  <c r="AA11" i="42"/>
  <c r="BJ21" i="42"/>
  <c r="BK21" i="42" s="1"/>
  <c r="AT20" i="27"/>
  <c r="AU18" i="27"/>
  <c r="AT19" i="27"/>
  <c r="Z19" i="42"/>
  <c r="Z22" i="42" s="1"/>
  <c r="AA22" i="42" s="1"/>
  <c r="BJ22" i="42"/>
  <c r="BK22" i="42" s="1"/>
  <c r="BJ20" i="42"/>
  <c r="BK20" i="42" s="1"/>
  <c r="AR18" i="27"/>
  <c r="AR34" i="27"/>
  <c r="S41" i="42"/>
  <c r="S42" i="42"/>
  <c r="S40" i="42"/>
  <c r="S43" i="42"/>
  <c r="AM11" i="42"/>
  <c r="AL37" i="42"/>
  <c r="AL19" i="42"/>
  <c r="AZ21" i="42"/>
  <c r="BA21" i="42" s="1"/>
  <c r="AZ20" i="42"/>
  <c r="BA20" i="42" s="1"/>
  <c r="AZ22" i="42"/>
  <c r="BA22" i="42" s="1"/>
  <c r="BA19" i="42"/>
  <c r="AJ19" i="42"/>
  <c r="AI22" i="42"/>
  <c r="AJ22" i="42" s="1"/>
  <c r="AI21" i="42"/>
  <c r="AJ21" i="42" s="1"/>
  <c r="AI20" i="42"/>
  <c r="AJ20" i="42" s="1"/>
  <c r="AD11" i="42"/>
  <c r="AC37" i="42"/>
  <c r="AC19" i="42"/>
  <c r="BD12" i="42"/>
  <c r="BC37" i="42"/>
  <c r="BC19" i="42"/>
  <c r="L24" i="37"/>
  <c r="AP10" i="42"/>
  <c r="T19" i="42"/>
  <c r="S22" i="42"/>
  <c r="T22" i="42" s="1"/>
  <c r="S20" i="42"/>
  <c r="T20" i="42" s="1"/>
  <c r="S21" i="42"/>
  <c r="T21" i="42" s="1"/>
  <c r="AT10" i="42"/>
  <c r="AS19" i="42"/>
  <c r="AS37" i="42"/>
  <c r="W11" i="42"/>
  <c r="V19" i="42"/>
  <c r="V37" i="42"/>
  <c r="V48" i="42" s="1"/>
  <c r="BM21" i="42"/>
  <c r="BN21" i="42" s="1"/>
  <c r="BM20" i="42"/>
  <c r="BN20" i="42" s="1"/>
  <c r="BM22" i="42"/>
  <c r="BN22" i="42" s="1"/>
  <c r="BN19" i="42"/>
  <c r="M22" i="42"/>
  <c r="N22" i="42" s="1"/>
  <c r="M20" i="42"/>
  <c r="N20" i="42" s="1"/>
  <c r="M21" i="42"/>
  <c r="N21" i="42" s="1"/>
  <c r="N19" i="42"/>
  <c r="AC30" i="27"/>
  <c r="AD6" i="27"/>
  <c r="AD11" i="27"/>
  <c r="AD15" i="27"/>
  <c r="AD27" i="27"/>
  <c r="AD17" i="27"/>
  <c r="AD12" i="27"/>
  <c r="AD16" i="27"/>
  <c r="AD28" i="27"/>
  <c r="AD29" i="27"/>
  <c r="AD13" i="27"/>
  <c r="AD25" i="27"/>
  <c r="AC7" i="27"/>
  <c r="AC20" i="27" s="1"/>
  <c r="AD10" i="27"/>
  <c r="AD14" i="27"/>
  <c r="AD26" i="27"/>
  <c r="AD9" i="27"/>
  <c r="AD8" i="27"/>
  <c r="AE34" i="27"/>
  <c r="AE18" i="27"/>
  <c r="AD18" i="27"/>
  <c r="AC19" i="27"/>
  <c r="AA34" i="27"/>
  <c r="AA18" i="27"/>
  <c r="AH9" i="27"/>
  <c r="BC8" i="27"/>
  <c r="BB34" i="27"/>
  <c r="W34" i="27"/>
  <c r="Y34" i="27"/>
  <c r="BG20" i="27"/>
  <c r="L19" i="37"/>
  <c r="AK9" i="27"/>
  <c r="AJ18" i="27"/>
  <c r="BG19" i="27"/>
  <c r="BH18" i="27"/>
  <c r="L22" i="37"/>
  <c r="L13" i="37"/>
  <c r="L10" i="37"/>
  <c r="L7" i="37"/>
  <c r="BC10" i="27"/>
  <c r="BB18" i="27"/>
  <c r="J9" i="34"/>
  <c r="K9" i="34"/>
  <c r="AD18" i="51" l="1"/>
  <c r="AE17" i="51"/>
  <c r="AI18" i="51"/>
  <c r="AJ18" i="51" s="1"/>
  <c r="BD34" i="53"/>
  <c r="AD18" i="53"/>
  <c r="AE17" i="53"/>
  <c r="Q34" i="53"/>
  <c r="Q18" i="53"/>
  <c r="R17" i="53"/>
  <c r="AI34" i="53"/>
  <c r="AI18" i="53"/>
  <c r="AJ17" i="53"/>
  <c r="P34" i="53"/>
  <c r="AT34" i="53"/>
  <c r="BA34" i="53"/>
  <c r="BA18" i="53"/>
  <c r="BB17" i="53"/>
  <c r="AY18" i="53"/>
  <c r="BD18" i="53"/>
  <c r="N34" i="53"/>
  <c r="AC18" i="53"/>
  <c r="P18" i="53"/>
  <c r="AH9" i="53"/>
  <c r="AG17" i="53"/>
  <c r="AQ34" i="53"/>
  <c r="AQ18" i="53"/>
  <c r="AR17" i="53"/>
  <c r="AT18" i="53"/>
  <c r="Y18" i="53"/>
  <c r="W18" i="53"/>
  <c r="S34" i="53"/>
  <c r="S18" i="53"/>
  <c r="T17" i="53"/>
  <c r="AY34" i="53"/>
  <c r="S34" i="51"/>
  <c r="T34" i="51" s="1"/>
  <c r="AJ17" i="51"/>
  <c r="P34" i="51"/>
  <c r="AH18" i="47"/>
  <c r="AH20" i="47" s="1"/>
  <c r="AI9" i="47"/>
  <c r="L18" i="51"/>
  <c r="Y17" i="51"/>
  <c r="X18" i="51"/>
  <c r="AT18" i="51"/>
  <c r="AE18" i="51"/>
  <c r="AH8" i="51"/>
  <c r="AG17" i="51"/>
  <c r="AG34" i="51" s="1"/>
  <c r="AH34" i="51" s="1"/>
  <c r="BB18" i="51"/>
  <c r="AQ18" i="51"/>
  <c r="AR17" i="51"/>
  <c r="T17" i="51"/>
  <c r="S18" i="51"/>
  <c r="N18" i="51"/>
  <c r="W17" i="51"/>
  <c r="V18" i="51"/>
  <c r="AY18" i="51"/>
  <c r="P18" i="51"/>
  <c r="Q18" i="51"/>
  <c r="R17" i="51"/>
  <c r="AO18" i="51"/>
  <c r="AJ19" i="47"/>
  <c r="AK18" i="47"/>
  <c r="AJ20" i="47"/>
  <c r="AS20" i="47"/>
  <c r="O20" i="47"/>
  <c r="AB20" i="47"/>
  <c r="AD19" i="47"/>
  <c r="AS19" i="47"/>
  <c r="X18" i="47"/>
  <c r="W20" i="47"/>
  <c r="W19" i="47"/>
  <c r="M19" i="47"/>
  <c r="Q20" i="47"/>
  <c r="U18" i="47"/>
  <c r="T20" i="47"/>
  <c r="T19" i="47"/>
  <c r="AB19" i="47"/>
  <c r="AD20" i="47"/>
  <c r="BB20" i="47"/>
  <c r="BB19" i="47"/>
  <c r="BC18" i="47"/>
  <c r="AF18" i="47"/>
  <c r="AE20" i="47"/>
  <c r="AE19" i="47"/>
  <c r="Z18" i="47"/>
  <c r="Y19" i="47"/>
  <c r="Y20" i="47"/>
  <c r="Q19" i="47"/>
  <c r="R20" i="47"/>
  <c r="S18" i="47"/>
  <c r="R19" i="47"/>
  <c r="M20" i="47"/>
  <c r="O19" i="47"/>
  <c r="R19" i="27"/>
  <c r="S18" i="27"/>
  <c r="R20" i="27"/>
  <c r="Q19" i="27"/>
  <c r="Q20" i="27"/>
  <c r="AR19" i="27"/>
  <c r="AS19" i="27" s="1"/>
  <c r="AS18" i="27"/>
  <c r="AU20" i="27"/>
  <c r="AU19" i="27"/>
  <c r="AA19" i="42"/>
  <c r="Z20" i="42"/>
  <c r="AA20" i="42" s="1"/>
  <c r="Z21" i="42"/>
  <c r="AA21" i="42" s="1"/>
  <c r="AR20" i="27"/>
  <c r="AS20" i="27" s="1"/>
  <c r="AS21" i="42"/>
  <c r="AT21" i="42" s="1"/>
  <c r="AT19" i="42"/>
  <c r="AS22" i="42"/>
  <c r="AT22" i="42" s="1"/>
  <c r="AS20" i="42"/>
  <c r="AT20" i="42" s="1"/>
  <c r="AQ10" i="42"/>
  <c r="AP37" i="42"/>
  <c r="AP19" i="42"/>
  <c r="BC20" i="42"/>
  <c r="BD20" i="42" s="1"/>
  <c r="BC21" i="42"/>
  <c r="BD21" i="42" s="1"/>
  <c r="BD19" i="42"/>
  <c r="BC22" i="42"/>
  <c r="BD22" i="42" s="1"/>
  <c r="AL22" i="42"/>
  <c r="AM22" i="42" s="1"/>
  <c r="AL21" i="42"/>
  <c r="AM21" i="42" s="1"/>
  <c r="AL20" i="42"/>
  <c r="AM20" i="42" s="1"/>
  <c r="AM19" i="42"/>
  <c r="V21" i="42"/>
  <c r="W21" i="42" s="1"/>
  <c r="W19" i="42"/>
  <c r="V22" i="42"/>
  <c r="W22" i="42" s="1"/>
  <c r="V20" i="42"/>
  <c r="W20" i="42" s="1"/>
  <c r="AC20" i="42"/>
  <c r="AD20" i="42" s="1"/>
  <c r="AC21" i="42"/>
  <c r="AD21" i="42" s="1"/>
  <c r="AD19" i="42"/>
  <c r="AC22" i="42"/>
  <c r="AD22" i="42" s="1"/>
  <c r="AF8" i="27"/>
  <c r="AF15" i="27"/>
  <c r="AF6" i="27"/>
  <c r="AC31" i="27"/>
  <c r="AD31" i="27" s="1"/>
  <c r="AD7" i="27"/>
  <c r="AD30" i="27"/>
  <c r="AB14" i="27"/>
  <c r="AB12" i="27"/>
  <c r="AB25" i="27"/>
  <c r="AB10" i="27"/>
  <c r="AB17" i="27"/>
  <c r="AB6" i="27"/>
  <c r="AB28" i="27"/>
  <c r="AA31" i="27"/>
  <c r="AB31" i="27" s="1"/>
  <c r="AB11" i="27"/>
  <c r="AB29" i="27"/>
  <c r="AB15" i="27"/>
  <c r="AA30" i="27"/>
  <c r="AB30" i="27" s="1"/>
  <c r="AB13" i="27"/>
  <c r="AA7" i="27"/>
  <c r="AB7" i="27" s="1"/>
  <c r="AB16" i="27"/>
  <c r="AB26" i="27"/>
  <c r="AB27" i="27"/>
  <c r="AB9" i="27"/>
  <c r="AB8" i="27"/>
  <c r="AD20" i="27"/>
  <c r="AD19" i="27"/>
  <c r="AB18" i="27"/>
  <c r="AA19" i="27"/>
  <c r="AI9" i="27"/>
  <c r="AH34" i="27"/>
  <c r="AH18" i="27"/>
  <c r="AJ20" i="27"/>
  <c r="BH20" i="27"/>
  <c r="BB19" i="27"/>
  <c r="BC19" i="27" s="1"/>
  <c r="BB20" i="27"/>
  <c r="BH19" i="27"/>
  <c r="AJ19" i="27"/>
  <c r="AK18" i="27"/>
  <c r="AP11" i="27"/>
  <c r="BC18" i="27"/>
  <c r="T34" i="53" l="1"/>
  <c r="AR18" i="53"/>
  <c r="AG34" i="53"/>
  <c r="AG18" i="53"/>
  <c r="AH17" i="53"/>
  <c r="BB34" i="53"/>
  <c r="AJ34" i="53"/>
  <c r="R18" i="53"/>
  <c r="T18" i="53"/>
  <c r="AR34" i="53"/>
  <c r="BB18" i="53"/>
  <c r="AJ18" i="53"/>
  <c r="R34" i="53"/>
  <c r="AE18" i="53"/>
  <c r="AI18" i="47"/>
  <c r="AH19" i="47"/>
  <c r="AI19" i="47" s="1"/>
  <c r="R18" i="51"/>
  <c r="W18" i="51"/>
  <c r="AG18" i="51"/>
  <c r="AH17" i="51"/>
  <c r="Y18" i="51"/>
  <c r="T18" i="51"/>
  <c r="AR18" i="51"/>
  <c r="S19" i="47"/>
  <c r="AF19" i="47"/>
  <c r="U19" i="47"/>
  <c r="X20" i="47"/>
  <c r="Z20" i="47"/>
  <c r="AF20" i="47"/>
  <c r="BC19" i="47"/>
  <c r="U20" i="47"/>
  <c r="AK20" i="47"/>
  <c r="S20" i="47"/>
  <c r="Z19" i="47"/>
  <c r="BC20" i="47"/>
  <c r="X19" i="47"/>
  <c r="AI20" i="47"/>
  <c r="AK19" i="47"/>
  <c r="S20" i="27"/>
  <c r="S19" i="27"/>
  <c r="AP21" i="42"/>
  <c r="AQ21" i="42" s="1"/>
  <c r="AP20" i="42"/>
  <c r="AQ20" i="42" s="1"/>
  <c r="AQ19" i="42"/>
  <c r="AP22" i="42"/>
  <c r="AQ22" i="42" s="1"/>
  <c r="AE19" i="27"/>
  <c r="AF19" i="27" s="1"/>
  <c r="AF28" i="27"/>
  <c r="AF12" i="27"/>
  <c r="AF16" i="27"/>
  <c r="AE7" i="27"/>
  <c r="AF7" i="27" s="1"/>
  <c r="AF27" i="27"/>
  <c r="AF29" i="27"/>
  <c r="AF10" i="27"/>
  <c r="AF18" i="27"/>
  <c r="AF9" i="27"/>
  <c r="AF26" i="27"/>
  <c r="AF14" i="27"/>
  <c r="AF17" i="27"/>
  <c r="AF11" i="27"/>
  <c r="AE30" i="27"/>
  <c r="AF30" i="27" s="1"/>
  <c r="AF25" i="27"/>
  <c r="AF13" i="27"/>
  <c r="AE31" i="27"/>
  <c r="AF31" i="27" s="1"/>
  <c r="AA20" i="27"/>
  <c r="AB20" i="27" s="1"/>
  <c r="AB19" i="27"/>
  <c r="AI18" i="27"/>
  <c r="AH20" i="27"/>
  <c r="AI20" i="27" s="1"/>
  <c r="AH19" i="27"/>
  <c r="AI19" i="27" s="1"/>
  <c r="AK20" i="27"/>
  <c r="BC20" i="27"/>
  <c r="AK19" i="27"/>
  <c r="AH34" i="53" l="1"/>
  <c r="AH18" i="53"/>
  <c r="AH18" i="51"/>
  <c r="AE20" i="27"/>
  <c r="AF20" i="27" s="1"/>
  <c r="AU28" i="27" l="1"/>
  <c r="BC29" i="27"/>
  <c r="BH29" i="27" s="1"/>
  <c r="AZ29" i="27" l="1"/>
  <c r="BE29" i="27" s="1"/>
  <c r="AZ25" i="27"/>
  <c r="AX29" i="27"/>
  <c r="AX28" i="27"/>
  <c r="AX25" i="27"/>
  <c r="AP29" i="27"/>
  <c r="AP28" i="27"/>
  <c r="AP25" i="27"/>
  <c r="AN29" i="27"/>
  <c r="AN28" i="27"/>
  <c r="AN25" i="27"/>
  <c r="U28" i="27"/>
  <c r="U25" i="27"/>
  <c r="M29" i="27"/>
  <c r="M28" i="27"/>
  <c r="M25" i="27"/>
  <c r="K29" i="27"/>
  <c r="K28" i="27"/>
  <c r="K25" i="27"/>
  <c r="O29" i="27"/>
  <c r="O28" i="27"/>
  <c r="O25" i="27"/>
  <c r="AZ28" i="27" l="1"/>
  <c r="BE28" i="27" s="1"/>
  <c r="BC28" i="27"/>
  <c r="BH28" i="27" s="1"/>
  <c r="AS23" i="27" l="1"/>
  <c r="J23" i="27"/>
  <c r="AO23" i="27"/>
  <c r="BC23" i="27" l="1"/>
  <c r="BH23" i="27" s="1"/>
  <c r="AY23" i="27"/>
  <c r="T23" i="27"/>
  <c r="AB23" i="27"/>
  <c r="AF23" i="27"/>
  <c r="AD23" i="27"/>
  <c r="K23" i="27"/>
  <c r="O23" i="27"/>
  <c r="AN23" i="27"/>
  <c r="L23" i="27"/>
  <c r="AI23" i="27" l="1"/>
  <c r="S23" i="27"/>
  <c r="M23" i="27"/>
  <c r="U23" i="27"/>
  <c r="AX23" i="27"/>
  <c r="AZ23" i="27"/>
  <c r="AP23" i="27" l="1"/>
  <c r="AK23" i="27"/>
  <c r="AZ17" i="27"/>
  <c r="AZ6" i="27"/>
  <c r="AX17" i="27"/>
  <c r="AX6" i="27"/>
  <c r="AP17" i="27"/>
  <c r="AP6" i="27"/>
  <c r="AN17" i="27"/>
  <c r="AN6" i="27"/>
  <c r="U17" i="27"/>
  <c r="U6" i="27"/>
  <c r="O6" i="27"/>
  <c r="M6" i="27"/>
  <c r="K6" i="27"/>
  <c r="AP26" i="27" l="1"/>
  <c r="U26" i="27"/>
  <c r="AZ26" i="27"/>
  <c r="BE26" i="27" s="1"/>
  <c r="L26" i="27"/>
  <c r="O17" i="27"/>
  <c r="M17" i="27"/>
  <c r="K17" i="27"/>
  <c r="AM34" i="27" l="1"/>
  <c r="AW34" i="27"/>
  <c r="AY34" i="27"/>
  <c r="AO34" i="27"/>
  <c r="AN16" i="27"/>
  <c r="AP16" i="27"/>
  <c r="AN26" i="27"/>
  <c r="AX16" i="27"/>
  <c r="AZ16" i="27"/>
  <c r="AN15" i="27"/>
  <c r="AZ15" i="27"/>
  <c r="AP15" i="27"/>
  <c r="AX14" i="27"/>
  <c r="AN14" i="27"/>
  <c r="AZ14" i="27"/>
  <c r="AP14" i="27"/>
  <c r="AX15" i="27"/>
  <c r="AX26" i="27"/>
  <c r="M26" i="27"/>
  <c r="O26" i="27"/>
  <c r="AX13" i="27"/>
  <c r="AZ13" i="27"/>
  <c r="AN13" i="27"/>
  <c r="AP13" i="27"/>
  <c r="AP8" i="27"/>
  <c r="AX8" i="27"/>
  <c r="AZ8" i="27"/>
  <c r="AN8" i="27"/>
  <c r="BC26" i="27" l="1"/>
  <c r="U14" i="27"/>
  <c r="K13" i="27"/>
  <c r="AN11" i="27"/>
  <c r="J26" i="27"/>
  <c r="N34" i="27" l="1"/>
  <c r="J34" i="27"/>
  <c r="L34" i="27"/>
  <c r="T34" i="27"/>
  <c r="U16" i="27"/>
  <c r="O16" i="27"/>
  <c r="U15" i="27"/>
  <c r="O14" i="27"/>
  <c r="O15" i="27"/>
  <c r="K26" i="27"/>
  <c r="M15" i="27"/>
  <c r="K16" i="27"/>
  <c r="K15" i="27"/>
  <c r="M16" i="27"/>
  <c r="M14" i="27"/>
  <c r="K14" i="27"/>
  <c r="U13" i="27"/>
  <c r="O13" i="27"/>
  <c r="M13" i="27"/>
  <c r="O9" i="27"/>
  <c r="O10" i="27"/>
  <c r="U9" i="27"/>
  <c r="M9" i="27"/>
  <c r="AX9" i="27"/>
  <c r="AZ10" i="27"/>
  <c r="AN10" i="27"/>
  <c r="U10" i="27"/>
  <c r="AZ9" i="27"/>
  <c r="AP9" i="27"/>
  <c r="AP10" i="27"/>
  <c r="M10" i="27"/>
  <c r="M8" i="27"/>
  <c r="O8" i="27"/>
  <c r="U8" i="27"/>
  <c r="W18" i="27" l="1"/>
  <c r="S26" i="42"/>
  <c r="AW18" i="27"/>
  <c r="AX10" i="27"/>
  <c r="AY18" i="27"/>
  <c r="T18" i="27"/>
  <c r="AM18" i="27"/>
  <c r="AO18" i="27"/>
  <c r="J18" i="27"/>
  <c r="N18" i="27"/>
  <c r="AW38" i="15"/>
  <c r="AX38" i="15" s="1"/>
  <c r="AX17" i="15"/>
  <c r="AX24" i="15"/>
  <c r="AP26" i="42" l="1"/>
  <c r="AQ26" i="42" s="1"/>
  <c r="AW26" i="42"/>
  <c r="T26" i="42"/>
  <c r="P26" i="42"/>
  <c r="Q26" i="42" s="1"/>
  <c r="M26" i="42"/>
  <c r="N26" i="42" s="1"/>
  <c r="V26" i="42"/>
  <c r="W26" i="42" s="1"/>
  <c r="AC26" i="42"/>
  <c r="AD26" i="42" s="1"/>
  <c r="AI26" i="42"/>
  <c r="AJ26" i="42" s="1"/>
  <c r="Z26" i="42"/>
  <c r="AA26" i="42" s="1"/>
  <c r="AF26" i="42"/>
  <c r="AG26" i="42" s="1"/>
  <c r="AL26" i="42"/>
  <c r="AM26" i="42" s="1"/>
  <c r="W7" i="27"/>
  <c r="X7" i="27" s="1"/>
  <c r="X17" i="27"/>
  <c r="X28" i="27"/>
  <c r="X15" i="27"/>
  <c r="X29" i="27"/>
  <c r="X14" i="27"/>
  <c r="X27" i="27"/>
  <c r="W30" i="27"/>
  <c r="X30" i="27" s="1"/>
  <c r="X13" i="27"/>
  <c r="W31" i="27"/>
  <c r="X31" i="27" s="1"/>
  <c r="X25" i="27"/>
  <c r="X6" i="27"/>
  <c r="X10" i="27"/>
  <c r="X12" i="27"/>
  <c r="X11" i="27"/>
  <c r="X23" i="27"/>
  <c r="X9" i="27"/>
  <c r="X8" i="27"/>
  <c r="X26" i="27"/>
  <c r="X16" i="27"/>
  <c r="N20" i="27"/>
  <c r="O20" i="27" s="1"/>
  <c r="AO20" i="27"/>
  <c r="AM20" i="27"/>
  <c r="AY20" i="27"/>
  <c r="AW20" i="27"/>
  <c r="U18" i="27"/>
  <c r="T20" i="27"/>
  <c r="J20" i="27"/>
  <c r="Y18" i="27"/>
  <c r="X18" i="27"/>
  <c r="W19" i="27"/>
  <c r="N24" i="27"/>
  <c r="AW19" i="27"/>
  <c r="AX18" i="27"/>
  <c r="AZ18" i="27"/>
  <c r="AP18" i="27"/>
  <c r="AN18" i="27"/>
  <c r="O18" i="27"/>
  <c r="J19" i="27"/>
  <c r="K18" i="27"/>
  <c r="T19" i="27"/>
  <c r="AY19" i="27"/>
  <c r="AM19" i="27"/>
  <c r="AO19" i="27"/>
  <c r="N19" i="27"/>
  <c r="L18" i="27"/>
  <c r="AX22" i="15"/>
  <c r="AS24" i="15" s="1"/>
  <c r="BG24" i="27" l="1"/>
  <c r="R24" i="27"/>
  <c r="Z16" i="27"/>
  <c r="BD24" i="27"/>
  <c r="AT24" i="27"/>
  <c r="AH24" i="27"/>
  <c r="AI24" i="27" s="1"/>
  <c r="BB24" i="27"/>
  <c r="AJ24" i="27"/>
  <c r="BG26" i="42"/>
  <c r="AX26" i="42"/>
  <c r="AZ26" i="42"/>
  <c r="BA26" i="42" s="1"/>
  <c r="BC26" i="42"/>
  <c r="BD26" i="42" s="1"/>
  <c r="AE24" i="27"/>
  <c r="W24" i="27"/>
  <c r="Y24" i="27"/>
  <c r="AA24" i="27"/>
  <c r="AC24" i="27"/>
  <c r="W20" i="27"/>
  <c r="X20" i="27" s="1"/>
  <c r="Z6" i="27"/>
  <c r="Z27" i="27"/>
  <c r="Y7" i="27"/>
  <c r="Z7" i="27" s="1"/>
  <c r="Y31" i="27"/>
  <c r="Z31" i="27" s="1"/>
  <c r="Z25" i="27"/>
  <c r="Z29" i="27"/>
  <c r="Z13" i="27"/>
  <c r="Y30" i="27"/>
  <c r="Z30" i="27" s="1"/>
  <c r="Z14" i="27"/>
  <c r="Z17" i="27"/>
  <c r="Z15" i="27"/>
  <c r="Z28" i="27"/>
  <c r="Z11" i="27"/>
  <c r="Z10" i="27"/>
  <c r="Z12" i="27"/>
  <c r="Z23" i="27"/>
  <c r="Z9" i="27"/>
  <c r="Z8" i="27"/>
  <c r="Z26" i="27"/>
  <c r="AN20" i="27"/>
  <c r="AP20" i="27"/>
  <c r="L20" i="27"/>
  <c r="AX20" i="27"/>
  <c r="AZ20" i="27"/>
  <c r="K20" i="27"/>
  <c r="U20" i="27"/>
  <c r="X19" i="27"/>
  <c r="AX19" i="27"/>
  <c r="O19" i="27"/>
  <c r="Y19" i="27"/>
  <c r="Z18" i="27"/>
  <c r="T24" i="27"/>
  <c r="BA6" i="15"/>
  <c r="BB6" i="15" s="1"/>
  <c r="AM24" i="27"/>
  <c r="O24" i="27"/>
  <c r="L24" i="27"/>
  <c r="J24" i="27"/>
  <c r="BC18" i="15"/>
  <c r="AZ19" i="27"/>
  <c r="AP19" i="27"/>
  <c r="AN19" i="27"/>
  <c r="U19" i="27"/>
  <c r="M18" i="27"/>
  <c r="K19" i="27"/>
  <c r="L19" i="27"/>
  <c r="AX26" i="15"/>
  <c r="S24" i="27" l="1"/>
  <c r="BM26" i="42"/>
  <c r="BN26" i="42" s="1"/>
  <c r="BH26" i="42"/>
  <c r="BJ26" i="42"/>
  <c r="BK26" i="42" s="1"/>
  <c r="AB24" i="27"/>
  <c r="AD24" i="27"/>
  <c r="AF24" i="27"/>
  <c r="Y20" i="27"/>
  <c r="Z20" i="27" s="1"/>
  <c r="AR24" i="27"/>
  <c r="AS24" i="27" s="1"/>
  <c r="AO24" i="27"/>
  <c r="M20" i="27"/>
  <c r="Z19" i="27"/>
  <c r="M19" i="27"/>
  <c r="AN24" i="27"/>
  <c r="M24" i="27"/>
  <c r="K24" i="27"/>
  <c r="Z24" i="27"/>
  <c r="U24" i="27"/>
  <c r="X24" i="27"/>
  <c r="AW24" i="27"/>
  <c r="AX28" i="15"/>
  <c r="AX35" i="15" s="1"/>
  <c r="AW35" i="15"/>
  <c r="BC6" i="15"/>
  <c r="AU24" i="27" l="1"/>
  <c r="AY24" i="27"/>
  <c r="AP24" i="27"/>
  <c r="AX24" i="27"/>
  <c r="AK24" i="27"/>
  <c r="BC35" i="15"/>
  <c r="BC16" i="15"/>
  <c r="BC17" i="15" s="1"/>
  <c r="BB35" i="15" l="1"/>
  <c r="E12" i="43" s="1"/>
  <c r="BC36" i="15"/>
  <c r="AZ24" i="27"/>
  <c r="BC24" i="27"/>
  <c r="BH24" i="27"/>
  <c r="BB21" i="15"/>
  <c r="BA7" i="15" s="1"/>
  <c r="BA8" i="15" s="1"/>
  <c r="BA9" i="15" s="1"/>
  <c r="BE24" i="27" l="1"/>
  <c r="BA10" i="15"/>
  <c r="BC10" i="15" s="1"/>
  <c r="BC7" i="15"/>
  <c r="AM24" i="15"/>
  <c r="AM17" i="15"/>
  <c r="AK17" i="15"/>
  <c r="AL38" i="15" s="1"/>
  <c r="AM38" i="15" l="1"/>
  <c r="BB10" i="15"/>
  <c r="BB8" i="15"/>
  <c r="BB7" i="15"/>
  <c r="AM22" i="15"/>
  <c r="AH24" i="15" s="1"/>
  <c r="BC8" i="15" l="1"/>
  <c r="BC9" i="15"/>
  <c r="AM26" i="15"/>
  <c r="AR18" i="15"/>
  <c r="AP6" i="15"/>
  <c r="BB9" i="15" l="1"/>
  <c r="AL35" i="15"/>
  <c r="AM28" i="15"/>
  <c r="AR35" i="15" s="1"/>
  <c r="AR6" i="15"/>
  <c r="AQ6" i="15"/>
  <c r="AQ35" i="15" l="1"/>
  <c r="E11" i="43" s="1"/>
  <c r="AR36" i="15"/>
  <c r="AM35" i="15"/>
  <c r="AR16" i="15" s="1"/>
  <c r="AR17" i="15" s="1"/>
  <c r="AQ21" i="15" l="1"/>
  <c r="AP10" i="15" l="1"/>
  <c r="AP7" i="15"/>
  <c r="AQ7" i="15" s="1"/>
  <c r="AR10" i="15" l="1"/>
  <c r="AQ10" i="15"/>
  <c r="AR7" i="15"/>
  <c r="AP8" i="15"/>
  <c r="AP9" i="15" l="1"/>
  <c r="AQ9" i="15" s="1"/>
  <c r="AQ8" i="15"/>
  <c r="AR8" i="15"/>
  <c r="AR9" i="15" l="1"/>
  <c r="AB24" i="15" l="1"/>
  <c r="AB17" i="15"/>
  <c r="AA38" i="15"/>
  <c r="AB38" i="15" l="1"/>
  <c r="AB22" i="15"/>
  <c r="W24" i="15" s="1"/>
  <c r="F17" i="17"/>
  <c r="J35" i="17" s="1"/>
  <c r="D17" i="17"/>
  <c r="E38" i="17" s="1"/>
  <c r="F38" i="17" s="1"/>
  <c r="C5" i="43" l="1"/>
  <c r="C4" i="43"/>
  <c r="BC24" i="42"/>
  <c r="AP24" i="42"/>
  <c r="AS24" i="42"/>
  <c r="AW24" i="42"/>
  <c r="BG24" i="42"/>
  <c r="S24" i="42"/>
  <c r="BQ24" i="42"/>
  <c r="AE6" i="15"/>
  <c r="AF6" i="15" s="1"/>
  <c r="F22" i="17"/>
  <c r="K36" i="17" s="1"/>
  <c r="AB26" i="15"/>
  <c r="AG18" i="15"/>
  <c r="O17" i="15"/>
  <c r="Q17" i="15"/>
  <c r="T24" i="42" l="1"/>
  <c r="AI24" i="42"/>
  <c r="AC24" i="42"/>
  <c r="V24" i="42"/>
  <c r="P24" i="42"/>
  <c r="AL24" i="42"/>
  <c r="AF24" i="42"/>
  <c r="Z24" i="42"/>
  <c r="M24" i="42"/>
  <c r="S23" i="42"/>
  <c r="S36" i="42"/>
  <c r="T36" i="42" s="1"/>
  <c r="AX24" i="42"/>
  <c r="AW23" i="42"/>
  <c r="AZ24" i="42"/>
  <c r="AW36" i="42"/>
  <c r="AX36" i="42" s="1"/>
  <c r="AQ24" i="42"/>
  <c r="AP23" i="42"/>
  <c r="AP36" i="42"/>
  <c r="AQ36" i="42" s="1"/>
  <c r="BR24" i="42"/>
  <c r="BQ23" i="42"/>
  <c r="BQ36" i="42"/>
  <c r="BR36" i="42" s="1"/>
  <c r="BH24" i="42"/>
  <c r="BJ24" i="42"/>
  <c r="BM24" i="42"/>
  <c r="BG23" i="42"/>
  <c r="BG36" i="42"/>
  <c r="BH36" i="42" s="1"/>
  <c r="AT24" i="42"/>
  <c r="AS23" i="42"/>
  <c r="AS36" i="42"/>
  <c r="AT36" i="42" s="1"/>
  <c r="BD24" i="42"/>
  <c r="BC23" i="42"/>
  <c r="BC36" i="42"/>
  <c r="BD36" i="42" s="1"/>
  <c r="AG6" i="15"/>
  <c r="I6" i="17"/>
  <c r="AA35" i="15"/>
  <c r="AB28" i="15"/>
  <c r="AG35" i="15" s="1"/>
  <c r="Q22" i="15"/>
  <c r="P38" i="15"/>
  <c r="AF35" i="15" l="1"/>
  <c r="E10" i="43" s="1"/>
  <c r="AG36" i="15"/>
  <c r="AB35" i="15"/>
  <c r="AT23" i="42"/>
  <c r="AS34" i="42"/>
  <c r="AT34" i="42" s="1"/>
  <c r="AS35" i="42"/>
  <c r="AT35" i="42" s="1"/>
  <c r="BN24" i="42"/>
  <c r="BM23" i="42"/>
  <c r="BM36" i="42"/>
  <c r="BN36" i="42" s="1"/>
  <c r="BR23" i="42"/>
  <c r="BQ35" i="42"/>
  <c r="BR35" i="42" s="1"/>
  <c r="BQ34" i="42"/>
  <c r="BR34" i="42" s="1"/>
  <c r="BA24" i="42"/>
  <c r="AZ23" i="42"/>
  <c r="AZ36" i="42"/>
  <c r="BA36" i="42" s="1"/>
  <c r="T23" i="42"/>
  <c r="S34" i="42"/>
  <c r="T34" i="42" s="1"/>
  <c r="S35" i="42"/>
  <c r="T35" i="42" s="1"/>
  <c r="AA24" i="42"/>
  <c r="Z23" i="42"/>
  <c r="Z36" i="42"/>
  <c r="AA36" i="42" s="1"/>
  <c r="AM24" i="42"/>
  <c r="AL23" i="42"/>
  <c r="AL36" i="42"/>
  <c r="AM36" i="42" s="1"/>
  <c r="W24" i="42"/>
  <c r="V23" i="42"/>
  <c r="V36" i="42"/>
  <c r="W36" i="42" s="1"/>
  <c r="AJ24" i="42"/>
  <c r="AI23" i="42"/>
  <c r="AI36" i="42"/>
  <c r="AJ36" i="42" s="1"/>
  <c r="BD23" i="42"/>
  <c r="BC35" i="42"/>
  <c r="BD35" i="42" s="1"/>
  <c r="BC34" i="42"/>
  <c r="BD34" i="42" s="1"/>
  <c r="BH23" i="42"/>
  <c r="BG35" i="42"/>
  <c r="BH35" i="42" s="1"/>
  <c r="BG34" i="42"/>
  <c r="BH34" i="42" s="1"/>
  <c r="BK24" i="42"/>
  <c r="BJ23" i="42"/>
  <c r="BJ36" i="42"/>
  <c r="BK36" i="42" s="1"/>
  <c r="AQ23" i="42"/>
  <c r="AP35" i="42"/>
  <c r="AQ35" i="42" s="1"/>
  <c r="AP34" i="42"/>
  <c r="AQ34" i="42" s="1"/>
  <c r="AX23" i="42"/>
  <c r="AW35" i="42"/>
  <c r="AX35" i="42" s="1"/>
  <c r="AW34" i="42"/>
  <c r="AX34" i="42" s="1"/>
  <c r="N24" i="42"/>
  <c r="M23" i="42"/>
  <c r="M36" i="42"/>
  <c r="N36" i="42" s="1"/>
  <c r="AG24" i="42"/>
  <c r="AF23" i="42"/>
  <c r="AF36" i="42"/>
  <c r="AG36" i="42" s="1"/>
  <c r="Q24" i="42"/>
  <c r="P23" i="42"/>
  <c r="P36" i="42"/>
  <c r="Q36" i="42" s="1"/>
  <c r="AD24" i="42"/>
  <c r="AC23" i="42"/>
  <c r="AC36" i="42"/>
  <c r="AD36" i="42" s="1"/>
  <c r="Q38" i="15"/>
  <c r="T6" i="15" s="1"/>
  <c r="U6" i="15" s="1"/>
  <c r="J6" i="17"/>
  <c r="K6" i="17"/>
  <c r="F24" i="17"/>
  <c r="K18" i="17"/>
  <c r="V18" i="15"/>
  <c r="Q24" i="15"/>
  <c r="L24" i="15" s="1"/>
  <c r="P30" i="15"/>
  <c r="F26" i="17" l="1"/>
  <c r="F35" i="17" s="1"/>
  <c r="K16" i="17" s="1"/>
  <c r="A24" i="17"/>
  <c r="Q23" i="42"/>
  <c r="P35" i="42"/>
  <c r="Q35" i="42" s="1"/>
  <c r="P34" i="42"/>
  <c r="Q34" i="42" s="1"/>
  <c r="N23" i="42"/>
  <c r="M35" i="42"/>
  <c r="N35" i="42" s="1"/>
  <c r="M34" i="42"/>
  <c r="N34" i="42" s="1"/>
  <c r="AJ23" i="42"/>
  <c r="AI35" i="42"/>
  <c r="AJ35" i="42" s="1"/>
  <c r="AI34" i="42"/>
  <c r="AJ34" i="42" s="1"/>
  <c r="AM23" i="42"/>
  <c r="AL35" i="42"/>
  <c r="AM35" i="42" s="1"/>
  <c r="AL34" i="42"/>
  <c r="AM34" i="42" s="1"/>
  <c r="AD23" i="42"/>
  <c r="AC35" i="42"/>
  <c r="AD35" i="42" s="1"/>
  <c r="AC34" i="42"/>
  <c r="AD34" i="42" s="1"/>
  <c r="AG23" i="42"/>
  <c r="AF34" i="42"/>
  <c r="AG34" i="42" s="1"/>
  <c r="AF35" i="42"/>
  <c r="AG35" i="42" s="1"/>
  <c r="BK23" i="42"/>
  <c r="BJ35" i="42"/>
  <c r="BK35" i="42" s="1"/>
  <c r="BJ34" i="42"/>
  <c r="BK34" i="42" s="1"/>
  <c r="W23" i="42"/>
  <c r="V35" i="42"/>
  <c r="W35" i="42" s="1"/>
  <c r="V34" i="42"/>
  <c r="W34" i="42" s="1"/>
  <c r="AA23" i="42"/>
  <c r="Z35" i="42"/>
  <c r="AA35" i="42" s="1"/>
  <c r="Z34" i="42"/>
  <c r="AA34" i="42" s="1"/>
  <c r="BA23" i="42"/>
  <c r="AZ35" i="42"/>
  <c r="BA35" i="42" s="1"/>
  <c r="AZ34" i="42"/>
  <c r="BA34" i="42" s="1"/>
  <c r="BN23" i="42"/>
  <c r="BM35" i="42"/>
  <c r="BN35" i="42" s="1"/>
  <c r="BM34" i="42"/>
  <c r="BN34" i="42" s="1"/>
  <c r="Q26" i="15"/>
  <c r="AG16" i="15"/>
  <c r="AG17" i="15" s="1"/>
  <c r="V33" i="15"/>
  <c r="V35" i="15" s="1"/>
  <c r="Q28" i="15"/>
  <c r="V6" i="15"/>
  <c r="P35" i="15"/>
  <c r="K17" i="17" l="1"/>
  <c r="J21" i="17"/>
  <c r="I10" i="17" s="1"/>
  <c r="U35" i="15"/>
  <c r="E9" i="43" s="1"/>
  <c r="V36" i="15"/>
  <c r="Q35" i="15"/>
  <c r="V16" i="15" s="1"/>
  <c r="V17" i="15" s="1"/>
  <c r="U21" i="15" s="1"/>
  <c r="T10" i="15" s="1"/>
  <c r="AF21" i="15"/>
  <c r="AE10" i="15" l="1"/>
  <c r="AE7" i="15"/>
  <c r="T7" i="15"/>
  <c r="I7" i="17"/>
  <c r="I8" i="17" s="1"/>
  <c r="F17" i="15"/>
  <c r="F16" i="15"/>
  <c r="D17" i="15" l="1"/>
  <c r="D8" i="48"/>
  <c r="F8" i="48" s="1"/>
  <c r="AG7" i="15"/>
  <c r="AE8" i="15"/>
  <c r="AF7" i="15"/>
  <c r="AG10" i="15"/>
  <c r="AF10" i="15"/>
  <c r="J10" i="17"/>
  <c r="K10" i="17"/>
  <c r="V10" i="15"/>
  <c r="U10" i="15"/>
  <c r="K7" i="17"/>
  <c r="J7" i="17"/>
  <c r="V7" i="15"/>
  <c r="T8" i="15"/>
  <c r="U7" i="15"/>
  <c r="E24" i="15" l="1"/>
  <c r="E38" i="15"/>
  <c r="AF8" i="15"/>
  <c r="AG8" i="15"/>
  <c r="AE9" i="15"/>
  <c r="F38" i="15"/>
  <c r="T9" i="15"/>
  <c r="U8" i="15"/>
  <c r="V8" i="15"/>
  <c r="I9" i="17"/>
  <c r="K8" i="17"/>
  <c r="J8" i="17"/>
  <c r="I6" i="15" l="1"/>
  <c r="F24" i="15"/>
  <c r="E30" i="15"/>
  <c r="AF9" i="15"/>
  <c r="AG9" i="15"/>
  <c r="K6" i="15"/>
  <c r="U9" i="15"/>
  <c r="V9" i="15"/>
  <c r="K9" i="17"/>
  <c r="J9" i="17"/>
  <c r="F28" i="15" l="1"/>
  <c r="J6" i="15"/>
  <c r="E35" i="15"/>
  <c r="F26" i="15"/>
  <c r="A24" i="15"/>
  <c r="F35" i="15" l="1"/>
  <c r="K16" i="15" s="1"/>
  <c r="J20" i="15" s="1"/>
  <c r="K34" i="15"/>
  <c r="I7" i="15" l="1"/>
  <c r="J34" i="15"/>
  <c r="E8" i="43" s="1"/>
  <c r="K35" i="15"/>
  <c r="K10" i="15"/>
  <c r="J10" i="15"/>
  <c r="I8" i="15" l="1"/>
  <c r="E4" i="43"/>
  <c r="E5" i="43"/>
  <c r="J7" i="15"/>
  <c r="K7" i="15"/>
  <c r="S31" i="57"/>
  <c r="BA31" i="53"/>
  <c r="AI31" i="53"/>
  <c r="BC31" i="53"/>
  <c r="BA31" i="51"/>
  <c r="O31" i="51"/>
  <c r="AI31" i="51"/>
  <c r="AL31" i="53"/>
  <c r="AR22" i="27"/>
  <c r="BF31" i="53"/>
  <c r="AQ31" i="53"/>
  <c r="AS31" i="51"/>
  <c r="BC31" i="51"/>
  <c r="AB31" i="51"/>
  <c r="AS31" i="53"/>
  <c r="AB31" i="53"/>
  <c r="AL31" i="51"/>
  <c r="AV31" i="51"/>
  <c r="AV31" i="53"/>
  <c r="AG31" i="53"/>
  <c r="O31" i="53"/>
  <c r="AG31" i="51"/>
  <c r="N22" i="47"/>
  <c r="BB22" i="27"/>
  <c r="AC22" i="27"/>
  <c r="P22" i="47"/>
  <c r="M31" i="51"/>
  <c r="BF31" i="51"/>
  <c r="AJ22" i="47"/>
  <c r="AT22" i="47"/>
  <c r="AH22" i="47"/>
  <c r="AJ22" i="27"/>
  <c r="BD22" i="47"/>
  <c r="AM22" i="47"/>
  <c r="AQ31" i="51"/>
  <c r="AW22" i="47"/>
  <c r="N22" i="27"/>
  <c r="AM22" i="27"/>
  <c r="BG22" i="47"/>
  <c r="P22" i="27"/>
  <c r="AT22" i="27"/>
  <c r="AR22" i="47"/>
  <c r="BB22" i="47"/>
  <c r="AC22" i="47"/>
  <c r="BD22" i="27"/>
  <c r="AW22" i="27"/>
  <c r="BG22" i="27"/>
  <c r="AH22" i="27"/>
  <c r="P31" i="57"/>
  <c r="N31" i="53"/>
  <c r="S31" i="53"/>
  <c r="Q31" i="53"/>
  <c r="P19" i="57" l="1"/>
  <c r="Q31" i="57"/>
  <c r="K8" i="15"/>
  <c r="I9" i="15"/>
  <c r="J8" i="15"/>
  <c r="S19" i="57"/>
  <c r="T31" i="57"/>
  <c r="BG31" i="51"/>
  <c r="BF19" i="51"/>
  <c r="AL19" i="51"/>
  <c r="AM31" i="51"/>
  <c r="AN31" i="51"/>
  <c r="AB19" i="51"/>
  <c r="Z31" i="51"/>
  <c r="X31" i="51"/>
  <c r="AC31" i="51"/>
  <c r="V31" i="51"/>
  <c r="AD31" i="51"/>
  <c r="BF19" i="53"/>
  <c r="BG31" i="53"/>
  <c r="BB31" i="51"/>
  <c r="BA19" i="51"/>
  <c r="P31" i="53"/>
  <c r="O19" i="53"/>
  <c r="AG19" i="53"/>
  <c r="AH31" i="53"/>
  <c r="N31" i="51"/>
  <c r="Q31" i="51"/>
  <c r="S31" i="51"/>
  <c r="M19" i="51"/>
  <c r="K31" i="51"/>
  <c r="I31" i="51"/>
  <c r="Z31" i="53"/>
  <c r="AB19" i="53"/>
  <c r="X31" i="53"/>
  <c r="V31" i="53"/>
  <c r="AD31" i="53"/>
  <c r="AC31" i="53"/>
  <c r="BD31" i="51"/>
  <c r="BC19" i="51"/>
  <c r="AN31" i="53"/>
  <c r="AM31" i="53"/>
  <c r="AL19" i="53"/>
  <c r="BD31" i="53"/>
  <c r="BC19" i="53"/>
  <c r="AR31" i="51"/>
  <c r="AQ19" i="51"/>
  <c r="AX31" i="53"/>
  <c r="AW31" i="53"/>
  <c r="AV19" i="53"/>
  <c r="AS19" i="53"/>
  <c r="AJ31" i="51"/>
  <c r="AI19" i="51"/>
  <c r="AJ31" i="53"/>
  <c r="AH31" i="51"/>
  <c r="AG19" i="51"/>
  <c r="AV19" i="51"/>
  <c r="P31" i="51"/>
  <c r="BB31" i="53"/>
  <c r="BA19" i="53"/>
  <c r="AO22" i="47"/>
  <c r="AN22" i="47"/>
  <c r="AM21" i="47"/>
  <c r="BC22" i="47"/>
  <c r="AE22" i="47"/>
  <c r="AD22" i="47"/>
  <c r="AJ21" i="27"/>
  <c r="J22" i="47"/>
  <c r="AY22" i="27"/>
  <c r="AO22" i="27"/>
  <c r="AN22" i="27"/>
  <c r="AR21" i="47"/>
  <c r="N21" i="27"/>
  <c r="AY22" i="47"/>
  <c r="AT31" i="53"/>
  <c r="AT31" i="51"/>
  <c r="AS19" i="51"/>
  <c r="AI19" i="53"/>
  <c r="AW31" i="51"/>
  <c r="AX31" i="51"/>
  <c r="AR31" i="53"/>
  <c r="AQ19" i="53"/>
  <c r="O19" i="51"/>
  <c r="AI22" i="27"/>
  <c r="BE22" i="27"/>
  <c r="BD21" i="27"/>
  <c r="AT21" i="27"/>
  <c r="AU22" i="47"/>
  <c r="AR21" i="27"/>
  <c r="BH22" i="27"/>
  <c r="W22" i="47"/>
  <c r="Y22" i="47"/>
  <c r="AA22" i="47"/>
  <c r="BG21" i="47"/>
  <c r="N21" i="47"/>
  <c r="AW21" i="27"/>
  <c r="AS22" i="47"/>
  <c r="Q22" i="27"/>
  <c r="O22" i="27"/>
  <c r="L22" i="27"/>
  <c r="T22" i="27"/>
  <c r="AH21" i="27"/>
  <c r="AU22" i="27"/>
  <c r="AT21" i="47"/>
  <c r="AS22" i="27"/>
  <c r="BG21" i="27"/>
  <c r="BB21" i="47"/>
  <c r="AC21" i="47"/>
  <c r="BH22" i="47"/>
  <c r="O22" i="47"/>
  <c r="L22" i="47"/>
  <c r="T22" i="47"/>
  <c r="R22" i="47"/>
  <c r="AX22" i="27"/>
  <c r="AM21" i="27"/>
  <c r="AK22" i="27"/>
  <c r="P21" i="27"/>
  <c r="R22" i="27"/>
  <c r="J22" i="27"/>
  <c r="AJ21" i="47"/>
  <c r="AK22" i="47"/>
  <c r="Q22" i="47"/>
  <c r="P21" i="47"/>
  <c r="AE22" i="27"/>
  <c r="AA22" i="27"/>
  <c r="AD22" i="27"/>
  <c r="Y22" i="27"/>
  <c r="AC21" i="27"/>
  <c r="W22" i="27"/>
  <c r="BE22" i="47"/>
  <c r="BD21" i="47"/>
  <c r="AI22" i="47"/>
  <c r="AH21" i="47"/>
  <c r="BC22" i="27"/>
  <c r="BB21" i="27"/>
  <c r="AX22" i="47"/>
  <c r="AW21" i="47"/>
  <c r="R31" i="53"/>
  <c r="Q19" i="53"/>
  <c r="N19" i="53"/>
  <c r="AW19" i="51"/>
  <c r="AV36" i="51"/>
  <c r="AW36" i="51" s="1"/>
  <c r="T31" i="53"/>
  <c r="S19" i="53"/>
  <c r="L31" i="53"/>
  <c r="J31" i="53"/>
  <c r="I19" i="53"/>
  <c r="BB32" i="47"/>
  <c r="BC32" i="47" s="1"/>
  <c r="AI21" i="27"/>
  <c r="AH33" i="27"/>
  <c r="AI33" i="27" s="1"/>
  <c r="AH32" i="27"/>
  <c r="AI32" i="27" s="1"/>
  <c r="AR19" i="53" l="1"/>
  <c r="T31" i="51"/>
  <c r="S19" i="51"/>
  <c r="AI36" i="53"/>
  <c r="AJ36" i="53" s="1"/>
  <c r="U22" i="27"/>
  <c r="T21" i="27"/>
  <c r="AU21" i="47"/>
  <c r="AT37" i="47"/>
  <c r="AT38" i="47" s="1"/>
  <c r="AU38" i="47" s="1"/>
  <c r="AT32" i="47"/>
  <c r="AU32" i="47" s="1"/>
  <c r="P36" i="57"/>
  <c r="Q36" i="57" s="1"/>
  <c r="Q19" i="57"/>
  <c r="S36" i="57"/>
  <c r="T36" i="57" s="1"/>
  <c r="T19" i="57"/>
  <c r="Y31" i="51"/>
  <c r="X19" i="51"/>
  <c r="AH19" i="51"/>
  <c r="AG36" i="51"/>
  <c r="AH36" i="51" s="1"/>
  <c r="BF36" i="51"/>
  <c r="BG36" i="51" s="1"/>
  <c r="BG19" i="51"/>
  <c r="AM19" i="51"/>
  <c r="AL36" i="51"/>
  <c r="AM36" i="51" s="1"/>
  <c r="Q21" i="27"/>
  <c r="P32" i="27"/>
  <c r="Q32" i="27" s="1"/>
  <c r="J9" i="15"/>
  <c r="K22" i="47"/>
  <c r="J21" i="47"/>
  <c r="N32" i="27"/>
  <c r="O32" i="27" s="1"/>
  <c r="N33" i="27"/>
  <c r="O33" i="27" s="1"/>
  <c r="O21" i="27"/>
  <c r="AT33" i="47"/>
  <c r="AU33" i="47" s="1"/>
  <c r="J21" i="27"/>
  <c r="K9" i="15"/>
  <c r="AH19" i="53"/>
  <c r="AG36" i="53"/>
  <c r="AH36" i="53" s="1"/>
  <c r="AE31" i="51"/>
  <c r="AD19" i="51"/>
  <c r="BG19" i="53"/>
  <c r="BF36" i="53"/>
  <c r="BG36" i="53" s="1"/>
  <c r="W31" i="51"/>
  <c r="V19" i="51"/>
  <c r="AC19" i="51"/>
  <c r="AB36" i="51"/>
  <c r="AC36" i="51" s="1"/>
  <c r="AJ19" i="53"/>
  <c r="BB19" i="51"/>
  <c r="BA36" i="51"/>
  <c r="BB36" i="51" s="1"/>
  <c r="P33" i="27"/>
  <c r="Q33" i="27" s="1"/>
  <c r="AA21" i="47"/>
  <c r="AB22" i="47"/>
  <c r="AF22" i="47"/>
  <c r="AE21" i="47"/>
  <c r="BD32" i="27"/>
  <c r="BE32" i="27" s="1"/>
  <c r="BE21" i="27"/>
  <c r="BD33" i="27"/>
  <c r="BE33" i="27" s="1"/>
  <c r="AP22" i="47"/>
  <c r="AO21" i="47"/>
  <c r="AE21" i="27"/>
  <c r="AF22" i="27"/>
  <c r="AJ37" i="47"/>
  <c r="AJ38" i="47" s="1"/>
  <c r="AK38" i="47" s="1"/>
  <c r="AJ33" i="47"/>
  <c r="AK33" i="47" s="1"/>
  <c r="AJ32" i="47"/>
  <c r="AK32" i="47" s="1"/>
  <c r="AK21" i="47"/>
  <c r="AM33" i="47"/>
  <c r="AN33" i="47" s="1"/>
  <c r="AN21" i="47"/>
  <c r="AM37" i="47"/>
  <c r="AM38" i="47" s="1"/>
  <c r="AN38" i="47" s="1"/>
  <c r="AM32" i="47"/>
  <c r="AN32" i="47" s="1"/>
  <c r="AM32" i="27"/>
  <c r="AN32" i="27" s="1"/>
  <c r="AM33" i="27"/>
  <c r="AN33" i="27" s="1"/>
  <c r="AN21" i="27"/>
  <c r="AQ36" i="53"/>
  <c r="AR36" i="53" s="1"/>
  <c r="AX19" i="53"/>
  <c r="AY31" i="53"/>
  <c r="AB36" i="53"/>
  <c r="AC36" i="53" s="1"/>
  <c r="AC19" i="53"/>
  <c r="N19" i="51"/>
  <c r="M36" i="51"/>
  <c r="N36" i="51" s="1"/>
  <c r="P19" i="53"/>
  <c r="O36" i="53"/>
  <c r="P36" i="53" s="1"/>
  <c r="AY31" i="51"/>
  <c r="AX19" i="51"/>
  <c r="AT19" i="53"/>
  <c r="AS36" i="53"/>
  <c r="AT36" i="53" s="1"/>
  <c r="BC36" i="53"/>
  <c r="BD36" i="53" s="1"/>
  <c r="BD19" i="53"/>
  <c r="AM19" i="53"/>
  <c r="AL36" i="53"/>
  <c r="AM36" i="53" s="1"/>
  <c r="AR32" i="27"/>
  <c r="AS32" i="27" s="1"/>
  <c r="AA31" i="51"/>
  <c r="Z19" i="51"/>
  <c r="AN19" i="51"/>
  <c r="AO31" i="51"/>
  <c r="P19" i="51"/>
  <c r="O36" i="51"/>
  <c r="P36" i="51" s="1"/>
  <c r="AW19" i="53"/>
  <c r="AV36" i="53"/>
  <c r="AW36" i="53" s="1"/>
  <c r="BD19" i="51"/>
  <c r="BC36" i="51"/>
  <c r="BD36" i="51" s="1"/>
  <c r="W31" i="53"/>
  <c r="V19" i="53"/>
  <c r="J31" i="51"/>
  <c r="I19" i="51"/>
  <c r="R31" i="51"/>
  <c r="Q19" i="51"/>
  <c r="AJ19" i="51"/>
  <c r="AI36" i="51"/>
  <c r="AJ36" i="51" s="1"/>
  <c r="Z22" i="47"/>
  <c r="Y21" i="47"/>
  <c r="AS21" i="27"/>
  <c r="AR33" i="27"/>
  <c r="AS33" i="27" s="1"/>
  <c r="BG37" i="47"/>
  <c r="BG38" i="47" s="1"/>
  <c r="BH38" i="47" s="1"/>
  <c r="BG33" i="47"/>
  <c r="BH33" i="47" s="1"/>
  <c r="AC32" i="47"/>
  <c r="AD32" i="47" s="1"/>
  <c r="AC33" i="47"/>
  <c r="AD33" i="47" s="1"/>
  <c r="AD21" i="47"/>
  <c r="X22" i="47"/>
  <c r="W21" i="47"/>
  <c r="BG33" i="27"/>
  <c r="BH33" i="27" s="1"/>
  <c r="BH21" i="27"/>
  <c r="BG32" i="27"/>
  <c r="BH32" i="27" s="1"/>
  <c r="BD37" i="47"/>
  <c r="BD38" i="47" s="1"/>
  <c r="BE38" i="47" s="1"/>
  <c r="BD32" i="47"/>
  <c r="BE32" i="47" s="1"/>
  <c r="BD33" i="47"/>
  <c r="BE33" i="47" s="1"/>
  <c r="BE21" i="47"/>
  <c r="Z22" i="27"/>
  <c r="Y21" i="27"/>
  <c r="P32" i="47"/>
  <c r="Q32" i="47" s="1"/>
  <c r="Q21" i="47"/>
  <c r="P37" i="47"/>
  <c r="P38" i="47" s="1"/>
  <c r="Q38" i="47" s="1"/>
  <c r="P33" i="47"/>
  <c r="Q33" i="47" s="1"/>
  <c r="K22" i="27"/>
  <c r="M22" i="27"/>
  <c r="AP22" i="27"/>
  <c r="AO21" i="27"/>
  <c r="R21" i="47"/>
  <c r="S22" i="47"/>
  <c r="O21" i="47"/>
  <c r="N37" i="47"/>
  <c r="N38" i="47" s="1"/>
  <c r="O38" i="47" s="1"/>
  <c r="N33" i="47"/>
  <c r="O33" i="47" s="1"/>
  <c r="N32" i="47"/>
  <c r="O32" i="47" s="1"/>
  <c r="AJ33" i="27"/>
  <c r="AK33" i="27" s="1"/>
  <c r="AK21" i="27"/>
  <c r="AJ32" i="27"/>
  <c r="AK32" i="27" s="1"/>
  <c r="BB33" i="47"/>
  <c r="BC33" i="47" s="1"/>
  <c r="BC21" i="47"/>
  <c r="BB37" i="47"/>
  <c r="BB38" i="47" s="1"/>
  <c r="BC38" i="47" s="1"/>
  <c r="AU21" i="27"/>
  <c r="AT32" i="27"/>
  <c r="AU32" i="27" s="1"/>
  <c r="AT33" i="27"/>
  <c r="AU33" i="27" s="1"/>
  <c r="AD19" i="53"/>
  <c r="AE31" i="53"/>
  <c r="AA31" i="53"/>
  <c r="Z19" i="53"/>
  <c r="BB19" i="53"/>
  <c r="BA36" i="53"/>
  <c r="BB36" i="53" s="1"/>
  <c r="AT19" i="51"/>
  <c r="AS36" i="51"/>
  <c r="AT36" i="51" s="1"/>
  <c r="AQ36" i="51"/>
  <c r="AR36" i="51" s="1"/>
  <c r="AR19" i="51"/>
  <c r="AN19" i="53"/>
  <c r="AO31" i="53"/>
  <c r="Y31" i="53"/>
  <c r="X19" i="53"/>
  <c r="L31" i="51"/>
  <c r="K19" i="51"/>
  <c r="BB33" i="27"/>
  <c r="BC33" i="27" s="1"/>
  <c r="BB32" i="27"/>
  <c r="BC32" i="27" s="1"/>
  <c r="BC21" i="27"/>
  <c r="AY21" i="47"/>
  <c r="AZ22" i="47"/>
  <c r="R21" i="27"/>
  <c r="S22" i="27"/>
  <c r="AW33" i="27"/>
  <c r="AX33" i="27" s="1"/>
  <c r="AX21" i="27"/>
  <c r="AW32" i="27"/>
  <c r="AX32" i="27" s="1"/>
  <c r="T21" i="47"/>
  <c r="U22" i="47"/>
  <c r="AC33" i="27"/>
  <c r="AD33" i="27" s="1"/>
  <c r="AD21" i="27"/>
  <c r="AC32" i="27"/>
  <c r="AD32" i="27" s="1"/>
  <c r="AW37" i="47"/>
  <c r="AW38" i="47" s="1"/>
  <c r="AX38" i="47" s="1"/>
  <c r="AW33" i="47"/>
  <c r="AX33" i="47" s="1"/>
  <c r="AW32" i="47"/>
  <c r="AX32" i="47" s="1"/>
  <c r="AB22" i="27"/>
  <c r="AX21" i="47"/>
  <c r="AH33" i="47"/>
  <c r="AI33" i="47" s="1"/>
  <c r="AI21" i="47"/>
  <c r="AH37" i="47"/>
  <c r="AH38" i="47" s="1"/>
  <c r="AI38" i="47" s="1"/>
  <c r="AH32" i="47"/>
  <c r="AI32" i="47" s="1"/>
  <c r="W21" i="27"/>
  <c r="X22" i="27"/>
  <c r="AA21" i="27"/>
  <c r="AZ22" i="27"/>
  <c r="AY21" i="27"/>
  <c r="M22" i="47"/>
  <c r="L21" i="47"/>
  <c r="BG32" i="47"/>
  <c r="BH32" i="47" s="1"/>
  <c r="BH21" i="47"/>
  <c r="L21" i="27"/>
  <c r="AR37" i="47"/>
  <c r="AR38" i="47" s="1"/>
  <c r="AS38" i="47" s="1"/>
  <c r="AR33" i="47"/>
  <c r="AS33" i="47" s="1"/>
  <c r="AR32" i="47"/>
  <c r="AS32" i="47" s="1"/>
  <c r="AS21" i="47"/>
  <c r="J19" i="53"/>
  <c r="T19" i="53"/>
  <c r="S36" i="53"/>
  <c r="T36" i="53" s="1"/>
  <c r="R19" i="53"/>
  <c r="Q36" i="53"/>
  <c r="R36" i="53" s="1"/>
  <c r="T19" i="51" l="1"/>
  <c r="S36" i="51"/>
  <c r="T36" i="51" s="1"/>
  <c r="T33" i="27"/>
  <c r="U33" i="27" s="1"/>
  <c r="T32" i="27"/>
  <c r="U32" i="27" s="1"/>
  <c r="U21" i="27"/>
  <c r="Y19" i="53"/>
  <c r="Y19" i="51"/>
  <c r="X36" i="51"/>
  <c r="Y36" i="51" s="1"/>
  <c r="K21" i="27"/>
  <c r="J32" i="27"/>
  <c r="K32" i="27" s="1"/>
  <c r="J33" i="27"/>
  <c r="K33" i="27" s="1"/>
  <c r="J32" i="47"/>
  <c r="K32" i="47" s="1"/>
  <c r="J33" i="47"/>
  <c r="K33" i="47" s="1"/>
  <c r="K21" i="47"/>
  <c r="J37" i="47"/>
  <c r="J38" i="47" s="1"/>
  <c r="K38" i="47" s="1"/>
  <c r="X36" i="53"/>
  <c r="Y36" i="53" s="1"/>
  <c r="W19" i="53"/>
  <c r="V36" i="53"/>
  <c r="W36" i="53" s="1"/>
  <c r="AE19" i="51"/>
  <c r="AD36" i="51"/>
  <c r="AE36" i="51" s="1"/>
  <c r="AA19" i="53"/>
  <c r="Z36" i="53"/>
  <c r="AA36" i="53" s="1"/>
  <c r="AO19" i="53"/>
  <c r="AN36" i="53"/>
  <c r="AO36" i="53" s="1"/>
  <c r="AO19" i="51"/>
  <c r="AN36" i="51"/>
  <c r="AO36" i="51" s="1"/>
  <c r="W19" i="51"/>
  <c r="V36" i="51"/>
  <c r="W36" i="51" s="1"/>
  <c r="J19" i="51"/>
  <c r="I36" i="51"/>
  <c r="J36" i="51" s="1"/>
  <c r="AA19" i="51"/>
  <c r="Z36" i="51"/>
  <c r="AA36" i="51" s="1"/>
  <c r="AY19" i="51"/>
  <c r="AX36" i="51"/>
  <c r="AY36" i="51" s="1"/>
  <c r="AF21" i="27"/>
  <c r="AE32" i="27"/>
  <c r="AF32" i="27" s="1"/>
  <c r="AE33" i="27"/>
  <c r="AF33" i="27" s="1"/>
  <c r="AO33" i="47"/>
  <c r="AP33" i="47" s="1"/>
  <c r="AP21" i="47"/>
  <c r="AO37" i="47"/>
  <c r="AO38" i="47" s="1"/>
  <c r="AP38" i="47" s="1"/>
  <c r="AO32" i="47"/>
  <c r="AP32" i="47" s="1"/>
  <c r="AB21" i="47"/>
  <c r="AA33" i="47"/>
  <c r="AB33" i="47" s="1"/>
  <c r="AA32" i="47"/>
  <c r="AB32" i="47" s="1"/>
  <c r="AF21" i="47"/>
  <c r="AE33" i="47"/>
  <c r="AF33" i="47" s="1"/>
  <c r="AE32" i="47"/>
  <c r="AF32" i="47" s="1"/>
  <c r="AY19" i="53"/>
  <c r="AX36" i="53"/>
  <c r="AY36" i="53" s="1"/>
  <c r="AO33" i="27"/>
  <c r="AP33" i="27" s="1"/>
  <c r="AP21" i="27"/>
  <c r="AO32" i="27"/>
  <c r="AP32" i="27" s="1"/>
  <c r="T32" i="47"/>
  <c r="U32" i="47" s="1"/>
  <c r="Y33" i="47"/>
  <c r="Z33" i="47" s="1"/>
  <c r="Y32" i="47"/>
  <c r="Z32" i="47" s="1"/>
  <c r="Z21" i="47"/>
  <c r="Z21" i="27"/>
  <c r="Y33" i="27"/>
  <c r="Z33" i="27" s="1"/>
  <c r="Y32" i="27"/>
  <c r="Z32" i="27" s="1"/>
  <c r="W32" i="47"/>
  <c r="X32" i="47" s="1"/>
  <c r="R33" i="47"/>
  <c r="S33" i="47" s="1"/>
  <c r="S21" i="47"/>
  <c r="R37" i="47"/>
  <c r="R38" i="47" s="1"/>
  <c r="S38" i="47" s="1"/>
  <c r="R32" i="47"/>
  <c r="S32" i="47" s="1"/>
  <c r="X21" i="47"/>
  <c r="W33" i="47"/>
  <c r="X33" i="47" s="1"/>
  <c r="L19" i="51"/>
  <c r="K36" i="51"/>
  <c r="L36" i="51" s="1"/>
  <c r="AE19" i="53"/>
  <c r="L33" i="47"/>
  <c r="M33" i="47" s="1"/>
  <c r="L37" i="47"/>
  <c r="L38" i="47" s="1"/>
  <c r="M38" i="47" s="1"/>
  <c r="L32" i="47"/>
  <c r="M32" i="47" s="1"/>
  <c r="R32" i="27"/>
  <c r="S32" i="27" s="1"/>
  <c r="AD36" i="53"/>
  <c r="AE36" i="53" s="1"/>
  <c r="M21" i="47"/>
  <c r="U21" i="47"/>
  <c r="T37" i="47"/>
  <c r="T38" i="47" s="1"/>
  <c r="U38" i="47" s="1"/>
  <c r="T33" i="47"/>
  <c r="U33" i="47" s="1"/>
  <c r="AY33" i="47"/>
  <c r="AZ33" i="47" s="1"/>
  <c r="AY32" i="47"/>
  <c r="AZ32" i="47" s="1"/>
  <c r="AZ21" i="47"/>
  <c r="AY37" i="47"/>
  <c r="AY38" i="47" s="1"/>
  <c r="AZ38" i="47" s="1"/>
  <c r="X21" i="27"/>
  <c r="W32" i="27"/>
  <c r="X32" i="27" s="1"/>
  <c r="W33" i="27"/>
  <c r="X33" i="27" s="1"/>
  <c r="L32" i="27"/>
  <c r="M32" i="27" s="1"/>
  <c r="L33" i="27"/>
  <c r="M33" i="27" s="1"/>
  <c r="M21" i="27"/>
  <c r="AY32" i="27"/>
  <c r="AZ32" i="27" s="1"/>
  <c r="AZ21" i="27"/>
  <c r="AY33" i="27"/>
  <c r="AZ33" i="27" s="1"/>
  <c r="R33" i="27"/>
  <c r="S33" i="27" s="1"/>
  <c r="S21" i="27"/>
  <c r="AA33" i="27"/>
  <c r="AB33" i="27" s="1"/>
  <c r="AA32" i="27"/>
  <c r="AB32" i="27" s="1"/>
  <c r="AB21" i="27"/>
  <c r="R20" i="51"/>
  <c r="R19" i="51"/>
  <c r="Q36" i="51" l="1"/>
  <c r="R36" i="51" s="1"/>
  <c r="N9" i="53" l="1"/>
  <c r="M17" i="53"/>
  <c r="K9" i="53"/>
  <c r="I9" i="53"/>
  <c r="N17" i="53" l="1"/>
  <c r="M18" i="53"/>
  <c r="L9" i="53"/>
  <c r="K17" i="53"/>
  <c r="J9" i="53"/>
  <c r="I17" i="53"/>
  <c r="M36" i="53" l="1"/>
  <c r="N36" i="53" s="1"/>
  <c r="N18" i="53"/>
  <c r="K34" i="53"/>
  <c r="L17" i="53"/>
  <c r="K18" i="53"/>
  <c r="J17" i="53"/>
  <c r="I18" i="53"/>
  <c r="L34" i="53" l="1"/>
  <c r="K19" i="53"/>
  <c r="L18" i="53"/>
  <c r="I36" i="53"/>
  <c r="J36" i="53" s="1"/>
  <c r="J18" i="53"/>
  <c r="L19" i="53" l="1"/>
  <c r="K36" i="53"/>
  <c r="L36"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BJ24" authorId="0" shapeId="0" xr:uid="{BEFD5C29-CFC7-4CCE-A845-333990CBEC95}">
      <text>
        <r>
          <rPr>
            <sz val="9"/>
            <color indexed="81"/>
            <rFont val="Tahoma"/>
            <family val="2"/>
          </rPr>
          <t>ELGIE:
Free 5 Days [592.96=20;1,058.86=40)</t>
        </r>
      </text>
    </comment>
    <comment ref="BJ33" authorId="0" shapeId="0" xr:uid="{7BE9DA3B-3E9D-4BB7-A4CF-F2ED004B1D31}">
      <text>
        <r>
          <rPr>
            <sz val="9"/>
            <color indexed="81"/>
            <rFont val="Tahoma"/>
            <family val="2"/>
          </rPr>
          <t>ELGIE:
Free 5 Days [592.96=20;1,058.86=40)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J25" authorId="0" shapeId="0" xr:uid="{00000000-0006-0000-0500-000001000000}">
      <text>
        <r>
          <rPr>
            <sz val="9"/>
            <color indexed="81"/>
            <rFont val="Tahoma"/>
            <family val="2"/>
          </rPr>
          <t>ELGIE:
Free 5 Days [592.96=20;1,058.86=40)</t>
        </r>
      </text>
    </comment>
    <comment ref="U25" authorId="0" shapeId="0" xr:uid="{00000000-0006-0000-0500-000002000000}">
      <text>
        <r>
          <rPr>
            <sz val="9"/>
            <color indexed="81"/>
            <rFont val="Tahoma"/>
            <family val="2"/>
          </rPr>
          <t>ELGIE:
Free 5 Days [592.96=20;1,058.86=40)</t>
        </r>
      </text>
    </comment>
    <comment ref="AF25" authorId="0" shapeId="0" xr:uid="{00000000-0006-0000-0500-000003000000}">
      <text>
        <r>
          <rPr>
            <sz val="9"/>
            <color indexed="81"/>
            <rFont val="Tahoma"/>
            <family val="2"/>
          </rPr>
          <t>ELGIE:
Free 5 Days [592.96=20;1,058.86=40)</t>
        </r>
      </text>
    </comment>
    <comment ref="AQ25" authorId="0" shapeId="0" xr:uid="{00000000-0006-0000-0500-000004000000}">
      <text>
        <r>
          <rPr>
            <sz val="9"/>
            <color indexed="81"/>
            <rFont val="Tahoma"/>
            <family val="2"/>
          </rPr>
          <t>ELGIE:
Free 5 Days [592.96=20;1,058.86=40)</t>
        </r>
      </text>
    </comment>
    <comment ref="BB25" authorId="0" shapeId="0" xr:uid="{00000000-0006-0000-0500-000005000000}">
      <text>
        <r>
          <rPr>
            <sz val="9"/>
            <color indexed="81"/>
            <rFont val="Tahoma"/>
            <family val="2"/>
          </rPr>
          <t>ELGIE:
Free 5 Days [592.96=20;1,058.86=40)</t>
        </r>
      </text>
    </comment>
    <comment ref="BM25" authorId="0" shapeId="0" xr:uid="{00000000-0006-0000-0500-000006000000}">
      <text>
        <r>
          <rPr>
            <sz val="9"/>
            <color indexed="81"/>
            <rFont val="Tahoma"/>
            <family val="2"/>
          </rPr>
          <t>ELGIE:
Free 5 Days [592.96=20;1,058.86=40)</t>
        </r>
      </text>
    </comment>
    <comment ref="BX25" authorId="0" shapeId="0" xr:uid="{00000000-0006-0000-0500-000007000000}">
      <text>
        <r>
          <rPr>
            <sz val="9"/>
            <color indexed="81"/>
            <rFont val="Tahoma"/>
            <family val="2"/>
          </rPr>
          <t>ELGIE:
Free 5 Days [592.96=20;1,058.86=40)</t>
        </r>
      </text>
    </comment>
    <comment ref="CI25" authorId="0" shapeId="0" xr:uid="{00000000-0006-0000-0500-000008000000}">
      <text>
        <r>
          <rPr>
            <sz val="9"/>
            <color indexed="81"/>
            <rFont val="Tahoma"/>
            <family val="2"/>
          </rPr>
          <t>ELGIE:
Free 5 Days [592.96=20;1,058.86=40)</t>
        </r>
      </text>
    </comment>
    <comment ref="CT25" authorId="0" shapeId="0" xr:uid="{00000000-0006-0000-0500-000009000000}">
      <text>
        <r>
          <rPr>
            <sz val="9"/>
            <color indexed="81"/>
            <rFont val="Tahoma"/>
            <family val="2"/>
          </rPr>
          <t>ELGIE:
Free 5 Days [592.96=20;1,058.86=40)</t>
        </r>
      </text>
    </comment>
    <comment ref="DE25" authorId="0" shapeId="0" xr:uid="{00000000-0006-0000-0500-00000A000000}">
      <text>
        <r>
          <rPr>
            <sz val="9"/>
            <color indexed="81"/>
            <rFont val="Tahoma"/>
            <family val="2"/>
          </rPr>
          <t>ELGIE:
Free 5 Days [592.96=20;1,058.86=40)</t>
        </r>
      </text>
    </comment>
    <comment ref="DQ25" authorId="0" shapeId="0" xr:uid="{00000000-0006-0000-0500-00000B000000}">
      <text>
        <r>
          <rPr>
            <sz val="9"/>
            <color indexed="81"/>
            <rFont val="Tahoma"/>
            <family val="2"/>
          </rPr>
          <t>ELGIE:
Free 5 Days [592.96=20;1,058.86=40)</t>
        </r>
      </text>
    </comment>
    <comment ref="J34" authorId="0" shapeId="0" xr:uid="{00000000-0006-0000-0500-00000C000000}">
      <text>
        <r>
          <rPr>
            <sz val="9"/>
            <color indexed="81"/>
            <rFont val="Tahoma"/>
            <family val="2"/>
          </rPr>
          <t>ELGIE:
Free 5 Days [592.96=20;1,058.86=40)</t>
        </r>
      </text>
    </comment>
    <comment ref="U34" authorId="0" shapeId="0" xr:uid="{00000000-0006-0000-0500-00000D000000}">
      <text>
        <r>
          <rPr>
            <sz val="9"/>
            <color indexed="81"/>
            <rFont val="Tahoma"/>
            <family val="2"/>
          </rPr>
          <t>ELGIE:
Free 5 Days [592.96=20;1,058.86=40)</t>
        </r>
      </text>
    </comment>
    <comment ref="AF34" authorId="0" shapeId="0" xr:uid="{00000000-0006-0000-0500-00000E000000}">
      <text>
        <r>
          <rPr>
            <sz val="9"/>
            <color indexed="81"/>
            <rFont val="Tahoma"/>
            <family val="2"/>
          </rPr>
          <t>ELGIE:
Free 5 Days [592.96=20;1,058.86=40)</t>
        </r>
      </text>
    </comment>
    <comment ref="AQ34" authorId="0" shapeId="0" xr:uid="{00000000-0006-0000-0500-00000F000000}">
      <text>
        <r>
          <rPr>
            <sz val="9"/>
            <color indexed="81"/>
            <rFont val="Tahoma"/>
            <family val="2"/>
          </rPr>
          <t>ELGIE:
Free 5 Days [592.96=20;1,058.86=40)</t>
        </r>
      </text>
    </comment>
    <comment ref="BB34" authorId="0" shapeId="0" xr:uid="{00000000-0006-0000-0500-000010000000}">
      <text>
        <r>
          <rPr>
            <sz val="9"/>
            <color indexed="81"/>
            <rFont val="Tahoma"/>
            <family val="2"/>
          </rPr>
          <t>ELGIE:
Free 5 Days [592.96=20;1,058.86=40)</t>
        </r>
      </text>
    </comment>
    <comment ref="BM34" authorId="0" shapeId="0" xr:uid="{00000000-0006-0000-0500-000011000000}">
      <text>
        <r>
          <rPr>
            <sz val="9"/>
            <color indexed="81"/>
            <rFont val="Tahoma"/>
            <family val="2"/>
          </rPr>
          <t>ELGIE:
Free 5 Days [592.96=20;1,058.86=40)</t>
        </r>
      </text>
    </comment>
    <comment ref="BX34" authorId="0" shapeId="0" xr:uid="{00000000-0006-0000-0500-000012000000}">
      <text>
        <r>
          <rPr>
            <sz val="9"/>
            <color indexed="81"/>
            <rFont val="Tahoma"/>
            <family val="2"/>
          </rPr>
          <t>ELGIE:
Free 5 Days [592.96=20;1,058.86=40)</t>
        </r>
      </text>
    </comment>
    <comment ref="CI34" authorId="0" shapeId="0" xr:uid="{00000000-0006-0000-0500-000013000000}">
      <text>
        <r>
          <rPr>
            <sz val="9"/>
            <color indexed="81"/>
            <rFont val="Tahoma"/>
            <family val="2"/>
          </rPr>
          <t>ELGIE:
Free 5 Days [592.96=20;1,058.86=40)</t>
        </r>
      </text>
    </comment>
    <comment ref="CT34" authorId="0" shapeId="0" xr:uid="{00000000-0006-0000-0500-000014000000}">
      <text>
        <r>
          <rPr>
            <sz val="9"/>
            <color indexed="81"/>
            <rFont val="Tahoma"/>
            <family val="2"/>
          </rPr>
          <t>ELGIE:
Free 5 Days [592.96=20;1,058.86=40)</t>
        </r>
      </text>
    </comment>
    <comment ref="DE34" authorId="0" shapeId="0" xr:uid="{00000000-0006-0000-0500-000015000000}">
      <text>
        <r>
          <rPr>
            <sz val="9"/>
            <color indexed="81"/>
            <rFont val="Tahoma"/>
            <family val="2"/>
          </rPr>
          <t>ELGIE:
Free 5 Days [592.96=20;1,058.86=40)</t>
        </r>
      </text>
    </comment>
    <comment ref="DQ34" authorId="0" shapeId="0" xr:uid="{00000000-0006-0000-0500-000016000000}">
      <text>
        <r>
          <rPr>
            <sz val="9"/>
            <color indexed="81"/>
            <rFont val="Tahoma"/>
            <family val="2"/>
          </rPr>
          <t>ELGIE:
Free 5 Days [592.96=20;1,058.86=40)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J24" authorId="0" shapeId="0" xr:uid="{00000000-0006-0000-0600-000001000000}">
      <text>
        <r>
          <rPr>
            <sz val="9"/>
            <color indexed="81"/>
            <rFont val="Tahoma"/>
            <family val="2"/>
          </rPr>
          <t>ELGIE:
Free 5 Days [592.96=20;1,058.86=40)</t>
        </r>
      </text>
    </comment>
    <comment ref="U25" authorId="0" shapeId="0" xr:uid="{00000000-0006-0000-0600-000002000000}">
      <text>
        <r>
          <rPr>
            <sz val="9"/>
            <color indexed="81"/>
            <rFont val="Tahoma"/>
            <family val="2"/>
          </rPr>
          <t>ELGIE:
Free 5 Days [592.96=20;1,058.86=40)</t>
        </r>
      </text>
    </comment>
    <comment ref="AF25" authorId="0" shapeId="0" xr:uid="{00000000-0006-0000-0600-000003000000}">
      <text>
        <r>
          <rPr>
            <sz val="9"/>
            <color indexed="81"/>
            <rFont val="Tahoma"/>
            <family val="2"/>
          </rPr>
          <t>ELGIE:
Free 5 Days [592.96=20;1,058.86=40)</t>
        </r>
      </text>
    </comment>
    <comment ref="AQ25" authorId="0" shapeId="0" xr:uid="{00000000-0006-0000-0600-000004000000}">
      <text>
        <r>
          <rPr>
            <sz val="9"/>
            <color indexed="81"/>
            <rFont val="Tahoma"/>
            <family val="2"/>
          </rPr>
          <t>ELGIE:
Free 5 Days [592.96=20;1,058.86=40)</t>
        </r>
      </text>
    </comment>
    <comment ref="BB25" authorId="0" shapeId="0" xr:uid="{00000000-0006-0000-0600-000005000000}">
      <text>
        <r>
          <rPr>
            <sz val="9"/>
            <color indexed="81"/>
            <rFont val="Tahoma"/>
            <family val="2"/>
          </rPr>
          <t>ELGIE:
Free 5 Days [592.96=20;1,058.86=40)</t>
        </r>
      </text>
    </comment>
    <comment ref="BM25" authorId="0" shapeId="0" xr:uid="{00000000-0006-0000-0600-000006000000}">
      <text>
        <r>
          <rPr>
            <sz val="9"/>
            <color indexed="81"/>
            <rFont val="Tahoma"/>
            <family val="2"/>
          </rPr>
          <t>ELGIE:
Free 5 Days [592.96=20;1,058.86=40)</t>
        </r>
      </text>
    </comment>
    <comment ref="BX25" authorId="0" shapeId="0" xr:uid="{00000000-0006-0000-0600-000007000000}">
      <text>
        <r>
          <rPr>
            <sz val="9"/>
            <color indexed="81"/>
            <rFont val="Tahoma"/>
            <family val="2"/>
          </rPr>
          <t>ELGIE:
Free 5 Days [592.96=20;1,058.86=40)</t>
        </r>
      </text>
    </comment>
    <comment ref="CJ25" authorId="0" shapeId="0" xr:uid="{00000000-0006-0000-0600-000008000000}">
      <text>
        <r>
          <rPr>
            <sz val="9"/>
            <color indexed="81"/>
            <rFont val="Tahoma"/>
            <family val="2"/>
          </rPr>
          <t>ELGIE:
Free 5 Days [592.96=20;1,058.86=40)</t>
        </r>
      </text>
    </comment>
    <comment ref="CV25" authorId="0" shapeId="0" xr:uid="{00000000-0006-0000-0600-000009000000}">
      <text>
        <r>
          <rPr>
            <sz val="9"/>
            <color indexed="81"/>
            <rFont val="Tahoma"/>
            <family val="2"/>
          </rPr>
          <t>ELGIE:
Free 5 Days [592.96=20;1,058.86=40)</t>
        </r>
      </text>
    </comment>
    <comment ref="DG25" authorId="0" shapeId="0" xr:uid="{00000000-0006-0000-0600-00000A000000}">
      <text>
        <r>
          <rPr>
            <sz val="9"/>
            <color indexed="81"/>
            <rFont val="Tahoma"/>
            <family val="2"/>
          </rPr>
          <t>ELGIE:
Free 5 Days [592.96=20;1,058.86=40)</t>
        </r>
      </text>
    </comment>
    <comment ref="J33" authorId="0" shapeId="0" xr:uid="{00000000-0006-0000-0600-00000B000000}">
      <text>
        <r>
          <rPr>
            <sz val="9"/>
            <color indexed="81"/>
            <rFont val="Tahoma"/>
            <family val="2"/>
          </rPr>
          <t>ELGIE:
Free 5 Days [592.96=20;1,058.86=40)</t>
        </r>
      </text>
    </comment>
    <comment ref="U34" authorId="0" shapeId="0" xr:uid="{00000000-0006-0000-0600-00000C000000}">
      <text>
        <r>
          <rPr>
            <sz val="9"/>
            <color indexed="81"/>
            <rFont val="Tahoma"/>
            <family val="2"/>
          </rPr>
          <t>ELGIE:
Free 5 Days [592.96=20;1,058.86=40)</t>
        </r>
      </text>
    </comment>
    <comment ref="AF34" authorId="0" shapeId="0" xr:uid="{00000000-0006-0000-0600-00000D000000}">
      <text>
        <r>
          <rPr>
            <sz val="9"/>
            <color indexed="81"/>
            <rFont val="Tahoma"/>
            <family val="2"/>
          </rPr>
          <t>ELGIE:
Free 5 Days [592.96=20;1,058.86=40)</t>
        </r>
      </text>
    </comment>
    <comment ref="AQ34" authorId="0" shapeId="0" xr:uid="{00000000-0006-0000-0600-00000E000000}">
      <text>
        <r>
          <rPr>
            <sz val="9"/>
            <color indexed="81"/>
            <rFont val="Tahoma"/>
            <family val="2"/>
          </rPr>
          <t>ELGIE:
Free 5 Days [592.96=20;1,058.86=40)</t>
        </r>
      </text>
    </comment>
    <comment ref="BB34" authorId="0" shapeId="0" xr:uid="{00000000-0006-0000-0600-00000F000000}">
      <text>
        <r>
          <rPr>
            <sz val="9"/>
            <color indexed="81"/>
            <rFont val="Tahoma"/>
            <family val="2"/>
          </rPr>
          <t>ELGIE:
Free 5 Days [592.96=20;1,058.86=40)</t>
        </r>
      </text>
    </comment>
    <comment ref="BM34" authorId="0" shapeId="0" xr:uid="{00000000-0006-0000-0600-000010000000}">
      <text>
        <r>
          <rPr>
            <sz val="9"/>
            <color indexed="81"/>
            <rFont val="Tahoma"/>
            <family val="2"/>
          </rPr>
          <t>ELGIE:
Free 5 Days [592.96=20;1,058.86=40)</t>
        </r>
      </text>
    </comment>
    <comment ref="BX34" authorId="0" shapeId="0" xr:uid="{00000000-0006-0000-0600-000011000000}">
      <text>
        <r>
          <rPr>
            <sz val="9"/>
            <color indexed="81"/>
            <rFont val="Tahoma"/>
            <family val="2"/>
          </rPr>
          <t>ELGIE:
Free 5 Days [592.96=20;1,058.86=40)</t>
        </r>
      </text>
    </comment>
    <comment ref="CJ34" authorId="0" shapeId="0" xr:uid="{00000000-0006-0000-0600-000012000000}">
      <text>
        <r>
          <rPr>
            <sz val="9"/>
            <color indexed="81"/>
            <rFont val="Tahoma"/>
            <family val="2"/>
          </rPr>
          <t>ELGIE:
Free 5 Days [592.96=20;1,058.86=40)</t>
        </r>
      </text>
    </comment>
    <comment ref="CV34" authorId="0" shapeId="0" xr:uid="{00000000-0006-0000-0600-000013000000}">
      <text>
        <r>
          <rPr>
            <sz val="9"/>
            <color indexed="81"/>
            <rFont val="Tahoma"/>
            <family val="2"/>
          </rPr>
          <t>ELGIE:
Free 5 Days [592.96=20;1,058.86=40)</t>
        </r>
      </text>
    </comment>
    <comment ref="DG34" authorId="0" shapeId="0" xr:uid="{00000000-0006-0000-0600-000014000000}">
      <text>
        <r>
          <rPr>
            <sz val="9"/>
            <color indexed="81"/>
            <rFont val="Tahoma"/>
            <family val="2"/>
          </rPr>
          <t>ELGIE:
Free 5 Days [592.96=20;1,058.86=40)</t>
        </r>
      </text>
    </comment>
    <comment ref="J63" authorId="0" shapeId="0" xr:uid="{4AAA32F4-B411-4698-AF98-5E282ABD06BE}">
      <text>
        <r>
          <rPr>
            <sz val="9"/>
            <color indexed="81"/>
            <rFont val="Tahoma"/>
            <family val="2"/>
          </rPr>
          <t>ELGIE:
Free 5 Days [592.96=20;1,058.86=40)</t>
        </r>
      </text>
    </comment>
    <comment ref="J72" authorId="0" shapeId="0" xr:uid="{72A4CF80-51CF-4A10-8173-B1FD73309BCD}">
      <text>
        <r>
          <rPr>
            <sz val="9"/>
            <color indexed="81"/>
            <rFont val="Tahoma"/>
            <family val="2"/>
          </rPr>
          <t>ELGIE:
Free 5 Days [592.96=20;1,058.86=40)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J25" authorId="0" shapeId="0" xr:uid="{00000000-0006-0000-0700-000001000000}">
      <text>
        <r>
          <rPr>
            <sz val="9"/>
            <color indexed="81"/>
            <rFont val="Tahoma"/>
            <family val="2"/>
          </rPr>
          <t>ELGIE:
Free 5 Days [592.96=20;1,058.86=40)</t>
        </r>
      </text>
    </comment>
    <comment ref="U25" authorId="0" shapeId="0" xr:uid="{00000000-0006-0000-0700-000002000000}">
      <text>
        <r>
          <rPr>
            <sz val="9"/>
            <color indexed="81"/>
            <rFont val="Tahoma"/>
            <family val="2"/>
          </rPr>
          <t>ELGIE:
Free 5 Days [592.96=20;1,058.86=40)</t>
        </r>
      </text>
    </comment>
    <comment ref="AF25" authorId="0" shapeId="0" xr:uid="{00000000-0006-0000-0700-000003000000}">
      <text>
        <r>
          <rPr>
            <sz val="9"/>
            <color indexed="81"/>
            <rFont val="Tahoma"/>
            <family val="2"/>
          </rPr>
          <t>ELGIE:
Free 5 Days [592.96=20;1,058.86=40)</t>
        </r>
      </text>
    </comment>
    <comment ref="AQ25" authorId="0" shapeId="0" xr:uid="{00000000-0006-0000-0700-000004000000}">
      <text>
        <r>
          <rPr>
            <sz val="9"/>
            <color indexed="81"/>
            <rFont val="Tahoma"/>
            <family val="2"/>
          </rPr>
          <t>ELGIE:
Free 5 Days [592.96=20;1,058.86=40)</t>
        </r>
      </text>
    </comment>
    <comment ref="J34" authorId="0" shapeId="0" xr:uid="{00000000-0006-0000-0700-000005000000}">
      <text>
        <r>
          <rPr>
            <sz val="9"/>
            <color indexed="81"/>
            <rFont val="Tahoma"/>
            <family val="2"/>
          </rPr>
          <t>ELGIE:
Free 5 Days [592.96=20;1,058.86=40)</t>
        </r>
      </text>
    </comment>
    <comment ref="U34" authorId="0" shapeId="0" xr:uid="{00000000-0006-0000-0700-000006000000}">
      <text>
        <r>
          <rPr>
            <sz val="9"/>
            <color indexed="81"/>
            <rFont val="Tahoma"/>
            <family val="2"/>
          </rPr>
          <t>ELGIE:
Free 5 Days [592.96=20;1,058.86=40)</t>
        </r>
      </text>
    </comment>
    <comment ref="AF34" authorId="0" shapeId="0" xr:uid="{00000000-0006-0000-0700-000007000000}">
      <text>
        <r>
          <rPr>
            <sz val="9"/>
            <color indexed="81"/>
            <rFont val="Tahoma"/>
            <family val="2"/>
          </rPr>
          <t>ELGIE:
Free 5 Days [592.96=20;1,058.86=40)</t>
        </r>
      </text>
    </comment>
    <comment ref="AQ34" authorId="0" shapeId="0" xr:uid="{00000000-0006-0000-0700-000008000000}">
      <text>
        <r>
          <rPr>
            <sz val="9"/>
            <color indexed="81"/>
            <rFont val="Tahoma"/>
            <family val="2"/>
          </rPr>
          <t>ELGIE:
Free 5 Days [592.96=20;1,058.86=40)</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InventoryTracingfromLastPhysical" type="5" refreshedVersion="4" savePassword="1" saveData="1">
    <dbPr connection="Provider=SQLOLEDB.1;Password=MeN2;Persist Security Info=True;User ID=sa;Initial Catalog=UOMOTECH_MAMA_PINAS;Data Source=MEN2MKTG_SERVER;Use Procedure for Prepare=1;Auto Translate=True;Packet Size=4096;Workstation ID=UOMOSERVER;Use Encryption for Data=False;Tag with column collation when possible=False" command="Select * from vrptiReceiveSupplier where NOT SubDescription='NOT' AND NOT CatName='CAP' and NOT CatName='RAW MATERIALS' and isCancelled='FALSE'"/>
  </connection>
  <connection id="2" xr16:uid="{00000000-0015-0000-FFFF-FFFF01000000}" keepAlive="1" name="PettyCashNonTrade" type="5" refreshedVersion="4" savePassword="1" saveData="1">
    <dbPr connection="Provider=SQLOLEDB.1;Password=MeN2;Persist Security Info=True;User ID=sa;Initial Catalog=UOMOTECH_MEN_2021;Data Source=MEN2MKTG_SERVER;Use Procedure for Prepare=1;Auto Translate=True;Packet Size=4096;Workstation ID=UOMOSERVER;Use Encryption for Data=False;Tag with column collation when possible=False" command="Select * from mProduct where ProductID IN ('1753','1921','3442','3682','3843','3995','3996','3997','3998','4022','4023')"/>
  </connection>
  <connection id="3" xr16:uid="{00000000-0015-0000-FFFF-FFFF02000000}" keepAlive="1" name="SALES" type="5" refreshedVersion="4" savePassword="1" saveData="1">
    <dbPr connection="Provider=SQLOLEDB.1;Password=MeN2;Persist Security Info=True;User ID=sa;Initial Catalog=UOMOTECH_MEN_2021;Data Source=men2mktg_server;Use Procedure for Prepare=1;Auto Translate=True;Packet Size=4096;Workstation ID=MEN2MKTG_SERVER;Use Encryption for Data=False;Tag with column collation when possible=False" command="SELECT * from vrptSalesInvoice where SupplierCode='MP'"/>
  </connection>
</connections>
</file>

<file path=xl/sharedStrings.xml><?xml version="1.0" encoding="utf-8"?>
<sst xmlns="http://schemas.openxmlformats.org/spreadsheetml/2006/main" count="3734" uniqueCount="532">
  <si>
    <t>NOTE: THAT THE DIFFERENCE OF DECLARED VAT IMPORTATION IS 2-3% ONLY</t>
  </si>
  <si>
    <t>Source</t>
  </si>
  <si>
    <t>Date</t>
  </si>
  <si>
    <t>Product Type</t>
  </si>
  <si>
    <t>Supplier</t>
  </si>
  <si>
    <t>Document Type</t>
  </si>
  <si>
    <t>Number</t>
  </si>
  <si>
    <t>Particulars</t>
  </si>
  <si>
    <t>Size</t>
  </si>
  <si>
    <t>Code</t>
  </si>
  <si>
    <t>Quantity</t>
  </si>
  <si>
    <t>CPU</t>
  </si>
  <si>
    <t>Total Invoice</t>
  </si>
  <si>
    <t>Less: VAT</t>
  </si>
  <si>
    <t>Net of VAT</t>
  </si>
  <si>
    <t>Computations</t>
  </si>
  <si>
    <t>OIL COSTING</t>
  </si>
  <si>
    <t>PROFITABILITY</t>
  </si>
  <si>
    <t>PALM OIL</t>
  </si>
  <si>
    <t>CANOLA OIL</t>
  </si>
  <si>
    <t>SOYA OIL</t>
  </si>
  <si>
    <t>PAYMENT SUMMARY AND COST PER UNIT (Formulated Table)</t>
  </si>
  <si>
    <t>Description</t>
  </si>
  <si>
    <t>Amount</t>
  </si>
  <si>
    <t>CPU (KG)</t>
  </si>
  <si>
    <t>CPU (LTR)</t>
  </si>
  <si>
    <t>DESCRIPTION</t>
  </si>
  <si>
    <t>350ML</t>
  </si>
  <si>
    <t>500ML</t>
  </si>
  <si>
    <t>1LSWAK</t>
  </si>
  <si>
    <t>1LITER</t>
  </si>
  <si>
    <t>As per Foreign Cost</t>
  </si>
  <si>
    <t>Price</t>
  </si>
  <si>
    <t>isUsed</t>
  </si>
  <si>
    <t>SALES</t>
  </si>
  <si>
    <t>MIXES</t>
  </si>
  <si>
    <t>MOST RECENT PURCHASE PRICES</t>
  </si>
  <si>
    <t>Price per KG ($)</t>
  </si>
  <si>
    <t>Net Weight (L)</t>
  </si>
  <si>
    <t>FX Rate</t>
  </si>
  <si>
    <t>Total for COGS</t>
  </si>
  <si>
    <t>COGS per KG</t>
  </si>
  <si>
    <t>COGS per L</t>
  </si>
  <si>
    <t>COGS per bottle</t>
  </si>
  <si>
    <t>As per Local Cost</t>
  </si>
  <si>
    <t>RBD SOYA BEAN OIL</t>
  </si>
  <si>
    <t>PALM</t>
  </si>
  <si>
    <t>PALM (Local)</t>
  </si>
  <si>
    <t>Wennie - Payables</t>
  </si>
  <si>
    <t>Corn</t>
  </si>
  <si>
    <t>O.V. INTERNATIONAL IMPORT-EXPORT CO., LTD.</t>
  </si>
  <si>
    <t>24/15OZ CANNED WHOLE SWEET KERNEL CORN</t>
  </si>
  <si>
    <t>unit</t>
  </si>
  <si>
    <t>As per Gross of  BOC</t>
  </si>
  <si>
    <t>RBD PALM OLEIN (LOCAL)</t>
  </si>
  <si>
    <t>PALM (Foreign)</t>
  </si>
  <si>
    <t>24/15OZ CANNED CREAM STYLE CORN</t>
  </si>
  <si>
    <t>As per Net of BOC</t>
  </si>
  <si>
    <t>RBD PALM OLEIN (FOREIGN)</t>
  </si>
  <si>
    <t>SOYA (Local)</t>
  </si>
  <si>
    <t>06/108OZ CANNED WHOLE KERNEL CORN</t>
  </si>
  <si>
    <t>For COGS</t>
  </si>
  <si>
    <t>RBD CANOLA OIL</t>
  </si>
  <si>
    <t>SOYA (Foreign)</t>
  </si>
  <si>
    <t>Coconut Milk</t>
  </si>
  <si>
    <t>SUREE INTERFOODS CO. LTD</t>
  </si>
  <si>
    <t>COCONUT MILK</t>
  </si>
  <si>
    <t>RBD COCONUT OIL</t>
  </si>
  <si>
    <t>CANOLA (LOCAL)</t>
  </si>
  <si>
    <t>Canola Oil</t>
  </si>
  <si>
    <t>MOI INTERNATIONAL (SIGNAPORE) PTE LTD</t>
  </si>
  <si>
    <t>MT</t>
  </si>
  <si>
    <t>DETAILS OF PAYMENT</t>
  </si>
  <si>
    <t>LABEL</t>
  </si>
  <si>
    <t>CANOLA (Foreign)</t>
  </si>
  <si>
    <t>Palm Oil</t>
  </si>
  <si>
    <t>RBD PALM OLEIN - IV 60 MIN</t>
  </si>
  <si>
    <t>BOTTLE / POUCH</t>
  </si>
  <si>
    <t>Soybean Oil</t>
  </si>
  <si>
    <t>RBD SOYBEAN OIL</t>
  </si>
  <si>
    <t>BOX</t>
  </si>
  <si>
    <t>Box 350mL</t>
  </si>
  <si>
    <t>Corn Starch</t>
  </si>
  <si>
    <t>QINGDAO BAONA BIOLOGICAL TECHNOLOGY CP., LTD</t>
  </si>
  <si>
    <t>CORN STARCH</t>
  </si>
  <si>
    <t>ORDER DETAILS (FOREIGN)</t>
  </si>
  <si>
    <t>COMPUTATION OF TAXES AND DUTIES</t>
  </si>
  <si>
    <t>PACKAGING TAPE CLEAR</t>
  </si>
  <si>
    <t>SOYA</t>
  </si>
  <si>
    <t>Box 500mL</t>
  </si>
  <si>
    <t>Wennie - Receipts</t>
  </si>
  <si>
    <t>Bottle 1L</t>
  </si>
  <si>
    <t>RMC RICOR MILLS CORP.</t>
  </si>
  <si>
    <t>CLIENT ACKNOWLEDGEMENT RECEIPT</t>
  </si>
  <si>
    <t>0010628</t>
  </si>
  <si>
    <t>1LTR36G1810 Clear-Swak</t>
  </si>
  <si>
    <t>91 Bags x 110 pcs</t>
  </si>
  <si>
    <t>FG082</t>
  </si>
  <si>
    <t>pcs</t>
  </si>
  <si>
    <t>ITEM NET WEIGHT (KG)</t>
  </si>
  <si>
    <t>PRICE PER KG</t>
  </si>
  <si>
    <t>VAT PH (12%)</t>
  </si>
  <si>
    <t>Formulated</t>
  </si>
  <si>
    <t>DOUBLE SIDED TAPE 3/4"X30M</t>
  </si>
  <si>
    <t>Box 1L</t>
  </si>
  <si>
    <t>Bottle 350mL</t>
  </si>
  <si>
    <t>350ML17G1810 Clear-Swak</t>
  </si>
  <si>
    <t>72 Bags x 210 pcs</t>
  </si>
  <si>
    <t>FG179A</t>
  </si>
  <si>
    <t>DOLLAR PAYMENT</t>
  </si>
  <si>
    <t>NET WEIGHT (LTR)</t>
  </si>
  <si>
    <t>Minimum VAT</t>
  </si>
  <si>
    <t>COST OF GOODS SOLD</t>
  </si>
  <si>
    <t>Bottle Caps</t>
  </si>
  <si>
    <t>1810Caps-Yellow</t>
  </si>
  <si>
    <t>6 Bags x 4000 + 1130 pcs</t>
  </si>
  <si>
    <t>CP105</t>
  </si>
  <si>
    <t>FOREIGN EXCHANGE RATE</t>
  </si>
  <si>
    <t>Import Processing Fee (IPF)</t>
  </si>
  <si>
    <t>GROSS PROFIT</t>
  </si>
  <si>
    <t>Angie</t>
  </si>
  <si>
    <t>MCBRIDE</t>
  </si>
  <si>
    <t>1 LTER BOTTLE PALM (SWAK)</t>
  </si>
  <si>
    <t>Customs Documentary Stamp (CDS)</t>
  </si>
  <si>
    <t>Fixed</t>
  </si>
  <si>
    <t>EXPENSES</t>
  </si>
  <si>
    <t>Bottle 500mL</t>
  </si>
  <si>
    <t>350ML BOTTLE PALM (SWAK)</t>
  </si>
  <si>
    <t>BOC COMPUTATION</t>
  </si>
  <si>
    <t>Container Security Fees (CSF)</t>
  </si>
  <si>
    <t>Production Expenses - Labelling</t>
  </si>
  <si>
    <t>SUPERIOR PACKAGING CORPORATION</t>
  </si>
  <si>
    <t>SALES INVOICE</t>
  </si>
  <si>
    <t>Corrugated Carton RSC IN-GLUED Joint, B Flute, 175# lbs. 2 color</t>
  </si>
  <si>
    <t>385 X 385 X 190</t>
  </si>
  <si>
    <t>350ML BOX PALM</t>
  </si>
  <si>
    <t>MEN2 PAYMENT IN PESO VALUE</t>
  </si>
  <si>
    <t>TOTAL DUTIES AND TAXES</t>
  </si>
  <si>
    <t>Production Expenses - Packaging</t>
  </si>
  <si>
    <t>Bottle 350mL - Price increase</t>
  </si>
  <si>
    <t>2416 X 285 X 230</t>
  </si>
  <si>
    <t>500ML BOX PALM</t>
  </si>
  <si>
    <t>Item Custom Value (Oil)</t>
  </si>
  <si>
    <t>Distributors Discount</t>
  </si>
  <si>
    <t>Bottle 500mL - Price Increase</t>
  </si>
  <si>
    <t>Corrugated Carton RSC IN-GLUED Joint, B Flute, 200 lbs. 2 color</t>
  </si>
  <si>
    <t>344 X 258 X 281</t>
  </si>
  <si>
    <t>1 LITER BOX PALM - SWAK</t>
  </si>
  <si>
    <t>SUPPLIER DUTIES</t>
  </si>
  <si>
    <t>COMPUTATION OF SHIPPING FEE</t>
  </si>
  <si>
    <t>Sales Expenses - Internal</t>
  </si>
  <si>
    <t>CANOLA</t>
  </si>
  <si>
    <t>Bottle 1L - Price Increase</t>
  </si>
  <si>
    <t>0010679</t>
  </si>
  <si>
    <t>350ml17g1810Clear-Swak</t>
  </si>
  <si>
    <t>209 Bags x 230 pcs</t>
  </si>
  <si>
    <t>FG179S</t>
  </si>
  <si>
    <t>InsuranceInFreight</t>
  </si>
  <si>
    <t>Shippine Lines THC Fee</t>
  </si>
  <si>
    <t>Variable</t>
  </si>
  <si>
    <t>Sales Expenses - External</t>
  </si>
  <si>
    <t>10 Bags x 4000 + 3890 pcs</t>
  </si>
  <si>
    <t>OTHinEV</t>
  </si>
  <si>
    <t>Storage Fee</t>
  </si>
  <si>
    <t>Marketing Expenses - Trade Investment</t>
  </si>
  <si>
    <t>PALM Pickup Logistics</t>
  </si>
  <si>
    <t>5/23/26</t>
  </si>
  <si>
    <t>Pancit Canton</t>
  </si>
  <si>
    <t>Finished Good Form</t>
  </si>
  <si>
    <t>Mama Pina's Pancit Canton 300g x 18</t>
  </si>
  <si>
    <t>box</t>
  </si>
  <si>
    <t>CUSTOMS DUTIABLE VALUE (CUD)</t>
  </si>
  <si>
    <t>Custom SOP</t>
  </si>
  <si>
    <t>Marketing Expenses - Brand Building</t>
  </si>
  <si>
    <t>CUSTOM DUTIES</t>
  </si>
  <si>
    <t>Processing Fee</t>
  </si>
  <si>
    <t>General and Administrative Expenses</t>
  </si>
  <si>
    <t>0010686</t>
  </si>
  <si>
    <t>1LTR36G1810Clear-Swak</t>
  </si>
  <si>
    <t>158 Bags x 110 Pcs</t>
  </si>
  <si>
    <t>Bank Charges</t>
  </si>
  <si>
    <t>Documentation</t>
  </si>
  <si>
    <t>Utilities Expenses</t>
  </si>
  <si>
    <t>OLD DATA</t>
  </si>
  <si>
    <t>4 Bags x 4000 + 1380 pcs</t>
  </si>
  <si>
    <t>Customs Duty</t>
  </si>
  <si>
    <t>Local Trucking</t>
  </si>
  <si>
    <t>Logistics Expenses - Delivery</t>
  </si>
  <si>
    <t>Mama Pina's Palm Oil 350ml x 36 BAS</t>
  </si>
  <si>
    <t>Brokerage Fee</t>
  </si>
  <si>
    <t>Customs Handling Charges</t>
  </si>
  <si>
    <t>Logistics Expenses - Pick Up</t>
  </si>
  <si>
    <t>l</t>
  </si>
  <si>
    <t>Mama Pina's Palm Oil 1L x 12 MZL BAS</t>
  </si>
  <si>
    <t>Wharfage Due</t>
  </si>
  <si>
    <t>Customs OT</t>
  </si>
  <si>
    <t>Logistics Expenses - THC and Customs</t>
  </si>
  <si>
    <t>Mama Pina's Palm Oil 1L x 12 BAS</t>
  </si>
  <si>
    <t>Arrastre Charge</t>
  </si>
  <si>
    <t>Xray Charges</t>
  </si>
  <si>
    <t>Dollar Fluctuation Allowance Pricing</t>
  </si>
  <si>
    <t>Pickup Php 7k</t>
  </si>
  <si>
    <t>Documentary Stamp</t>
  </si>
  <si>
    <t>Custom Duties</t>
  </si>
  <si>
    <t>Cost of Money</t>
  </si>
  <si>
    <t>DELIVERY RECEIPT</t>
  </si>
  <si>
    <t>2601-214</t>
  </si>
  <si>
    <t>Pick Up RBD Palm Oil</t>
  </si>
  <si>
    <t>KG</t>
  </si>
  <si>
    <t>Others</t>
  </si>
  <si>
    <t>Miscellaneous</t>
  </si>
  <si>
    <t>Value Added Tax</t>
  </si>
  <si>
    <t>TOTAL LANDED COST (TLC)</t>
  </si>
  <si>
    <t>TOTAL SHIPPING FEES</t>
  </si>
  <si>
    <t>Income Tax</t>
  </si>
  <si>
    <t>1 LITER BOX PALM SWAK</t>
  </si>
  <si>
    <t>NET PROFIT</t>
  </si>
  <si>
    <t>350 LM BOX PALM</t>
  </si>
  <si>
    <t>DISCREPANCY</t>
  </si>
  <si>
    <t>Price Increase Chat</t>
  </si>
  <si>
    <t>1L Bottle - Price Increase Chat</t>
  </si>
  <si>
    <t>note: Prices used @ Recent purchases -- Palm Oil @ Local Purchase + Soya and Canola @ Foreign Purchase</t>
  </si>
  <si>
    <t>350mL - Price Increase Chat</t>
  </si>
  <si>
    <t>Price of boxes @ most recent purchase on May</t>
  </si>
  <si>
    <t>Wennie-Receipts</t>
  </si>
  <si>
    <t>Flour</t>
  </si>
  <si>
    <t>Mabuhay Interflour Inc.</t>
  </si>
  <si>
    <t>CHOPSTICKS SNF PP BAG 25KG</t>
  </si>
  <si>
    <t>25kg</t>
  </si>
  <si>
    <t>bags</t>
  </si>
  <si>
    <t>Prices of bottles @ most recent purchase</t>
  </si>
  <si>
    <t>System</t>
  </si>
  <si>
    <t>Pickup - Palm</t>
  </si>
  <si>
    <t>Angel Castro</t>
  </si>
  <si>
    <t>NT-005114</t>
  </si>
  <si>
    <t>PALM 5/16 Purchase Pickup</t>
  </si>
  <si>
    <t>BLENDING PRICE COMPARISON PER CODE</t>
  </si>
  <si>
    <t>Type</t>
  </si>
  <si>
    <t>Oil</t>
  </si>
  <si>
    <t>Conca</t>
  </si>
  <si>
    <t>Mix</t>
  </si>
  <si>
    <t>T Price</t>
  </si>
  <si>
    <t>350ml</t>
  </si>
  <si>
    <t>500ml</t>
  </si>
  <si>
    <t>1L</t>
  </si>
  <si>
    <t>2L</t>
  </si>
  <si>
    <t>4L</t>
  </si>
  <si>
    <t>180ml</t>
  </si>
  <si>
    <t>300ml</t>
  </si>
  <si>
    <t>17KG</t>
  </si>
  <si>
    <t>PALM OLEIN CODE</t>
  </si>
  <si>
    <t>PALM OLEIN</t>
  </si>
  <si>
    <t>BAS</t>
  </si>
  <si>
    <t>BTC</t>
  </si>
  <si>
    <t>FD3</t>
  </si>
  <si>
    <t>BAS.F64</t>
  </si>
  <si>
    <t>BAS.F73</t>
  </si>
  <si>
    <t>BAS.F82</t>
  </si>
  <si>
    <t>PALM.100</t>
  </si>
  <si>
    <t>PALMF.100</t>
  </si>
  <si>
    <t>CANOLEIN</t>
  </si>
  <si>
    <t>CANF.82</t>
  </si>
  <si>
    <t>CANOLEIN CODE</t>
  </si>
  <si>
    <t>CAN.100</t>
  </si>
  <si>
    <t>SOYF.73</t>
  </si>
  <si>
    <t>SOYA OIL CODE</t>
  </si>
  <si>
    <t>SOYF.82</t>
  </si>
  <si>
    <t>SOY.100</t>
  </si>
  <si>
    <t>VEGETABLE OIL</t>
  </si>
  <si>
    <t>VG100</t>
  </si>
  <si>
    <t>1ST ORDER</t>
  </si>
  <si>
    <t>2ND ORDER</t>
  </si>
  <si>
    <t>3RD ORDER</t>
  </si>
  <si>
    <t>4TH ORDER</t>
  </si>
  <si>
    <t>5TH ORDER</t>
  </si>
  <si>
    <t>6TH ORDER</t>
  </si>
  <si>
    <t>7TH ORDER</t>
  </si>
  <si>
    <t>8TH ORDER</t>
  </si>
  <si>
    <t>CP10</t>
  </si>
  <si>
    <t>FOR OSAVE</t>
  </si>
  <si>
    <t>PENDING 01022025</t>
  </si>
  <si>
    <t>SUPPLIER INFORMATION</t>
  </si>
  <si>
    <t>Supplier:</t>
  </si>
  <si>
    <t>Cornerstone APAC (S) PTE LTD</t>
  </si>
  <si>
    <t>MAC World Globality Reliable</t>
  </si>
  <si>
    <t>MOI INTERNATIONAL (SINGAPORE) PTE. LTD.</t>
  </si>
  <si>
    <t>Address:</t>
  </si>
  <si>
    <t>190 Middle Road #19-05 Fortune Centre Singapore</t>
  </si>
  <si>
    <t>5, International Business Park, #04-00 Mewah Building, Singapore</t>
  </si>
  <si>
    <t>Shippine Line:</t>
  </si>
  <si>
    <t>Save and Best Cargo Logistic Corp</t>
  </si>
  <si>
    <t>Date:</t>
  </si>
  <si>
    <t>Date Received:</t>
  </si>
  <si>
    <t>Type of Oil:</t>
  </si>
  <si>
    <t>RBD PALM OLEIN</t>
  </si>
  <si>
    <t>MSE240659</t>
  </si>
  <si>
    <t>MSE240731</t>
  </si>
  <si>
    <t>MSE240978</t>
  </si>
  <si>
    <t>180ML POUCH PALM [SUP]</t>
  </si>
  <si>
    <t>300ML BOX PALM SUP</t>
  </si>
  <si>
    <t>1LITER LABEL SOYA</t>
  </si>
  <si>
    <t>300ML POUCH PALM [SUP]</t>
  </si>
  <si>
    <t>180ML BOX PALM SUP</t>
  </si>
  <si>
    <t>500ML POUCH PALM [SUP]</t>
  </si>
  <si>
    <t>500ML BOX PALM SUP</t>
  </si>
  <si>
    <t>1LITER POUCH PALM [SUP]</t>
  </si>
  <si>
    <t>1LITER BOX PALM SUP</t>
  </si>
  <si>
    <t>2LITERS POUCH PALM [SUP]</t>
  </si>
  <si>
    <t>2LITERS BOX PALM SUP</t>
  </si>
  <si>
    <t>CatName</t>
  </si>
  <si>
    <t>BOTTLE</t>
  </si>
  <si>
    <t>REFINED OIL</t>
  </si>
  <si>
    <t>TAPE</t>
  </si>
  <si>
    <t>Average of UnitPrice</t>
  </si>
  <si>
    <t>SubDescription</t>
  </si>
  <si>
    <t>dDate</t>
  </si>
  <si>
    <t>SupplierName</t>
  </si>
  <si>
    <t>Total</t>
  </si>
  <si>
    <t>isUsed?</t>
  </si>
  <si>
    <t>InvcRemarks</t>
  </si>
  <si>
    <t>1LITER BOTTLE PALM [SWAK]</t>
  </si>
  <si>
    <t>MC BRIDE CORPORATION</t>
  </si>
  <si>
    <t>1G BOX PAMINTA CRACKED</t>
  </si>
  <si>
    <t>1LITER LABEL PALM</t>
  </si>
  <si>
    <t>MACHINEWORLD PHILIPPINES, INC.</t>
  </si>
  <si>
    <t>SOYA - MOI INTERNATIONAL (SINGAPORE) PTE. LTD.</t>
  </si>
  <si>
    <t>DOUBLE SIDED TAPE</t>
  </si>
  <si>
    <t>MULTI-LINE</t>
  </si>
  <si>
    <t>SOYA - CORNERSTONE APAC (S) PTE. LTD.</t>
  </si>
  <si>
    <t>CONNAN PACKAGING SUPPLIES TRADING</t>
  </si>
  <si>
    <t>1G BOX PAMINTA FINE</t>
  </si>
  <si>
    <t>350ML LABEL PALM</t>
  </si>
  <si>
    <t>EMPIRE OIL INTEGRATED MANUFACTURING CORPORATION</t>
  </si>
  <si>
    <t>1G BOX PAMINTA WHOLE</t>
  </si>
  <si>
    <t>COCO - GOLDEN SELECTION COOKING OIL TRADING</t>
  </si>
  <si>
    <t>COCO - SME COMMODITIES, INC.</t>
  </si>
  <si>
    <t>500ML LABEL PALM</t>
  </si>
  <si>
    <t>1LITER BOX CANOLEIN</t>
  </si>
  <si>
    <t>WELL-PACK CONTAINER CORPORATION</t>
  </si>
  <si>
    <t>PALM - MOI INTERNATIONAL (SINGAPORE)</t>
  </si>
  <si>
    <t>EXACT BOX &amp; PACKAGING CORP.</t>
  </si>
  <si>
    <t>2LITERS LABEL CANOLEIN</t>
  </si>
  <si>
    <t>350ML BOTTLE PALM [SWAK]</t>
  </si>
  <si>
    <t>1LITER BOX PALM</t>
  </si>
  <si>
    <t>2LITERS LABEL PALM</t>
  </si>
  <si>
    <t>PALM - MOI INTERNATIONAL (SINGAPORE) PTE. LTD.</t>
  </si>
  <si>
    <t>PALM - CORNERSTONE APAC (S) PTE. LTD.</t>
  </si>
  <si>
    <t>2LITERS LABEL SOYA</t>
  </si>
  <si>
    <t>PALM - MAC WORLD GLOBALLY RELIABLE</t>
  </si>
  <si>
    <t>LIM PAN</t>
  </si>
  <si>
    <t>1LITER LABEL CANOLEIN</t>
  </si>
  <si>
    <t>CANOLA - MOI INTERNATIONAL (SINGAPORE) PTE. LTD.</t>
  </si>
  <si>
    <t>1LITER LABEL PALM MZL</t>
  </si>
  <si>
    <t>CANOLA - CORNERSTONE APAC (S) PTE. LTD.</t>
  </si>
  <si>
    <t>4LITERS LABEL SOYA</t>
  </si>
  <si>
    <t>RED AMBER ENTERPRISE</t>
  </si>
  <si>
    <t>500ML BOTTLE PALM [SWAK]</t>
  </si>
  <si>
    <t>4LITERS LABEL PALM</t>
  </si>
  <si>
    <t>4LITERS LABEL CANOLA</t>
  </si>
  <si>
    <t>1LITER BOTTLE CANSOY [NUTRI]</t>
  </si>
  <si>
    <t>1LITER BOX PALM [TIE-UP]</t>
  </si>
  <si>
    <t>1LITER BOX PALM MZL</t>
  </si>
  <si>
    <t>NVAT</t>
  </si>
  <si>
    <t>2LITERS BOTTLE CANOLEIN [ROUND]</t>
  </si>
  <si>
    <t>1LITER BOX SOYA</t>
  </si>
  <si>
    <t>2LITERS BOX CANOLEIN</t>
  </si>
  <si>
    <t>2LITERS BOTTLE SOYA [ROUND]</t>
  </si>
  <si>
    <t>2LITERS BOTTLE PALM [NUTRI]</t>
  </si>
  <si>
    <t>2LITERS BOX PALM</t>
  </si>
  <si>
    <t>4LITERS BOTTLE GODZILLA</t>
  </si>
  <si>
    <t>BESTPAK PACKAGING SOLUTIONS, INC.</t>
  </si>
  <si>
    <t>900ML BOTTLE PALM MAZOLA</t>
  </si>
  <si>
    <t>2LITERS BOX PALM MZL</t>
  </si>
  <si>
    <t>2LITERS BOX SOYA</t>
  </si>
  <si>
    <t>300G BOX CANTON</t>
  </si>
  <si>
    <t>2LITERS BOTTLE PALM MAZOLA</t>
  </si>
  <si>
    <t>4LITERS BOX CHECK</t>
  </si>
  <si>
    <t>1200 @ 57.30</t>
  </si>
  <si>
    <t>PET</t>
  </si>
  <si>
    <t>SUP</t>
  </si>
  <si>
    <t>PPR</t>
  </si>
  <si>
    <t>1500 @ 57.30</t>
  </si>
  <si>
    <t>CNE</t>
  </si>
  <si>
    <t>CNL</t>
  </si>
  <si>
    <t>SYA</t>
  </si>
  <si>
    <t>SYP</t>
  </si>
  <si>
    <t>VEG</t>
  </si>
  <si>
    <t>PALM OIL PET</t>
  </si>
  <si>
    <t>PALM OIL SUP</t>
  </si>
  <si>
    <t>VEGE</t>
  </si>
  <si>
    <t>1LMZL</t>
  </si>
  <si>
    <t>2LNUTRI</t>
  </si>
  <si>
    <t>2LMZL</t>
  </si>
  <si>
    <t>180ML</t>
  </si>
  <si>
    <t>300ML</t>
  </si>
  <si>
    <t>2LITERS</t>
  </si>
  <si>
    <t>4LITER</t>
  </si>
  <si>
    <t>2LITER</t>
  </si>
  <si>
    <t>NOTE: THAT THE DIFFERENCE OF DECLARED VAT IMPORTATION IS 2-5% ONLY</t>
  </si>
  <si>
    <t xml:space="preserve"> </t>
  </si>
  <si>
    <t>Dollar Fluctuation Allowance</t>
  </si>
  <si>
    <t>OIL Costing</t>
  </si>
  <si>
    <t>2LSWAK</t>
  </si>
  <si>
    <t>U</t>
  </si>
  <si>
    <t>LIST PRICE - DIRECT</t>
  </si>
  <si>
    <t>LIST PRICE - DISTRIBUTOR</t>
  </si>
  <si>
    <t>GROSS PROFIT - DIRECT</t>
  </si>
  <si>
    <t>GROSS PROFIT - DISTRIBUTOR</t>
  </si>
  <si>
    <t>OPERATION EXPENSES</t>
  </si>
  <si>
    <t>SHIPPING LINE</t>
  </si>
  <si>
    <t>PICK UP COST</t>
  </si>
  <si>
    <t>DELIVERY COST</t>
  </si>
  <si>
    <t>LABELLING</t>
  </si>
  <si>
    <t>PACKAGING</t>
  </si>
  <si>
    <t>MARKETING - TRADE INVESTMENT</t>
  </si>
  <si>
    <t>MARKETING - BRAND BUILDING</t>
  </si>
  <si>
    <t>VAT</t>
  </si>
  <si>
    <t>INCOME TAX</t>
  </si>
  <si>
    <t>NET PROFIT - DIRECT</t>
  </si>
  <si>
    <t>NET PROFIT - DISTRIBUTOR</t>
  </si>
  <si>
    <t>COST OF GOODS SOLD (CASE)</t>
  </si>
  <si>
    <t>TARGET PRICE</t>
  </si>
  <si>
    <t>4th ORDER</t>
  </si>
  <si>
    <t>5th ORDER</t>
  </si>
  <si>
    <t>6th ORDER</t>
  </si>
  <si>
    <t>7th ORDER</t>
  </si>
  <si>
    <t>8th ORDER</t>
  </si>
  <si>
    <t>PENDING</t>
  </si>
  <si>
    <t>EVERGREEN LINE</t>
  </si>
  <si>
    <t>Shipping Line Cost Report Per Liter</t>
  </si>
  <si>
    <t>Max</t>
  </si>
  <si>
    <t>Min</t>
  </si>
  <si>
    <t>Order</t>
  </si>
  <si>
    <t>Palm</t>
  </si>
  <si>
    <t>Canola</t>
  </si>
  <si>
    <t>Soya</t>
  </si>
  <si>
    <t>1st</t>
  </si>
  <si>
    <t>2nd</t>
  </si>
  <si>
    <t>3rd</t>
  </si>
  <si>
    <t>4th</t>
  </si>
  <si>
    <t>5th</t>
  </si>
  <si>
    <t>6th</t>
  </si>
  <si>
    <t>7th</t>
  </si>
  <si>
    <t>8th</t>
  </si>
  <si>
    <t>9th</t>
  </si>
  <si>
    <t>10th</t>
  </si>
  <si>
    <t>11th</t>
  </si>
  <si>
    <t>12th</t>
  </si>
  <si>
    <t>13th</t>
  </si>
  <si>
    <t>14th</t>
  </si>
  <si>
    <t>15th</t>
  </si>
  <si>
    <t>16th</t>
  </si>
  <si>
    <t>17th</t>
  </si>
  <si>
    <t>18th</t>
  </si>
  <si>
    <t>19th</t>
  </si>
  <si>
    <t>20th</t>
  </si>
  <si>
    <t>Standard Load</t>
  </si>
  <si>
    <t>Standard Price Per Piece</t>
  </si>
  <si>
    <t>Pieces Per Loadings</t>
  </si>
  <si>
    <t>Delivery Expenses</t>
  </si>
  <si>
    <t>Driver</t>
  </si>
  <si>
    <t>Helper 1</t>
  </si>
  <si>
    <t>Helper 2</t>
  </si>
  <si>
    <t>Meal Allowance</t>
  </si>
  <si>
    <t>Fuel &amp; Tolls</t>
  </si>
  <si>
    <t>Repair &amp; Maintenance</t>
  </si>
  <si>
    <t>Total Expenses</t>
  </si>
  <si>
    <t>Delivery Cost</t>
  </si>
  <si>
    <t>Values</t>
  </si>
  <si>
    <t>ProductID</t>
  </si>
  <si>
    <t>Sum of CostperPiece</t>
  </si>
  <si>
    <t>Sum of pricePerPieceA</t>
  </si>
  <si>
    <t>BINGO MEAT LOAF 48X100G</t>
  </si>
  <si>
    <t>SAN MARINO CORNED TUNA 48X100G</t>
  </si>
  <si>
    <t>BIGTIME NEGOSYO CHEESE 30G</t>
  </si>
  <si>
    <t>KeratinPlus Gold 20g x 6's x 48 packs</t>
  </si>
  <si>
    <t>Maggi Magic Sarap 8g x 16tie x 60</t>
  </si>
  <si>
    <t>AJI-NO-MOTO 10g 18x72</t>
  </si>
  <si>
    <t>Crispy Fry Orig 62g 14x13</t>
  </si>
  <si>
    <t>SARSAYA OYSTER 30g 6x24</t>
  </si>
  <si>
    <t>CF Seasoned Crumbs 50g 1x48</t>
  </si>
  <si>
    <t>Silver Swan Soy 20ml x 240</t>
  </si>
  <si>
    <t>Silver Swan Soy 100ml x 72</t>
  </si>
  <si>
    <t>OIL</t>
  </si>
  <si>
    <t>CAN.532</t>
  </si>
  <si>
    <t>SOY.64</t>
  </si>
  <si>
    <t>PALM - PET</t>
  </si>
  <si>
    <t>PALM - SUP</t>
  </si>
  <si>
    <t>PALM 4L</t>
  </si>
  <si>
    <t>PALM - CB</t>
  </si>
  <si>
    <t>SOYA - PET</t>
  </si>
  <si>
    <t>VEGETABLE</t>
  </si>
  <si>
    <t>LIST PRICE - OEM</t>
  </si>
  <si>
    <t>4LITERS LABEL CANOLEIN</t>
  </si>
  <si>
    <t>PACKAGING TAPE</t>
  </si>
  <si>
    <t>PACKAGING TAPE 2"X100M CLEAR</t>
  </si>
  <si>
    <t>NONE</t>
  </si>
  <si>
    <t>GROSS PROFIT - OEM</t>
  </si>
  <si>
    <t>Product</t>
  </si>
  <si>
    <t>ID</t>
  </si>
  <si>
    <t>Pcs</t>
  </si>
  <si>
    <t>BINGO MEAT LOAF 48X100G (NEW)</t>
  </si>
  <si>
    <t>FG - BIGTIME NEGOSYO CHEESE 30G</t>
  </si>
  <si>
    <t>Pick Up Expenses</t>
  </si>
  <si>
    <t>Fuel</t>
  </si>
  <si>
    <t>Tolls</t>
  </si>
  <si>
    <t>Pick Up Cost</t>
  </si>
  <si>
    <t>#</t>
  </si>
  <si>
    <t>DATE</t>
  </si>
  <si>
    <t>TYPE</t>
  </si>
  <si>
    <t>PER KG</t>
  </si>
  <si>
    <t>FOREX</t>
  </si>
  <si>
    <t>PER KGPhp</t>
  </si>
  <si>
    <t>Sum of FOREX</t>
  </si>
  <si>
    <t>Sum of PER KG</t>
  </si>
  <si>
    <t>Sum of PER KGPhp</t>
  </si>
  <si>
    <t>TYPE OF OIL</t>
  </si>
  <si>
    <t>SUPPLIER</t>
  </si>
  <si>
    <t>OIL / LTR</t>
  </si>
  <si>
    <t>LOGISTICS</t>
  </si>
  <si>
    <t>TYPE OF ISSUANCE</t>
  </si>
  <si>
    <t>TOTAL COST PER LTR</t>
  </si>
  <si>
    <t>COCONUT OIL</t>
  </si>
  <si>
    <t>SME</t>
  </si>
  <si>
    <t>HISTORY</t>
  </si>
  <si>
    <t>GOLDEN</t>
  </si>
  <si>
    <t>IMPORT @0.970 @58.00</t>
  </si>
  <si>
    <t>IMPORTATION W/ VAT</t>
  </si>
  <si>
    <t>ACTUAL</t>
  </si>
  <si>
    <t>IMPORT @1.035 @58.00</t>
  </si>
  <si>
    <t>@70PHP PER KILO</t>
  </si>
  <si>
    <t>@69.50PHP PER KILO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</si>
</sst>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7" formatCode="&quot;$&quot;#,##0.00_);\(&quot;$&quot;#,##0.00\)"/>
    <numFmt numFmtId="43" formatCode="_(* #,##0.00_);_(* \(#,##0.00\);_(* &quot;-&quot;??_);_(@_)"/>
    <numFmt numFmtId="164" formatCode="[$-3409]mmmm\ dd\,\ yyyy;@"/>
    <numFmt numFmtId="165" formatCode="0.000"/>
    <numFmt numFmtId="166" formatCode="0.000000%"/>
    <numFmt numFmtId="167" formatCode="[$$-1009]#,##0.0000"/>
    <numFmt numFmtId="168" formatCode="0\ &quot;KG&quot;"/>
    <numFmt numFmtId="169" formatCode="[$$-1009]#,##0.00;\-[$$-1009]#,##0.00"/>
    <numFmt numFmtId="170" formatCode="0\ &quot;LTR&quot;"/>
    <numFmt numFmtId="171" formatCode="[$₱-464]#,##0.00;\-[$₱-464]#,##0.00"/>
    <numFmt numFmtId="172" formatCode="_-* #,##0.0000_-;\-* #,##0.0000_-;_-* &quot;-&quot;??_-;_-@_-"/>
    <numFmt numFmtId="173" formatCode="[$-3409]dddd\,\ mmmm\ dd\,\ yyyy;@"/>
    <numFmt numFmtId="174" formatCode="_-* #,##0.00000_-;\-* #,##0.00000_-;_-* &quot;-&quot;??_-;_-@_-"/>
    <numFmt numFmtId="175" formatCode="_-* #,##0.000000_-;\-* #,##0.000000_-;_-* &quot;-&quot;??_-;_-@_-"/>
    <numFmt numFmtId="176" formatCode="_-* #,##0.0000000_-;\-* #,##0.0000000_-;_-* &quot;-&quot;??_-;_-@_-"/>
    <numFmt numFmtId="177" formatCode="[$$-3C09]#,##0.000"/>
    <numFmt numFmtId="178" formatCode="mm/dd/yyyy;@"/>
    <numFmt numFmtId="179" formatCode="_-* #,##0.0_-;\-* #,##0.0_-;_-* &quot;-&quot;??_-;_-@_-"/>
    <numFmt numFmtId="180" formatCode="_-* #,##0_-;\-* #,##0_-;_-* &quot;-&quot;??_-;_-@_-"/>
  </numFmts>
  <fonts count="24" x14ac:knownFonts="1">
    <font>
      <sz val="11"/>
      <color theme="1"/>
      <name val="Verdana"/>
      <family val="2"/>
    </font>
    <font>
      <sz val="11"/>
      <color theme="1"/>
      <name val="Calibri"/>
      <family val="2"/>
      <scheme val="minor"/>
    </font>
    <font>
      <sz val="11"/>
      <color theme="1"/>
      <name val="Verdana"/>
      <family val="2"/>
    </font>
    <font>
      <b/>
      <sz val="11"/>
      <color theme="0"/>
      <name val="Verdana"/>
      <family val="2"/>
    </font>
    <font>
      <sz val="11"/>
      <color theme="0"/>
      <name val="Verdana"/>
      <family val="2"/>
    </font>
    <font>
      <b/>
      <sz val="11"/>
      <name val="Verdana"/>
      <family val="2"/>
    </font>
    <font>
      <b/>
      <sz val="11"/>
      <color theme="1"/>
      <name val="Verdana"/>
      <family val="2"/>
    </font>
    <font>
      <sz val="9"/>
      <color indexed="81"/>
      <name val="Tahoma"/>
      <family val="2"/>
    </font>
    <font>
      <sz val="11"/>
      <name val="Verdana"/>
      <family val="2"/>
    </font>
    <font>
      <b/>
      <sz val="14"/>
      <name val="Verdana"/>
      <family val="2"/>
    </font>
    <font>
      <sz val="11"/>
      <color theme="1"/>
      <name val="Calibri"/>
      <family val="2"/>
      <scheme val="minor"/>
    </font>
    <font>
      <b/>
      <sz val="22"/>
      <color rgb="FF002060"/>
      <name val="Verdana"/>
      <family val="2"/>
    </font>
    <font>
      <b/>
      <sz val="16"/>
      <color theme="0"/>
      <name val="Verdana"/>
      <family val="2"/>
    </font>
    <font>
      <b/>
      <sz val="11"/>
      <color rgb="FF002060"/>
      <name val="Verdana"/>
      <family val="2"/>
    </font>
    <font>
      <b/>
      <sz val="18"/>
      <color theme="1"/>
      <name val="Verdana"/>
      <family val="2"/>
    </font>
    <font>
      <b/>
      <sz val="10"/>
      <name val="Verdana"/>
      <family val="2"/>
    </font>
    <font>
      <sz val="10"/>
      <color theme="1"/>
      <name val="Verdana"/>
      <family val="2"/>
    </font>
    <font>
      <sz val="11"/>
      <color theme="1"/>
      <name val="Bahnschrift Light SemiCondensed"/>
      <family val="2"/>
    </font>
    <font>
      <b/>
      <sz val="11"/>
      <color theme="0"/>
      <name val="Bahnschrift Light SemiCondensed"/>
      <family val="2"/>
    </font>
    <font>
      <b/>
      <sz val="36"/>
      <color theme="1"/>
      <name val="Verdana"/>
      <family val="2"/>
    </font>
    <font>
      <sz val="10"/>
      <color theme="0"/>
      <name val="Verdana"/>
      <family val="2"/>
    </font>
    <font>
      <b/>
      <sz val="28"/>
      <color theme="1"/>
      <name val="Verdana"/>
      <family val="2"/>
    </font>
    <font>
      <sz val="12"/>
      <color theme="1"/>
      <name val="Verdana"/>
      <family val="2"/>
    </font>
    <font>
      <sz val="11"/>
      <color rgb="FFFF0000"/>
      <name val="Verdana"/>
      <family val="2"/>
    </font>
  </fonts>
  <fills count="33">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rgb="FF00B0F0"/>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rgb="FFFFC000"/>
        <bgColor indexed="64"/>
      </patternFill>
    </fill>
    <fill>
      <patternFill patternType="solid">
        <fgColor rgb="FF00B050"/>
        <bgColor indexed="64"/>
      </patternFill>
    </fill>
    <fill>
      <patternFill patternType="solid">
        <fgColor theme="4" tint="-0.249977111117893"/>
        <bgColor theme="4" tint="-0.249977111117893"/>
      </patternFill>
    </fill>
    <fill>
      <patternFill patternType="solid">
        <fgColor theme="8" tint="-0.249977111117893"/>
        <bgColor indexed="64"/>
      </patternFill>
    </fill>
    <fill>
      <patternFill patternType="solid">
        <fgColor rgb="FFFFFF00"/>
        <bgColor theme="4" tint="0.39997558519241921"/>
      </patternFill>
    </fill>
    <fill>
      <patternFill patternType="solid">
        <fgColor rgb="FFFFFF0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2"/>
        <bgColor indexed="64"/>
      </patternFill>
    </fill>
    <fill>
      <patternFill patternType="solid">
        <fgColor theme="3"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4" tint="0.39997558519241921"/>
        <bgColor theme="4" tint="0.39997558519241921"/>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0"/>
        <bgColor indexed="64"/>
      </patternFill>
    </fill>
    <fill>
      <patternFill patternType="solid">
        <fgColor theme="6" tint="0.59999389629810485"/>
        <bgColor indexed="64"/>
      </patternFill>
    </fill>
  </fills>
  <borders count="86">
    <border>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medium">
        <color theme="0"/>
      </left>
      <right style="thin">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0"/>
      </left>
      <right style="thin">
        <color theme="0"/>
      </right>
      <top style="medium">
        <color theme="0"/>
      </top>
      <bottom style="thin">
        <color theme="0"/>
      </bottom>
      <diagonal/>
    </border>
    <border>
      <left style="thin">
        <color theme="0"/>
      </left>
      <right style="thin">
        <color theme="0"/>
      </right>
      <top style="thin">
        <color theme="0"/>
      </top>
      <bottom style="medium">
        <color theme="0"/>
      </bottom>
      <diagonal/>
    </border>
    <border>
      <left style="medium">
        <color theme="0"/>
      </left>
      <right/>
      <top style="medium">
        <color theme="0"/>
      </top>
      <bottom style="thin">
        <color theme="0"/>
      </bottom>
      <diagonal/>
    </border>
    <border>
      <left/>
      <right/>
      <top style="medium">
        <color theme="0"/>
      </top>
      <bottom style="thin">
        <color theme="0"/>
      </bottom>
      <diagonal/>
    </border>
    <border>
      <left style="thin">
        <color theme="0"/>
      </left>
      <right style="medium">
        <color theme="0"/>
      </right>
      <top style="thin">
        <color theme="0"/>
      </top>
      <bottom/>
      <diagonal/>
    </border>
    <border>
      <left style="thin">
        <color theme="0"/>
      </left>
      <right style="medium">
        <color theme="0"/>
      </right>
      <top/>
      <bottom style="thin">
        <color theme="0"/>
      </bottom>
      <diagonal/>
    </border>
    <border>
      <left/>
      <right style="medium">
        <color theme="0"/>
      </right>
      <top style="medium">
        <color theme="0"/>
      </top>
      <bottom style="thin">
        <color theme="0"/>
      </bottom>
      <diagonal/>
    </border>
    <border>
      <left style="thin">
        <color theme="0"/>
      </left>
      <right/>
      <top style="thin">
        <color theme="0"/>
      </top>
      <bottom style="medium">
        <color theme="0"/>
      </bottom>
      <diagonal/>
    </border>
    <border>
      <left/>
      <right style="medium">
        <color theme="0"/>
      </right>
      <top style="thin">
        <color theme="0"/>
      </top>
      <bottom style="medium">
        <color theme="0"/>
      </bottom>
      <diagonal/>
    </border>
    <border>
      <left style="thin">
        <color theme="0"/>
      </left>
      <right style="medium">
        <color theme="0"/>
      </right>
      <top/>
      <bottom style="medium">
        <color theme="0"/>
      </bottom>
      <diagonal/>
    </border>
    <border>
      <left/>
      <right style="thin">
        <color theme="0"/>
      </right>
      <top style="thin">
        <color theme="0"/>
      </top>
      <bottom style="medium">
        <color theme="0"/>
      </bottom>
      <diagonal/>
    </border>
    <border>
      <left style="medium">
        <color theme="0"/>
      </left>
      <right/>
      <top/>
      <bottom style="medium">
        <color theme="0"/>
      </bottom>
      <diagonal/>
    </border>
    <border>
      <left/>
      <right/>
      <top style="thin">
        <color theme="0"/>
      </top>
      <bottom style="medium">
        <color theme="0"/>
      </bottom>
      <diagonal/>
    </border>
    <border>
      <left/>
      <right style="thin">
        <color theme="0"/>
      </right>
      <top/>
      <bottom style="medium">
        <color theme="0"/>
      </bottom>
      <diagonal/>
    </border>
    <border>
      <left style="medium">
        <color theme="0"/>
      </left>
      <right/>
      <top style="thin">
        <color theme="0"/>
      </top>
      <bottom style="thin">
        <color theme="0"/>
      </bottom>
      <diagonal/>
    </border>
    <border>
      <left style="thin">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bottom style="medium">
        <color theme="0"/>
      </bottom>
      <diagonal/>
    </border>
    <border>
      <left style="thin">
        <color theme="0"/>
      </left>
      <right/>
      <top/>
      <bottom style="medium">
        <color theme="0"/>
      </bottom>
      <diagonal/>
    </border>
    <border>
      <left/>
      <right style="medium">
        <color theme="0"/>
      </right>
      <top/>
      <bottom style="medium">
        <color theme="0"/>
      </bottom>
      <diagonal/>
    </border>
    <border>
      <left/>
      <right/>
      <top/>
      <bottom style="medium">
        <color theme="0"/>
      </bottom>
      <diagonal/>
    </border>
    <border>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style="medium">
        <color theme="0"/>
      </left>
      <right style="thin">
        <color theme="0"/>
      </right>
      <top style="medium">
        <color theme="0"/>
      </top>
      <bottom/>
      <diagonal/>
    </border>
    <border>
      <left style="thin">
        <color theme="0"/>
      </left>
      <right style="thin">
        <color theme="0"/>
      </right>
      <top style="medium">
        <color theme="0"/>
      </top>
      <bottom/>
      <diagonal/>
    </border>
    <border>
      <left style="thin">
        <color theme="0"/>
      </left>
      <right style="medium">
        <color theme="0"/>
      </right>
      <top style="medium">
        <color theme="0"/>
      </top>
      <bottom/>
      <diagonal/>
    </border>
    <border>
      <left style="medium">
        <color theme="0"/>
      </left>
      <right/>
      <top/>
      <bottom style="thin">
        <color theme="0"/>
      </bottom>
      <diagonal/>
    </border>
    <border>
      <left style="medium">
        <color theme="0"/>
      </left>
      <right/>
      <top/>
      <bottom/>
      <diagonal/>
    </border>
    <border>
      <left/>
      <right style="thin">
        <color theme="0"/>
      </right>
      <top/>
      <bottom/>
      <diagonal/>
    </border>
    <border>
      <left style="thin">
        <color theme="0"/>
      </left>
      <right style="medium">
        <color theme="0"/>
      </right>
      <top/>
      <bottom/>
      <diagonal/>
    </border>
    <border>
      <left/>
      <right style="medium">
        <color theme="0"/>
      </right>
      <top/>
      <bottom/>
      <diagonal/>
    </border>
    <border>
      <left style="medium">
        <color theme="0"/>
      </left>
      <right/>
      <top style="medium">
        <color theme="0"/>
      </top>
      <bottom/>
      <diagonal/>
    </border>
    <border>
      <left style="medium">
        <color theme="0"/>
      </left>
      <right/>
      <top style="thin">
        <color theme="0"/>
      </top>
      <bottom style="medium">
        <color theme="0"/>
      </bottom>
      <diagonal/>
    </border>
    <border>
      <left style="medium">
        <color theme="0"/>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medium">
        <color theme="0"/>
      </left>
      <right style="thin">
        <color theme="0"/>
      </right>
      <top/>
      <bottom style="thin">
        <color theme="0"/>
      </bottom>
      <diagonal/>
    </border>
    <border>
      <left style="thin">
        <color theme="0"/>
      </left>
      <right style="thin">
        <color theme="0"/>
      </right>
      <top/>
      <bottom style="thin">
        <color theme="0"/>
      </bottom>
      <diagonal/>
    </border>
    <border>
      <left/>
      <right/>
      <top style="medium">
        <color theme="0"/>
      </top>
      <bottom/>
      <diagonal/>
    </border>
    <border>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style="thin">
        <color theme="0"/>
      </right>
      <top style="medium">
        <color theme="0"/>
      </top>
      <bottom/>
      <diagonal/>
    </border>
    <border>
      <left style="thin">
        <color indexed="64"/>
      </left>
      <right style="thin">
        <color indexed="64"/>
      </right>
      <top style="thin">
        <color indexed="64"/>
      </top>
      <bottom style="thin">
        <color indexed="64"/>
      </bottom>
      <diagonal/>
    </border>
    <border>
      <left style="medium">
        <color theme="0"/>
      </left>
      <right style="medium">
        <color theme="0"/>
      </right>
      <top/>
      <bottom style="thin">
        <color theme="0"/>
      </bottom>
      <diagonal/>
    </border>
    <border>
      <left style="thin">
        <color theme="0"/>
      </left>
      <right style="thin">
        <color theme="0"/>
      </right>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medium">
        <color theme="0"/>
      </top>
      <bottom style="thin">
        <color theme="0"/>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theme="0"/>
      </right>
      <top style="medium">
        <color theme="0"/>
      </top>
      <bottom style="thin">
        <color theme="0"/>
      </bottom>
      <diagonal/>
    </border>
    <border>
      <left/>
      <right style="medium">
        <color theme="0"/>
      </right>
      <top style="thin">
        <color theme="0"/>
      </top>
      <bottom style="thin">
        <color theme="0"/>
      </bottom>
      <diagonal/>
    </border>
    <border>
      <left/>
      <right/>
      <top style="thin">
        <color indexed="64"/>
      </top>
      <bottom style="thin">
        <color indexed="64"/>
      </bottom>
      <diagonal/>
    </border>
    <border>
      <left style="medium">
        <color theme="0"/>
      </left>
      <right style="medium">
        <color theme="0"/>
      </right>
      <top style="medium">
        <color theme="0"/>
      </top>
      <bottom style="thin">
        <color theme="0"/>
      </bottom>
      <diagonal/>
    </border>
    <border>
      <left style="medium">
        <color theme="0"/>
      </left>
      <right style="medium">
        <color theme="0"/>
      </right>
      <top style="thin">
        <color theme="0"/>
      </top>
      <bottom style="thin">
        <color theme="0"/>
      </bottom>
      <diagonal/>
    </border>
    <border>
      <left style="medium">
        <color theme="0"/>
      </left>
      <right style="medium">
        <color theme="0"/>
      </right>
      <top style="thin">
        <color theme="0"/>
      </top>
      <bottom style="medium">
        <color theme="0"/>
      </bottom>
      <diagonal/>
    </border>
    <border>
      <left style="thin">
        <color theme="1"/>
      </left>
      <right style="thin">
        <color theme="1"/>
      </right>
      <top style="thin">
        <color theme="1"/>
      </top>
      <bottom style="thin">
        <color theme="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79998168889431442"/>
      </top>
      <bottom style="thin">
        <color theme="4" tint="0.39997558519241921"/>
      </bottom>
      <diagonal/>
    </border>
    <border>
      <left/>
      <right/>
      <top style="thin">
        <color theme="4" tint="0.39997558519241921"/>
      </top>
      <bottom style="thin">
        <color theme="4" tint="0.79998168889431442"/>
      </bottom>
      <diagonal/>
    </border>
    <border>
      <left/>
      <right/>
      <top style="thin">
        <color theme="4" tint="0.79998168889431442"/>
      </top>
      <bottom style="thin">
        <color theme="4"/>
      </bottom>
      <diagonal/>
    </border>
    <border>
      <left/>
      <right/>
      <top/>
      <bottom style="thin">
        <color auto="1"/>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style="thin">
        <color theme="0"/>
      </left>
      <right/>
      <top/>
      <bottom/>
      <diagonal/>
    </border>
  </borders>
  <cellStyleXfs count="7">
    <xf numFmtId="0" fontId="0" fillId="0" borderId="0"/>
    <xf numFmtId="43" fontId="2" fillId="0" borderId="0" applyFont="0" applyFill="0" applyBorder="0" applyAlignment="0" applyProtection="0"/>
    <xf numFmtId="9" fontId="2"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0" fontId="1" fillId="0" borderId="0"/>
  </cellStyleXfs>
  <cellXfs count="634">
    <xf numFmtId="0" fontId="0" fillId="0" borderId="0" xfId="0"/>
    <xf numFmtId="0" fontId="4" fillId="2" borderId="0" xfId="0" applyFont="1" applyFill="1" applyAlignment="1">
      <alignment vertical="center"/>
    </xf>
    <xf numFmtId="0" fontId="4" fillId="0" borderId="0" xfId="0" applyFont="1" applyAlignment="1">
      <alignment vertical="center"/>
    </xf>
    <xf numFmtId="0" fontId="4" fillId="2" borderId="1" xfId="0" applyFont="1" applyFill="1" applyBorder="1" applyAlignment="1">
      <alignment horizontal="center" vertical="center"/>
    </xf>
    <xf numFmtId="0" fontId="4" fillId="4" borderId="0" xfId="0" applyFont="1" applyFill="1" applyAlignment="1">
      <alignment vertical="center"/>
    </xf>
    <xf numFmtId="43" fontId="4" fillId="4" borderId="0" xfId="1" applyFont="1" applyFill="1" applyAlignment="1">
      <alignment vertical="center"/>
    </xf>
    <xf numFmtId="0" fontId="0" fillId="6" borderId="1" xfId="0" applyFill="1" applyBorder="1" applyAlignment="1">
      <alignment horizontal="center" vertical="center"/>
    </xf>
    <xf numFmtId="0" fontId="4" fillId="2" borderId="6" xfId="0" applyFont="1" applyFill="1" applyBorder="1" applyAlignment="1">
      <alignment horizontal="center" vertical="center" wrapText="1"/>
    </xf>
    <xf numFmtId="43" fontId="4" fillId="2" borderId="9" xfId="1" applyFont="1" applyFill="1" applyBorder="1" applyAlignment="1">
      <alignment horizontal="center" vertical="center"/>
    </xf>
    <xf numFmtId="0" fontId="5" fillId="6" borderId="10" xfId="0" applyFont="1" applyFill="1" applyBorder="1" applyAlignment="1">
      <alignment horizontal="left" vertical="center"/>
    </xf>
    <xf numFmtId="43" fontId="5" fillId="7" borderId="1" xfId="1" applyFont="1" applyFill="1" applyBorder="1" applyAlignment="1">
      <alignment vertical="center"/>
    </xf>
    <xf numFmtId="43" fontId="5" fillId="7" borderId="9" xfId="1" applyFont="1" applyFill="1" applyBorder="1" applyAlignment="1">
      <alignment vertical="center"/>
    </xf>
    <xf numFmtId="43" fontId="5" fillId="9" borderId="1" xfId="1" applyFont="1" applyFill="1" applyBorder="1" applyAlignment="1">
      <alignment vertical="center"/>
    </xf>
    <xf numFmtId="43" fontId="5" fillId="9" borderId="9" xfId="1" applyFont="1" applyFill="1" applyBorder="1" applyAlignment="1">
      <alignment vertical="center"/>
    </xf>
    <xf numFmtId="43" fontId="4" fillId="2" borderId="16" xfId="1" applyFont="1" applyFill="1" applyBorder="1" applyAlignment="1">
      <alignment vertical="center"/>
    </xf>
    <xf numFmtId="0" fontId="5" fillId="7" borderId="7" xfId="0" applyFont="1" applyFill="1" applyBorder="1" applyAlignment="1">
      <alignment vertical="center"/>
    </xf>
    <xf numFmtId="0" fontId="5" fillId="7" borderId="8" xfId="0" applyFont="1" applyFill="1" applyBorder="1" applyAlignment="1">
      <alignment vertical="center"/>
    </xf>
    <xf numFmtId="0" fontId="5" fillId="7" borderId="10" xfId="0" applyFont="1" applyFill="1" applyBorder="1" applyAlignment="1">
      <alignment vertical="center"/>
    </xf>
    <xf numFmtId="166" fontId="4" fillId="4" borderId="0" xfId="2" applyNumberFormat="1" applyFont="1" applyFill="1" applyAlignment="1">
      <alignment vertical="center"/>
    </xf>
    <xf numFmtId="43" fontId="3" fillId="5" borderId="13" xfId="1" applyFont="1" applyFill="1" applyBorder="1" applyAlignment="1">
      <alignment horizontal="center" vertical="center"/>
    </xf>
    <xf numFmtId="43" fontId="3" fillId="5" borderId="11" xfId="1" applyFont="1" applyFill="1" applyBorder="1" applyAlignment="1">
      <alignment horizontal="center" vertical="center"/>
    </xf>
    <xf numFmtId="0" fontId="8" fillId="6" borderId="1" xfId="0" applyFont="1" applyFill="1" applyBorder="1" applyAlignment="1">
      <alignment horizontal="center" vertical="center"/>
    </xf>
    <xf numFmtId="0" fontId="5" fillId="9" borderId="8" xfId="0" applyFont="1" applyFill="1" applyBorder="1" applyAlignment="1">
      <alignment horizontal="center" vertical="center"/>
    </xf>
    <xf numFmtId="0" fontId="5" fillId="6" borderId="24" xfId="0" applyFont="1" applyFill="1" applyBorder="1" applyAlignment="1">
      <alignment horizontal="left" vertical="center"/>
    </xf>
    <xf numFmtId="0" fontId="5" fillId="6" borderId="32" xfId="0" applyFont="1" applyFill="1" applyBorder="1" applyAlignment="1">
      <alignment horizontal="left" vertical="center"/>
    </xf>
    <xf numFmtId="0" fontId="5" fillId="6" borderId="33" xfId="0" applyFont="1" applyFill="1" applyBorder="1" applyAlignment="1">
      <alignment horizontal="left" vertical="center"/>
    </xf>
    <xf numFmtId="43" fontId="3" fillId="5" borderId="9" xfId="1" applyFont="1" applyFill="1" applyBorder="1" applyAlignment="1">
      <alignment horizontal="center" vertical="center"/>
    </xf>
    <xf numFmtId="0" fontId="5" fillId="7" borderId="8" xfId="0" applyFont="1" applyFill="1" applyBorder="1" applyAlignment="1">
      <alignment horizontal="center" vertical="center"/>
    </xf>
    <xf numFmtId="0" fontId="4" fillId="2" borderId="4" xfId="0" applyFont="1" applyFill="1" applyBorder="1" applyAlignment="1">
      <alignment vertical="center"/>
    </xf>
    <xf numFmtId="165" fontId="3" fillId="5" borderId="21" xfId="0" applyNumberFormat="1" applyFont="1" applyFill="1" applyBorder="1" applyAlignment="1">
      <alignment horizontal="center" vertical="center"/>
    </xf>
    <xf numFmtId="0" fontId="0" fillId="6" borderId="1" xfId="0" applyFill="1" applyBorder="1" applyAlignment="1">
      <alignment horizontal="left" vertical="center"/>
    </xf>
    <xf numFmtId="0" fontId="0" fillId="6" borderId="8" xfId="0" applyFill="1" applyBorder="1" applyAlignment="1">
      <alignment horizontal="left" vertical="center"/>
    </xf>
    <xf numFmtId="167" fontId="3" fillId="5" borderId="9" xfId="0" applyNumberFormat="1" applyFont="1" applyFill="1" applyBorder="1" applyAlignment="1">
      <alignment horizontal="center" vertical="center"/>
    </xf>
    <xf numFmtId="168" fontId="3" fillId="5" borderId="1" xfId="1" applyNumberFormat="1" applyFont="1" applyFill="1" applyBorder="1" applyAlignment="1">
      <alignment horizontal="center" vertical="center"/>
    </xf>
    <xf numFmtId="169" fontId="5" fillId="9" borderId="1" xfId="1" applyNumberFormat="1" applyFont="1" applyFill="1" applyBorder="1" applyAlignment="1">
      <alignment horizontal="center" vertical="center"/>
    </xf>
    <xf numFmtId="170" fontId="5" fillId="9" borderId="9" xfId="1" applyNumberFormat="1" applyFont="1" applyFill="1" applyBorder="1" applyAlignment="1">
      <alignment horizontal="center" vertical="center"/>
    </xf>
    <xf numFmtId="0" fontId="0" fillId="6" borderId="5" xfId="0" applyFill="1" applyBorder="1" applyAlignment="1">
      <alignment horizontal="left" vertical="center" indent="1"/>
    </xf>
    <xf numFmtId="43" fontId="8" fillId="6" borderId="9" xfId="1" applyFont="1" applyFill="1" applyBorder="1" applyAlignment="1">
      <alignment horizontal="center" vertical="center"/>
    </xf>
    <xf numFmtId="0" fontId="5" fillId="8" borderId="37" xfId="0" applyFont="1" applyFill="1" applyBorder="1" applyAlignment="1">
      <alignment horizontal="center" vertical="center"/>
    </xf>
    <xf numFmtId="0" fontId="0" fillId="6" borderId="43" xfId="0" applyFill="1" applyBorder="1" applyAlignment="1">
      <alignment horizontal="left" vertical="center" indent="1"/>
    </xf>
    <xf numFmtId="0" fontId="0" fillId="6" borderId="41" xfId="0" applyFill="1" applyBorder="1" applyAlignment="1">
      <alignment horizontal="left" vertical="center" indent="2"/>
    </xf>
    <xf numFmtId="0" fontId="0" fillId="6" borderId="2" xfId="0" applyFill="1" applyBorder="1" applyAlignment="1">
      <alignment horizontal="left" vertical="center" indent="1"/>
    </xf>
    <xf numFmtId="43" fontId="8" fillId="6" borderId="17" xfId="1" applyFont="1" applyFill="1" applyBorder="1" applyAlignment="1">
      <alignment horizontal="left" vertical="center" indent="1"/>
    </xf>
    <xf numFmtId="0" fontId="0" fillId="6" borderId="26" xfId="0" applyFill="1" applyBorder="1" applyAlignment="1">
      <alignment horizontal="left" vertical="center" indent="2"/>
    </xf>
    <xf numFmtId="43" fontId="8" fillId="6" borderId="9" xfId="1" applyFont="1" applyFill="1" applyBorder="1" applyAlignment="1">
      <alignment horizontal="left" vertical="center" indent="1"/>
    </xf>
    <xf numFmtId="0" fontId="8" fillId="6" borderId="8" xfId="0" applyFont="1" applyFill="1" applyBorder="1" applyAlignment="1">
      <alignment horizontal="left" vertical="center" indent="2"/>
    </xf>
    <xf numFmtId="0" fontId="4" fillId="6" borderId="1" xfId="0" applyFont="1" applyFill="1" applyBorder="1" applyAlignment="1">
      <alignment horizontal="left" vertical="center" indent="1"/>
    </xf>
    <xf numFmtId="0" fontId="4" fillId="2" borderId="42" xfId="0" applyFont="1" applyFill="1" applyBorder="1" applyAlignment="1">
      <alignment horizontal="left" vertical="center" indent="1"/>
    </xf>
    <xf numFmtId="43" fontId="4" fillId="2" borderId="45" xfId="1" applyFont="1" applyFill="1" applyBorder="1" applyAlignment="1">
      <alignment horizontal="center" vertical="center"/>
    </xf>
    <xf numFmtId="171" fontId="5" fillId="6" borderId="44" xfId="1" applyNumberFormat="1" applyFont="1" applyFill="1" applyBorder="1" applyAlignment="1">
      <alignment horizontal="left" vertical="center" indent="1"/>
    </xf>
    <xf numFmtId="164" fontId="3" fillId="5" borderId="29" xfId="0" applyNumberFormat="1" applyFont="1" applyFill="1" applyBorder="1" applyAlignment="1">
      <alignment vertical="center"/>
    </xf>
    <xf numFmtId="165" fontId="8" fillId="6" borderId="13" xfId="0" applyNumberFormat="1" applyFont="1" applyFill="1" applyBorder="1" applyAlignment="1">
      <alignment horizontal="left" vertical="center" indent="2"/>
    </xf>
    <xf numFmtId="43" fontId="8" fillId="6" borderId="11" xfId="1" applyFont="1" applyFill="1" applyBorder="1" applyAlignment="1">
      <alignment horizontal="left" vertical="center" indent="2"/>
    </xf>
    <xf numFmtId="43" fontId="0" fillId="0" borderId="0" xfId="1" applyFont="1"/>
    <xf numFmtId="0" fontId="5" fillId="7" borderId="0" xfId="0" applyFont="1" applyFill="1" applyAlignment="1">
      <alignment vertical="center"/>
    </xf>
    <xf numFmtId="0" fontId="3" fillId="5" borderId="0" xfId="0" applyFont="1" applyFill="1" applyAlignment="1">
      <alignment horizontal="left" vertical="center" indent="1"/>
    </xf>
    <xf numFmtId="43" fontId="5" fillId="7" borderId="1" xfId="0" applyNumberFormat="1" applyFont="1" applyFill="1" applyBorder="1" applyAlignment="1">
      <alignment horizontal="center" vertical="center"/>
    </xf>
    <xf numFmtId="43" fontId="5" fillId="9" borderId="1" xfId="0" applyNumberFormat="1" applyFont="1" applyFill="1" applyBorder="1" applyAlignment="1">
      <alignment horizontal="center" vertical="center"/>
    </xf>
    <xf numFmtId="43" fontId="5" fillId="8" borderId="1" xfId="0" applyNumberFormat="1" applyFont="1" applyFill="1" applyBorder="1" applyAlignment="1">
      <alignment horizontal="center" vertical="center"/>
    </xf>
    <xf numFmtId="43" fontId="5" fillId="8" borderId="1" xfId="1" applyFont="1" applyFill="1" applyBorder="1" applyAlignment="1">
      <alignment vertical="center"/>
    </xf>
    <xf numFmtId="0" fontId="5" fillId="8" borderId="8" xfId="0" applyFont="1" applyFill="1" applyBorder="1" applyAlignment="1">
      <alignment horizontal="center" vertical="center"/>
    </xf>
    <xf numFmtId="43" fontId="5" fillId="8" borderId="9" xfId="1" applyFont="1" applyFill="1" applyBorder="1" applyAlignment="1">
      <alignment vertical="center"/>
    </xf>
    <xf numFmtId="0" fontId="5" fillId="6" borderId="50" xfId="0" applyFont="1" applyFill="1" applyBorder="1" applyAlignment="1">
      <alignment horizontal="center" vertical="center"/>
    </xf>
    <xf numFmtId="43" fontId="5" fillId="6" borderId="51" xfId="1" applyFont="1" applyFill="1" applyBorder="1" applyAlignment="1">
      <alignment horizontal="center" vertical="center"/>
    </xf>
    <xf numFmtId="43" fontId="5" fillId="6" borderId="51" xfId="1" applyFont="1" applyFill="1" applyBorder="1" applyAlignment="1">
      <alignment vertical="center"/>
    </xf>
    <xf numFmtId="43" fontId="5" fillId="6" borderId="17" xfId="1" applyFont="1" applyFill="1" applyBorder="1" applyAlignment="1">
      <alignment vertical="center"/>
    </xf>
    <xf numFmtId="0" fontId="3" fillId="2" borderId="48"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3" fillId="2" borderId="49" xfId="0" applyFont="1" applyFill="1" applyBorder="1" applyAlignment="1">
      <alignment horizontal="center" vertical="center"/>
    </xf>
    <xf numFmtId="0" fontId="3" fillId="2" borderId="37" xfId="0" applyFont="1" applyFill="1" applyBorder="1" applyAlignment="1">
      <alignment horizontal="center" vertical="center"/>
    </xf>
    <xf numFmtId="0" fontId="3" fillId="4" borderId="10" xfId="0" applyFont="1" applyFill="1" applyBorder="1" applyAlignment="1">
      <alignment horizontal="center" vertical="center"/>
    </xf>
    <xf numFmtId="43" fontId="3" fillId="4" borderId="13" xfId="1" applyFont="1" applyFill="1" applyBorder="1" applyAlignment="1">
      <alignment vertical="center"/>
    </xf>
    <xf numFmtId="0" fontId="5" fillId="7" borderId="1" xfId="0" applyFont="1" applyFill="1" applyBorder="1" applyAlignment="1">
      <alignment vertical="center"/>
    </xf>
    <xf numFmtId="164" fontId="3" fillId="5" borderId="9" xfId="0" applyNumberFormat="1" applyFont="1" applyFill="1" applyBorder="1" applyAlignment="1">
      <alignment vertical="center"/>
    </xf>
    <xf numFmtId="0" fontId="6" fillId="0" borderId="0" xfId="0" applyFont="1"/>
    <xf numFmtId="43" fontId="4" fillId="4" borderId="0" xfId="0" applyNumberFormat="1" applyFont="1" applyFill="1" applyAlignment="1">
      <alignment vertical="center"/>
    </xf>
    <xf numFmtId="43" fontId="5" fillId="6" borderId="21" xfId="1" applyFont="1" applyFill="1" applyBorder="1" applyAlignment="1">
      <alignment vertical="center"/>
    </xf>
    <xf numFmtId="0" fontId="5" fillId="6" borderId="23" xfId="0" applyFont="1" applyFill="1" applyBorder="1" applyAlignment="1">
      <alignment vertical="center"/>
    </xf>
    <xf numFmtId="0" fontId="5" fillId="6" borderId="35" xfId="0" applyFont="1" applyFill="1" applyBorder="1" applyAlignment="1">
      <alignment vertical="center"/>
    </xf>
    <xf numFmtId="43" fontId="5" fillId="6" borderId="25" xfId="0" applyNumberFormat="1" applyFont="1" applyFill="1" applyBorder="1" applyAlignment="1">
      <alignment horizontal="center" vertical="center"/>
    </xf>
    <xf numFmtId="0" fontId="6" fillId="0" borderId="0" xfId="0" applyFont="1" applyAlignment="1">
      <alignment horizontal="center"/>
    </xf>
    <xf numFmtId="0" fontId="2" fillId="0" borderId="0" xfId="0" applyFont="1"/>
    <xf numFmtId="171" fontId="3" fillId="5" borderId="9" xfId="1" applyNumberFormat="1" applyFont="1" applyFill="1" applyBorder="1" applyAlignment="1">
      <alignment horizontal="center" vertical="center"/>
    </xf>
    <xf numFmtId="0" fontId="0" fillId="0" borderId="0" xfId="0" applyAlignment="1">
      <alignment vertical="center"/>
    </xf>
    <xf numFmtId="0" fontId="0" fillId="2" borderId="0" xfId="0" applyFill="1"/>
    <xf numFmtId="43" fontId="0" fillId="2" borderId="0" xfId="0" applyNumberFormat="1" applyFill="1"/>
    <xf numFmtId="43" fontId="3" fillId="5" borderId="58" xfId="1" applyFont="1" applyFill="1" applyBorder="1" applyAlignment="1">
      <alignment horizontal="center" vertical="center"/>
    </xf>
    <xf numFmtId="43" fontId="3" fillId="5" borderId="21" xfId="1" applyFont="1" applyFill="1" applyBorder="1" applyAlignment="1">
      <alignment horizontal="center" vertical="center"/>
    </xf>
    <xf numFmtId="43" fontId="8" fillId="6" borderId="11" xfId="1" applyFont="1" applyFill="1" applyBorder="1" applyAlignment="1">
      <alignment horizontal="center" vertical="center"/>
    </xf>
    <xf numFmtId="171" fontId="3" fillId="4" borderId="13" xfId="1" applyNumberFormat="1" applyFont="1" applyFill="1" applyBorder="1" applyAlignment="1">
      <alignment horizontal="center" vertical="center"/>
    </xf>
    <xf numFmtId="0" fontId="0" fillId="0" borderId="0" xfId="0" applyAlignment="1">
      <alignment horizontal="center"/>
    </xf>
    <xf numFmtId="0" fontId="0" fillId="0" borderId="56" xfId="0" applyBorder="1" applyAlignment="1">
      <alignment horizontal="center"/>
    </xf>
    <xf numFmtId="0" fontId="0" fillId="0" borderId="56" xfId="0" applyBorder="1"/>
    <xf numFmtId="0" fontId="6" fillId="0" borderId="56" xfId="0" applyFont="1" applyBorder="1" applyAlignment="1">
      <alignment horizontal="center"/>
    </xf>
    <xf numFmtId="43" fontId="4" fillId="13" borderId="1" xfId="1" applyFont="1" applyFill="1" applyBorder="1"/>
    <xf numFmtId="10" fontId="8" fillId="12" borderId="1" xfId="2" applyNumberFormat="1" applyFont="1" applyFill="1" applyBorder="1" applyAlignment="1">
      <alignment horizontal="center"/>
    </xf>
    <xf numFmtId="43" fontId="3" fillId="10" borderId="1" xfId="1" applyFont="1" applyFill="1" applyBorder="1"/>
    <xf numFmtId="9" fontId="3" fillId="10" borderId="1" xfId="2" applyFont="1" applyFill="1" applyBorder="1" applyAlignment="1">
      <alignment horizontal="center"/>
    </xf>
    <xf numFmtId="43" fontId="4" fillId="13" borderId="1" xfId="4" applyFont="1" applyFill="1" applyBorder="1"/>
    <xf numFmtId="9" fontId="8" fillId="12" borderId="1" xfId="2" applyFont="1" applyFill="1" applyBorder="1" applyAlignment="1">
      <alignment horizontal="center"/>
    </xf>
    <xf numFmtId="10" fontId="3" fillId="10" borderId="1" xfId="2" applyNumberFormat="1" applyFont="1" applyFill="1" applyBorder="1" applyAlignment="1">
      <alignment horizontal="center"/>
    </xf>
    <xf numFmtId="9" fontId="8" fillId="12" borderId="9" xfId="2" applyFont="1" applyFill="1" applyBorder="1" applyAlignment="1">
      <alignment horizontal="center"/>
    </xf>
    <xf numFmtId="9" fontId="3" fillId="10" borderId="9" xfId="2" applyFont="1" applyFill="1" applyBorder="1" applyAlignment="1">
      <alignment horizontal="center"/>
    </xf>
    <xf numFmtId="10" fontId="3" fillId="10" borderId="11" xfId="2" applyNumberFormat="1" applyFont="1" applyFill="1" applyBorder="1" applyAlignment="1">
      <alignment horizontal="center"/>
    </xf>
    <xf numFmtId="0" fontId="3" fillId="10" borderId="54" xfId="0" applyFont="1" applyFill="1" applyBorder="1" applyAlignment="1">
      <alignment horizontal="left" indent="1"/>
    </xf>
    <xf numFmtId="172" fontId="3" fillId="4" borderId="1" xfId="4" applyNumberFormat="1" applyFont="1" applyFill="1" applyBorder="1" applyAlignment="1">
      <alignment horizontal="center" vertical="center" wrapText="1"/>
    </xf>
    <xf numFmtId="0" fontId="3" fillId="4" borderId="1" xfId="4" applyNumberFormat="1" applyFont="1" applyFill="1" applyBorder="1" applyAlignment="1">
      <alignment horizontal="center" vertical="center" wrapText="1"/>
    </xf>
    <xf numFmtId="0" fontId="8" fillId="7" borderId="1" xfId="3" applyFont="1" applyFill="1" applyBorder="1" applyAlignment="1">
      <alignment horizontal="left"/>
    </xf>
    <xf numFmtId="0" fontId="8" fillId="7" borderId="1" xfId="3" applyFont="1" applyFill="1" applyBorder="1"/>
    <xf numFmtId="0" fontId="3" fillId="4" borderId="12" xfId="4" applyNumberFormat="1" applyFont="1" applyFill="1" applyBorder="1" applyAlignment="1">
      <alignment horizontal="center" vertical="center" wrapText="1"/>
    </xf>
    <xf numFmtId="0" fontId="3" fillId="4" borderId="12" xfId="3" applyFont="1" applyFill="1" applyBorder="1" applyAlignment="1">
      <alignment horizontal="center" vertical="center"/>
    </xf>
    <xf numFmtId="172" fontId="3" fillId="4" borderId="12" xfId="4" applyNumberFormat="1" applyFont="1" applyFill="1" applyBorder="1" applyAlignment="1">
      <alignment horizontal="center" vertical="center" wrapText="1"/>
    </xf>
    <xf numFmtId="10" fontId="3" fillId="10" borderId="13" xfId="2" applyNumberFormat="1" applyFont="1" applyFill="1" applyBorder="1" applyAlignment="1">
      <alignment horizontal="center"/>
    </xf>
    <xf numFmtId="43" fontId="3" fillId="10" borderId="13" xfId="1" applyFont="1" applyFill="1" applyBorder="1"/>
    <xf numFmtId="43" fontId="0" fillId="0" borderId="56" xfId="1" applyFont="1" applyBorder="1"/>
    <xf numFmtId="0" fontId="6" fillId="6" borderId="56" xfId="0" applyFont="1" applyFill="1" applyBorder="1" applyAlignment="1">
      <alignment horizontal="center"/>
    </xf>
    <xf numFmtId="43" fontId="6" fillId="6" borderId="56" xfId="1" applyFont="1" applyFill="1" applyBorder="1"/>
    <xf numFmtId="1" fontId="6" fillId="0" borderId="56" xfId="1" applyNumberFormat="1" applyFont="1" applyBorder="1" applyAlignment="1">
      <alignment horizontal="center"/>
    </xf>
    <xf numFmtId="43" fontId="3" fillId="2" borderId="56" xfId="1" applyFont="1" applyFill="1" applyBorder="1" applyAlignment="1">
      <alignment vertical="center"/>
    </xf>
    <xf numFmtId="0" fontId="8" fillId="7" borderId="54" xfId="0" applyFont="1" applyFill="1" applyBorder="1" applyAlignment="1">
      <alignment horizontal="center"/>
    </xf>
    <xf numFmtId="0" fontId="0" fillId="2" borderId="0" xfId="0" applyFill="1" applyAlignment="1">
      <alignment horizontal="center"/>
    </xf>
    <xf numFmtId="0" fontId="3" fillId="10" borderId="54" xfId="0" applyFont="1" applyFill="1" applyBorder="1" applyAlignment="1">
      <alignment horizontal="center"/>
    </xf>
    <xf numFmtId="43" fontId="8" fillId="7" borderId="54" xfId="0" applyNumberFormat="1" applyFont="1" applyFill="1" applyBorder="1" applyAlignment="1">
      <alignment horizontal="center"/>
    </xf>
    <xf numFmtId="171" fontId="5" fillId="6" borderId="51" xfId="1" applyNumberFormat="1" applyFont="1" applyFill="1" applyBorder="1" applyAlignment="1">
      <alignment horizontal="center" vertical="center"/>
    </xf>
    <xf numFmtId="171" fontId="5" fillId="9" borderId="1" xfId="0" applyNumberFormat="1" applyFont="1" applyFill="1" applyBorder="1" applyAlignment="1">
      <alignment horizontal="center" vertical="center"/>
    </xf>
    <xf numFmtId="171" fontId="5" fillId="8" borderId="1" xfId="0" applyNumberFormat="1" applyFont="1" applyFill="1" applyBorder="1" applyAlignment="1">
      <alignment horizontal="center" vertical="center"/>
    </xf>
    <xf numFmtId="39" fontId="0" fillId="0" borderId="0" xfId="0" applyNumberFormat="1" applyAlignment="1">
      <alignment horizontal="center"/>
    </xf>
    <xf numFmtId="0" fontId="4" fillId="16" borderId="0" xfId="0" applyFont="1" applyFill="1" applyAlignment="1">
      <alignment horizontal="center"/>
    </xf>
    <xf numFmtId="0" fontId="3" fillId="16" borderId="0" xfId="0" applyFont="1" applyFill="1" applyAlignment="1">
      <alignment horizontal="center"/>
    </xf>
    <xf numFmtId="43" fontId="8" fillId="3" borderId="13" xfId="1" applyFont="1" applyFill="1" applyBorder="1" applyAlignment="1">
      <alignment vertical="center"/>
    </xf>
    <xf numFmtId="39" fontId="0" fillId="0" borderId="0" xfId="0" applyNumberFormat="1"/>
    <xf numFmtId="39" fontId="0" fillId="2" borderId="0" xfId="0" applyNumberFormat="1" applyFill="1"/>
    <xf numFmtId="10" fontId="0" fillId="0" borderId="0" xfId="2" applyNumberFormat="1" applyFont="1"/>
    <xf numFmtId="10" fontId="4" fillId="4" borderId="0" xfId="2" applyNumberFormat="1" applyFont="1" applyFill="1" applyAlignment="1">
      <alignment vertical="center"/>
    </xf>
    <xf numFmtId="0" fontId="0" fillId="7" borderId="56" xfId="0" applyFill="1" applyBorder="1" applyAlignment="1">
      <alignment horizontal="left"/>
    </xf>
    <xf numFmtId="43" fontId="0" fillId="7" borderId="56" xfId="1" applyFont="1" applyFill="1" applyBorder="1" applyAlignment="1">
      <alignment horizontal="center"/>
    </xf>
    <xf numFmtId="43" fontId="0" fillId="7" borderId="56" xfId="0" applyNumberFormat="1" applyFill="1" applyBorder="1" applyAlignment="1">
      <alignment horizontal="center"/>
    </xf>
    <xf numFmtId="43" fontId="3" fillId="10" borderId="56" xfId="0" applyNumberFormat="1" applyFont="1" applyFill="1" applyBorder="1"/>
    <xf numFmtId="0" fontId="8" fillId="6" borderId="56" xfId="0" applyFont="1" applyFill="1" applyBorder="1" applyAlignment="1">
      <alignment horizontal="left"/>
    </xf>
    <xf numFmtId="43" fontId="8" fillId="6" borderId="56" xfId="1" applyFont="1" applyFill="1" applyBorder="1" applyAlignment="1">
      <alignment horizontal="center"/>
    </xf>
    <xf numFmtId="43" fontId="8" fillId="6" borderId="56" xfId="0" applyNumberFormat="1" applyFont="1" applyFill="1" applyBorder="1" applyAlignment="1">
      <alignment horizontal="center"/>
    </xf>
    <xf numFmtId="0" fontId="8" fillId="9" borderId="56" xfId="0" applyFont="1" applyFill="1" applyBorder="1" applyAlignment="1">
      <alignment horizontal="left"/>
    </xf>
    <xf numFmtId="43" fontId="8" fillId="9" borderId="56" xfId="1" applyFont="1" applyFill="1" applyBorder="1" applyAlignment="1">
      <alignment horizontal="center"/>
    </xf>
    <xf numFmtId="43" fontId="8" fillId="9" borderId="56" xfId="0" applyNumberFormat="1" applyFont="1" applyFill="1" applyBorder="1" applyAlignment="1">
      <alignment horizontal="center"/>
    </xf>
    <xf numFmtId="0" fontId="0" fillId="5" borderId="0" xfId="0" applyFill="1"/>
    <xf numFmtId="0" fontId="0" fillId="5" borderId="0" xfId="0" applyFill="1" applyAlignment="1">
      <alignment horizontal="center"/>
    </xf>
    <xf numFmtId="9" fontId="8" fillId="6" borderId="56" xfId="2" applyFont="1" applyFill="1" applyBorder="1" applyAlignment="1">
      <alignment horizontal="center"/>
    </xf>
    <xf numFmtId="9" fontId="0" fillId="7" borderId="56" xfId="2" applyFont="1" applyFill="1" applyBorder="1" applyAlignment="1">
      <alignment horizontal="center"/>
    </xf>
    <xf numFmtId="9" fontId="8" fillId="9" borderId="56" xfId="2" applyFont="1" applyFill="1" applyBorder="1" applyAlignment="1">
      <alignment horizontal="center"/>
    </xf>
    <xf numFmtId="43" fontId="0" fillId="2" borderId="0" xfId="1" applyFont="1" applyFill="1"/>
    <xf numFmtId="43" fontId="3" fillId="10" borderId="54" xfId="1" applyFont="1" applyFill="1" applyBorder="1" applyAlignment="1">
      <alignment horizontal="center"/>
    </xf>
    <xf numFmtId="43" fontId="8" fillId="7" borderId="54" xfId="1" applyFont="1" applyFill="1" applyBorder="1" applyAlignment="1">
      <alignment horizontal="center"/>
    </xf>
    <xf numFmtId="0" fontId="0" fillId="3" borderId="56" xfId="0" applyFill="1" applyBorder="1"/>
    <xf numFmtId="39" fontId="0" fillId="3" borderId="56" xfId="0" applyNumberFormat="1" applyFill="1" applyBorder="1" applyAlignment="1">
      <alignment horizontal="center"/>
    </xf>
    <xf numFmtId="0" fontId="8" fillId="18" borderId="56" xfId="0" applyFont="1" applyFill="1" applyBorder="1"/>
    <xf numFmtId="43" fontId="0" fillId="3" borderId="56" xfId="1" applyFont="1" applyFill="1" applyBorder="1"/>
    <xf numFmtId="14" fontId="0" fillId="19" borderId="56" xfId="0" applyNumberFormat="1" applyFill="1" applyBorder="1"/>
    <xf numFmtId="0" fontId="3" fillId="2" borderId="56" xfId="0" applyFont="1" applyFill="1" applyBorder="1" applyAlignment="1">
      <alignment horizontal="center"/>
    </xf>
    <xf numFmtId="0" fontId="13" fillId="6" borderId="1" xfId="0" applyFont="1" applyFill="1" applyBorder="1" applyAlignment="1">
      <alignment horizontal="center"/>
    </xf>
    <xf numFmtId="0" fontId="3" fillId="4" borderId="1" xfId="0" applyFont="1" applyFill="1" applyBorder="1" applyAlignment="1">
      <alignment horizontal="center"/>
    </xf>
    <xf numFmtId="0" fontId="8" fillId="6" borderId="56" xfId="0" applyFont="1" applyFill="1" applyBorder="1" applyAlignment="1">
      <alignment horizontal="center"/>
    </xf>
    <xf numFmtId="0" fontId="0" fillId="7" borderId="56" xfId="0" applyFill="1" applyBorder="1" applyAlignment="1">
      <alignment horizontal="center"/>
    </xf>
    <xf numFmtId="0" fontId="8" fillId="9" borderId="56" xfId="0" applyFont="1" applyFill="1" applyBorder="1" applyAlignment="1">
      <alignment horizontal="center"/>
    </xf>
    <xf numFmtId="43" fontId="8" fillId="7" borderId="56" xfId="0" applyNumberFormat="1" applyFont="1" applyFill="1" applyBorder="1" applyAlignment="1">
      <alignment horizontal="center"/>
    </xf>
    <xf numFmtId="0" fontId="3" fillId="4" borderId="64" xfId="4" applyNumberFormat="1" applyFont="1" applyFill="1" applyBorder="1" applyAlignment="1">
      <alignment horizontal="center" vertical="center" wrapText="1"/>
    </xf>
    <xf numFmtId="9" fontId="3" fillId="10" borderId="3" xfId="2" applyFont="1" applyFill="1" applyBorder="1" applyAlignment="1">
      <alignment horizontal="center"/>
    </xf>
    <xf numFmtId="9" fontId="8" fillId="12" borderId="3" xfId="2" applyFont="1" applyFill="1" applyBorder="1" applyAlignment="1">
      <alignment horizontal="center"/>
    </xf>
    <xf numFmtId="10" fontId="3" fillId="10" borderId="19" xfId="2" applyNumberFormat="1" applyFont="1" applyFill="1" applyBorder="1" applyAlignment="1">
      <alignment horizontal="center"/>
    </xf>
    <xf numFmtId="0" fontId="0" fillId="2" borderId="59" xfId="0" applyFill="1" applyBorder="1"/>
    <xf numFmtId="0" fontId="0" fillId="2" borderId="61" xfId="0" applyFill="1" applyBorder="1"/>
    <xf numFmtId="39" fontId="4" fillId="2" borderId="0" xfId="0" applyNumberFormat="1" applyFont="1" applyFill="1"/>
    <xf numFmtId="0" fontId="8" fillId="17" borderId="56" xfId="0" applyFont="1" applyFill="1" applyBorder="1" applyAlignment="1">
      <alignment horizontal="center"/>
    </xf>
    <xf numFmtId="0" fontId="8" fillId="17" borderId="56" xfId="0" applyFont="1" applyFill="1" applyBorder="1" applyAlignment="1">
      <alignment horizontal="left"/>
    </xf>
    <xf numFmtId="9" fontId="8" fillId="17" borderId="56" xfId="2" applyFont="1" applyFill="1" applyBorder="1" applyAlignment="1">
      <alignment horizontal="center"/>
    </xf>
    <xf numFmtId="43" fontId="8" fillId="17" borderId="56" xfId="1" applyFont="1" applyFill="1" applyBorder="1" applyAlignment="1">
      <alignment horizontal="center"/>
    </xf>
    <xf numFmtId="43" fontId="8" fillId="17" borderId="56" xfId="0" applyNumberFormat="1" applyFont="1" applyFill="1" applyBorder="1" applyAlignment="1">
      <alignment horizontal="center"/>
    </xf>
    <xf numFmtId="0" fontId="8" fillId="6" borderId="67" xfId="0" applyFont="1" applyFill="1" applyBorder="1" applyAlignment="1">
      <alignment horizontal="center" vertical="center"/>
    </xf>
    <xf numFmtId="0" fontId="3" fillId="4" borderId="3" xfId="4" applyNumberFormat="1" applyFont="1" applyFill="1" applyBorder="1" applyAlignment="1">
      <alignment horizontal="center" vertical="center" wrapText="1"/>
    </xf>
    <xf numFmtId="0" fontId="3" fillId="4" borderId="69" xfId="3" applyFont="1" applyFill="1" applyBorder="1" applyAlignment="1">
      <alignment horizontal="center" vertical="center"/>
    </xf>
    <xf numFmtId="0" fontId="8" fillId="7" borderId="4" xfId="3" applyFont="1" applyFill="1" applyBorder="1" applyAlignment="1">
      <alignment horizontal="left"/>
    </xf>
    <xf numFmtId="0" fontId="8" fillId="7" borderId="4" xfId="3" applyFont="1" applyFill="1" applyBorder="1"/>
    <xf numFmtId="10" fontId="3" fillId="10" borderId="8" xfId="2" applyNumberFormat="1" applyFont="1" applyFill="1" applyBorder="1" applyAlignment="1">
      <alignment horizontal="center"/>
    </xf>
    <xf numFmtId="0" fontId="8" fillId="7" borderId="8" xfId="3" applyFont="1" applyFill="1" applyBorder="1" applyAlignment="1">
      <alignment horizontal="left"/>
    </xf>
    <xf numFmtId="0" fontId="8" fillId="7" borderId="8" xfId="3" applyFont="1" applyFill="1" applyBorder="1"/>
    <xf numFmtId="10" fontId="8" fillId="12" borderId="8" xfId="2" applyNumberFormat="1" applyFont="1" applyFill="1" applyBorder="1" applyAlignment="1">
      <alignment horizontal="center"/>
    </xf>
    <xf numFmtId="10" fontId="3" fillId="10" borderId="10" xfId="2" applyNumberFormat="1" applyFont="1" applyFill="1" applyBorder="1" applyAlignment="1">
      <alignment horizontal="center"/>
    </xf>
    <xf numFmtId="0" fontId="3" fillId="4" borderId="51" xfId="4" applyNumberFormat="1" applyFont="1" applyFill="1" applyBorder="1" applyAlignment="1">
      <alignment horizontal="center" vertical="center" wrapText="1"/>
    </xf>
    <xf numFmtId="172" fontId="3" fillId="4" borderId="51" xfId="4" applyNumberFormat="1" applyFont="1" applyFill="1" applyBorder="1" applyAlignment="1">
      <alignment horizontal="center" vertical="center" wrapText="1"/>
    </xf>
    <xf numFmtId="9" fontId="3" fillId="17" borderId="1" xfId="2" applyFont="1" applyFill="1" applyBorder="1" applyAlignment="1">
      <alignment horizontal="center"/>
    </xf>
    <xf numFmtId="10" fontId="3" fillId="17" borderId="1" xfId="2" applyNumberFormat="1" applyFont="1" applyFill="1" applyBorder="1" applyAlignment="1">
      <alignment horizontal="center"/>
    </xf>
    <xf numFmtId="10" fontId="3" fillId="17" borderId="8" xfId="2" applyNumberFormat="1" applyFont="1" applyFill="1" applyBorder="1" applyAlignment="1">
      <alignment horizontal="center"/>
    </xf>
    <xf numFmtId="43" fontId="3" fillId="17" borderId="1" xfId="1" applyFont="1" applyFill="1" applyBorder="1"/>
    <xf numFmtId="9" fontId="3" fillId="17" borderId="3" xfId="2" applyFont="1" applyFill="1" applyBorder="1" applyAlignment="1">
      <alignment horizontal="center"/>
    </xf>
    <xf numFmtId="9" fontId="3" fillId="17" borderId="9" xfId="2" applyFont="1" applyFill="1" applyBorder="1" applyAlignment="1">
      <alignment horizontal="center"/>
    </xf>
    <xf numFmtId="39" fontId="3" fillId="17" borderId="1" xfId="1" applyNumberFormat="1" applyFont="1" applyFill="1" applyBorder="1"/>
    <xf numFmtId="9" fontId="5" fillId="9" borderId="1" xfId="2" applyFont="1" applyFill="1" applyBorder="1" applyAlignment="1">
      <alignment horizontal="center"/>
    </xf>
    <xf numFmtId="10" fontId="5" fillId="9" borderId="1" xfId="2" applyNumberFormat="1" applyFont="1" applyFill="1" applyBorder="1" applyAlignment="1">
      <alignment horizontal="center"/>
    </xf>
    <xf numFmtId="43" fontId="5" fillId="9" borderId="1" xfId="1" applyFont="1" applyFill="1" applyBorder="1"/>
    <xf numFmtId="9" fontId="5" fillId="9" borderId="3" xfId="2" applyFont="1" applyFill="1" applyBorder="1" applyAlignment="1">
      <alignment horizontal="center"/>
    </xf>
    <xf numFmtId="9" fontId="5" fillId="9" borderId="9" xfId="2" applyFont="1" applyFill="1" applyBorder="1" applyAlignment="1">
      <alignment horizontal="center"/>
    </xf>
    <xf numFmtId="10" fontId="5" fillId="9" borderId="8" xfId="2" applyNumberFormat="1" applyFont="1" applyFill="1" applyBorder="1" applyAlignment="1">
      <alignment horizontal="center"/>
    </xf>
    <xf numFmtId="0" fontId="0" fillId="2" borderId="45" xfId="0" applyFill="1" applyBorder="1"/>
    <xf numFmtId="39" fontId="3" fillId="4" borderId="1" xfId="4" applyNumberFormat="1" applyFont="1" applyFill="1" applyBorder="1" applyAlignment="1">
      <alignment horizontal="center" vertical="center" wrapText="1"/>
    </xf>
    <xf numFmtId="0" fontId="3" fillId="10" borderId="4" xfId="0" applyFont="1" applyFill="1" applyBorder="1" applyAlignment="1">
      <alignment horizontal="left" indent="1"/>
    </xf>
    <xf numFmtId="0" fontId="3" fillId="17" borderId="4" xfId="0" applyFont="1" applyFill="1" applyBorder="1" applyAlignment="1">
      <alignment horizontal="left" indent="1"/>
    </xf>
    <xf numFmtId="0" fontId="5" fillId="9" borderId="4" xfId="0" applyFont="1" applyFill="1" applyBorder="1" applyAlignment="1">
      <alignment horizontal="left" indent="1"/>
    </xf>
    <xf numFmtId="0" fontId="8" fillId="7" borderId="4" xfId="0" applyFont="1" applyFill="1" applyBorder="1" applyAlignment="1">
      <alignment horizontal="left" indent="3"/>
    </xf>
    <xf numFmtId="0" fontId="3" fillId="10" borderId="22" xfId="0" applyFont="1" applyFill="1" applyBorder="1" applyAlignment="1">
      <alignment horizontal="left" indent="1"/>
    </xf>
    <xf numFmtId="0" fontId="3" fillId="4" borderId="17" xfId="4" applyNumberFormat="1" applyFont="1" applyFill="1" applyBorder="1" applyAlignment="1">
      <alignment horizontal="center" vertical="center" wrapText="1"/>
    </xf>
    <xf numFmtId="39" fontId="3" fillId="4" borderId="51" xfId="4" applyNumberFormat="1" applyFont="1" applyFill="1" applyBorder="1" applyAlignment="1">
      <alignment horizontal="center" vertical="center" wrapText="1"/>
    </xf>
    <xf numFmtId="0" fontId="8" fillId="2" borderId="0" xfId="0" applyFont="1" applyFill="1"/>
    <xf numFmtId="0" fontId="8" fillId="2" borderId="61" xfId="0" applyFont="1" applyFill="1" applyBorder="1"/>
    <xf numFmtId="0" fontId="5" fillId="0" borderId="0" xfId="0" applyFont="1"/>
    <xf numFmtId="0" fontId="5" fillId="21" borderId="4" xfId="0" applyFont="1" applyFill="1" applyBorder="1" applyAlignment="1">
      <alignment horizontal="left" indent="1"/>
    </xf>
    <xf numFmtId="43" fontId="5" fillId="21" borderId="1" xfId="1" applyFont="1" applyFill="1" applyBorder="1"/>
    <xf numFmtId="9" fontId="5" fillId="21" borderId="1" xfId="2" applyFont="1" applyFill="1" applyBorder="1" applyAlignment="1">
      <alignment horizontal="center"/>
    </xf>
    <xf numFmtId="10" fontId="5" fillId="21" borderId="1" xfId="2" applyNumberFormat="1" applyFont="1" applyFill="1" applyBorder="1" applyAlignment="1">
      <alignment horizontal="center"/>
    </xf>
    <xf numFmtId="10" fontId="5" fillId="21" borderId="8" xfId="2" applyNumberFormat="1" applyFont="1" applyFill="1" applyBorder="1" applyAlignment="1">
      <alignment horizontal="center"/>
    </xf>
    <xf numFmtId="9" fontId="5" fillId="21" borderId="9" xfId="2" applyFont="1" applyFill="1" applyBorder="1" applyAlignment="1">
      <alignment horizontal="center"/>
    </xf>
    <xf numFmtId="0" fontId="0" fillId="2" borderId="60" xfId="0" applyFill="1" applyBorder="1"/>
    <xf numFmtId="43" fontId="0" fillId="12" borderId="1" xfId="1" applyFont="1" applyFill="1" applyBorder="1"/>
    <xf numFmtId="43" fontId="0" fillId="0" borderId="56" xfId="0" applyNumberFormat="1" applyBorder="1" applyAlignment="1">
      <alignment horizontal="center"/>
    </xf>
    <xf numFmtId="0" fontId="15" fillId="22" borderId="1" xfId="0" applyFont="1" applyFill="1" applyBorder="1" applyAlignment="1">
      <alignment horizontal="center"/>
    </xf>
    <xf numFmtId="43" fontId="16" fillId="12" borderId="1" xfId="1" applyFont="1" applyFill="1" applyBorder="1"/>
    <xf numFmtId="0" fontId="3" fillId="4" borderId="8" xfId="3" applyFont="1" applyFill="1" applyBorder="1" applyAlignment="1">
      <alignment horizontal="center" vertical="center"/>
    </xf>
    <xf numFmtId="0" fontId="3" fillId="4" borderId="1" xfId="3" applyFont="1" applyFill="1" applyBorder="1" applyAlignment="1">
      <alignment horizontal="center" vertical="center"/>
    </xf>
    <xf numFmtId="0" fontId="17" fillId="2" borderId="0" xfId="0" applyFont="1" applyFill="1"/>
    <xf numFmtId="0" fontId="18" fillId="4" borderId="1" xfId="0" applyFont="1" applyFill="1" applyBorder="1" applyAlignment="1">
      <alignment horizontal="center"/>
    </xf>
    <xf numFmtId="43" fontId="17" fillId="6" borderId="1" xfId="1" applyFont="1" applyFill="1" applyBorder="1" applyAlignment="1">
      <alignment horizontal="left"/>
    </xf>
    <xf numFmtId="0" fontId="17" fillId="0" borderId="0" xfId="0" applyFont="1"/>
    <xf numFmtId="0" fontId="8" fillId="7" borderId="54" xfId="0" applyFont="1" applyFill="1" applyBorder="1" applyAlignment="1">
      <alignment horizontal="left" indent="1"/>
    </xf>
    <xf numFmtId="0" fontId="3" fillId="4" borderId="50" xfId="3" applyFont="1" applyFill="1" applyBorder="1" applyAlignment="1">
      <alignment horizontal="center" vertical="center"/>
    </xf>
    <xf numFmtId="0" fontId="3" fillId="4" borderId="51" xfId="3" applyFont="1" applyFill="1" applyBorder="1" applyAlignment="1">
      <alignment horizontal="center" vertical="center"/>
    </xf>
    <xf numFmtId="0" fontId="0" fillId="2" borderId="46" xfId="0" applyFill="1" applyBorder="1"/>
    <xf numFmtId="0" fontId="0" fillId="2" borderId="42" xfId="0" applyFill="1" applyBorder="1"/>
    <xf numFmtId="0" fontId="0" fillId="2" borderId="23" xfId="0" applyFill="1" applyBorder="1"/>
    <xf numFmtId="0" fontId="3" fillId="4" borderId="9" xfId="4" applyNumberFormat="1" applyFont="1" applyFill="1" applyBorder="1" applyAlignment="1">
      <alignment horizontal="center" vertical="center" wrapText="1"/>
    </xf>
    <xf numFmtId="169" fontId="8" fillId="3" borderId="13" xfId="1" applyNumberFormat="1" applyFont="1" applyFill="1" applyBorder="1" applyAlignment="1">
      <alignment vertical="center"/>
    </xf>
    <xf numFmtId="174" fontId="3" fillId="4" borderId="11" xfId="1" applyNumberFormat="1" applyFont="1" applyFill="1" applyBorder="1" applyAlignment="1">
      <alignment vertical="center"/>
    </xf>
    <xf numFmtId="175" fontId="3" fillId="4" borderId="11" xfId="1" applyNumberFormat="1" applyFont="1" applyFill="1" applyBorder="1" applyAlignment="1">
      <alignment vertical="center"/>
    </xf>
    <xf numFmtId="176" fontId="3" fillId="4" borderId="11" xfId="1" applyNumberFormat="1" applyFont="1" applyFill="1" applyBorder="1" applyAlignment="1">
      <alignment vertical="center"/>
    </xf>
    <xf numFmtId="43" fontId="4" fillId="2" borderId="1" xfId="1" applyFont="1" applyFill="1" applyBorder="1" applyAlignment="1">
      <alignment horizontal="center" vertical="center"/>
    </xf>
    <xf numFmtId="0" fontId="3" fillId="4" borderId="59" xfId="3" applyFont="1" applyFill="1" applyBorder="1" applyAlignment="1">
      <alignment horizontal="center" vertical="center"/>
    </xf>
    <xf numFmtId="0" fontId="3" fillId="10" borderId="73" xfId="0" applyFont="1" applyFill="1" applyBorder="1" applyAlignment="1">
      <alignment horizontal="left" indent="1"/>
    </xf>
    <xf numFmtId="0" fontId="3" fillId="17" borderId="73" xfId="0" applyFont="1" applyFill="1" applyBorder="1" applyAlignment="1">
      <alignment horizontal="left" indent="1"/>
    </xf>
    <xf numFmtId="0" fontId="8" fillId="7" borderId="73" xfId="3" applyFont="1" applyFill="1" applyBorder="1" applyAlignment="1">
      <alignment horizontal="left" indent="3"/>
    </xf>
    <xf numFmtId="0" fontId="5" fillId="9" borderId="73" xfId="0" applyFont="1" applyFill="1" applyBorder="1" applyAlignment="1">
      <alignment horizontal="left" indent="1"/>
    </xf>
    <xf numFmtId="0" fontId="8" fillId="7" borderId="73" xfId="0" applyFont="1" applyFill="1" applyBorder="1" applyAlignment="1">
      <alignment horizontal="left" indent="3"/>
    </xf>
    <xf numFmtId="0" fontId="3" fillId="10" borderId="74" xfId="0" applyFont="1" applyFill="1" applyBorder="1" applyAlignment="1">
      <alignment horizontal="left" indent="1"/>
    </xf>
    <xf numFmtId="14" fontId="17" fillId="6" borderId="1" xfId="1" applyNumberFormat="1" applyFont="1" applyFill="1" applyBorder="1" applyAlignment="1">
      <alignment horizontal="center"/>
    </xf>
    <xf numFmtId="43" fontId="4" fillId="24" borderId="1" xfId="4" applyFont="1" applyFill="1" applyBorder="1"/>
    <xf numFmtId="43" fontId="4" fillId="2" borderId="1" xfId="1" applyFont="1" applyFill="1" applyBorder="1"/>
    <xf numFmtId="43" fontId="4" fillId="2" borderId="1" xfId="4" applyFont="1" applyFill="1" applyBorder="1"/>
    <xf numFmtId="0" fontId="0" fillId="0" borderId="75" xfId="0" applyBorder="1" applyAlignment="1">
      <alignment horizontal="center"/>
    </xf>
    <xf numFmtId="43" fontId="0" fillId="0" borderId="75" xfId="1" applyFont="1" applyBorder="1"/>
    <xf numFmtId="0" fontId="6" fillId="7" borderId="75" xfId="0" applyFont="1" applyFill="1" applyBorder="1" applyAlignment="1">
      <alignment horizontal="center"/>
    </xf>
    <xf numFmtId="0" fontId="3" fillId="25" borderId="75" xfId="0" applyFont="1" applyFill="1" applyBorder="1" applyAlignment="1">
      <alignment horizontal="center"/>
    </xf>
    <xf numFmtId="43" fontId="3" fillId="25" borderId="75" xfId="0" applyNumberFormat="1" applyFont="1" applyFill="1" applyBorder="1"/>
    <xf numFmtId="0" fontId="6" fillId="26" borderId="75" xfId="0" applyFont="1" applyFill="1" applyBorder="1" applyAlignment="1">
      <alignment horizontal="center"/>
    </xf>
    <xf numFmtId="43" fontId="6" fillId="26" borderId="75" xfId="0" applyNumberFormat="1" applyFont="1" applyFill="1" applyBorder="1"/>
    <xf numFmtId="0" fontId="3" fillId="2" borderId="0" xfId="0" applyFont="1" applyFill="1"/>
    <xf numFmtId="39" fontId="3" fillId="2" borderId="0" xfId="0" applyNumberFormat="1" applyFont="1" applyFill="1"/>
    <xf numFmtId="43" fontId="3" fillId="2" borderId="0" xfId="0" applyNumberFormat="1" applyFont="1" applyFill="1"/>
    <xf numFmtId="9" fontId="3" fillId="2" borderId="0" xfId="2" applyFont="1" applyFill="1" applyAlignment="1">
      <alignment horizontal="center"/>
    </xf>
    <xf numFmtId="43" fontId="0" fillId="0" borderId="0" xfId="0" applyNumberFormat="1" applyAlignment="1">
      <alignment horizontal="center"/>
    </xf>
    <xf numFmtId="43" fontId="4" fillId="5" borderId="1" xfId="4" applyFont="1" applyFill="1" applyBorder="1"/>
    <xf numFmtId="43" fontId="4" fillId="5" borderId="1" xfId="1" applyFont="1" applyFill="1" applyBorder="1"/>
    <xf numFmtId="43" fontId="0" fillId="0" borderId="0" xfId="0" applyNumberFormat="1"/>
    <xf numFmtId="177" fontId="0" fillId="0" borderId="56" xfId="0" applyNumberFormat="1" applyBorder="1" applyAlignment="1">
      <alignment horizontal="center"/>
    </xf>
    <xf numFmtId="7" fontId="0" fillId="0" borderId="56" xfId="1" applyNumberFormat="1" applyFont="1" applyBorder="1" applyAlignment="1">
      <alignment horizontal="center"/>
    </xf>
    <xf numFmtId="0" fontId="0" fillId="0" borderId="0" xfId="0" pivotButton="1"/>
    <xf numFmtId="178" fontId="0" fillId="0" borderId="0" xfId="0" applyNumberFormat="1"/>
    <xf numFmtId="178" fontId="6" fillId="0" borderId="56" xfId="0" applyNumberFormat="1" applyFont="1" applyBorder="1" applyAlignment="1">
      <alignment horizontal="center"/>
    </xf>
    <xf numFmtId="178" fontId="0" fillId="0" borderId="56" xfId="0" applyNumberFormat="1" applyBorder="1" applyAlignment="1">
      <alignment horizontal="center"/>
    </xf>
    <xf numFmtId="178" fontId="0" fillId="0" borderId="0" xfId="0" applyNumberFormat="1" applyAlignment="1">
      <alignment horizontal="center"/>
    </xf>
    <xf numFmtId="0" fontId="8" fillId="27" borderId="77" xfId="0" applyFont="1" applyFill="1" applyBorder="1"/>
    <xf numFmtId="165" fontId="0" fillId="0" borderId="0" xfId="0" applyNumberFormat="1"/>
    <xf numFmtId="0" fontId="0" fillId="0" borderId="0" xfId="0" applyAlignment="1">
      <alignment vertical="center" wrapText="1"/>
    </xf>
    <xf numFmtId="0" fontId="0" fillId="0" borderId="56" xfId="0" applyBorder="1" applyAlignment="1">
      <alignment horizontal="center" vertical="center" wrapText="1"/>
    </xf>
    <xf numFmtId="0" fontId="0" fillId="0" borderId="56" xfId="0" applyBorder="1" applyAlignment="1">
      <alignment horizontal="center" vertical="center"/>
    </xf>
    <xf numFmtId="14" fontId="0" fillId="0" borderId="56" xfId="0" applyNumberFormat="1" applyBorder="1" applyAlignment="1">
      <alignment horizontal="center" vertical="center"/>
    </xf>
    <xf numFmtId="43" fontId="0" fillId="0" borderId="56" xfId="1" applyFont="1" applyBorder="1" applyAlignment="1">
      <alignment horizontal="center" vertical="center"/>
    </xf>
    <xf numFmtId="0" fontId="0" fillId="0" borderId="56" xfId="0" applyBorder="1" applyAlignment="1">
      <alignment vertical="center"/>
    </xf>
    <xf numFmtId="43" fontId="0" fillId="0" borderId="56" xfId="0" applyNumberFormat="1" applyBorder="1" applyAlignment="1">
      <alignment vertical="center"/>
    </xf>
    <xf numFmtId="0" fontId="3" fillId="2" borderId="56" xfId="0" applyFont="1" applyFill="1" applyBorder="1" applyAlignment="1">
      <alignment horizontal="center" vertical="center" wrapText="1"/>
    </xf>
    <xf numFmtId="0" fontId="0" fillId="0" borderId="56" xfId="0" quotePrefix="1" applyBorder="1" applyAlignment="1">
      <alignment horizontal="center" vertical="center" wrapText="1"/>
    </xf>
    <xf numFmtId="9" fontId="4" fillId="4" borderId="0" xfId="2" applyFont="1" applyFill="1" applyAlignment="1">
      <alignment vertical="center"/>
    </xf>
    <xf numFmtId="43" fontId="17" fillId="12" borderId="1" xfId="1" applyFont="1" applyFill="1" applyBorder="1" applyAlignment="1">
      <alignment horizontal="left"/>
    </xf>
    <xf numFmtId="0" fontId="20" fillId="2" borderId="1" xfId="0" applyFont="1" applyFill="1" applyBorder="1" applyAlignment="1">
      <alignment horizontal="center" vertical="center" textRotation="255"/>
    </xf>
    <xf numFmtId="39" fontId="0" fillId="0" borderId="76" xfId="0" applyNumberFormat="1" applyBorder="1" applyAlignment="1">
      <alignment horizontal="center"/>
    </xf>
    <xf numFmtId="0" fontId="8" fillId="27" borderId="78" xfId="0" applyFont="1" applyFill="1" applyBorder="1"/>
    <xf numFmtId="2" fontId="0" fillId="0" borderId="0" xfId="1" applyNumberFormat="1" applyFont="1" applyAlignment="1">
      <alignment horizontal="center"/>
    </xf>
    <xf numFmtId="0" fontId="3" fillId="4" borderId="59" xfId="3" applyFont="1" applyFill="1" applyBorder="1" applyAlignment="1">
      <alignment horizontal="center" vertical="center" wrapText="1"/>
    </xf>
    <xf numFmtId="0" fontId="20" fillId="2" borderId="1" xfId="0" quotePrefix="1" applyFont="1" applyFill="1" applyBorder="1" applyAlignment="1">
      <alignment horizontal="center" vertical="center" textRotation="255"/>
    </xf>
    <xf numFmtId="0" fontId="4" fillId="2" borderId="0" xfId="0" applyFont="1" applyFill="1"/>
    <xf numFmtId="43" fontId="4" fillId="2" borderId="0" xfId="1" applyFont="1" applyFill="1" applyAlignment="1">
      <alignment vertical="center"/>
    </xf>
    <xf numFmtId="43" fontId="3" fillId="2" borderId="0" xfId="1" applyFont="1" applyFill="1"/>
    <xf numFmtId="0" fontId="8" fillId="3" borderId="73" xfId="0" applyFont="1" applyFill="1" applyBorder="1" applyAlignment="1">
      <alignment horizontal="left" indent="3"/>
    </xf>
    <xf numFmtId="0" fontId="8" fillId="27" borderId="79" xfId="0" applyFont="1" applyFill="1" applyBorder="1"/>
    <xf numFmtId="0" fontId="4" fillId="2" borderId="0" xfId="0" applyFont="1" applyFill="1" applyAlignment="1">
      <alignment horizontal="center"/>
    </xf>
    <xf numFmtId="9" fontId="4" fillId="2" borderId="0" xfId="2" applyFont="1" applyFill="1" applyAlignment="1">
      <alignment horizontal="center"/>
    </xf>
    <xf numFmtId="173" fontId="22" fillId="0" borderId="0" xfId="0" applyNumberFormat="1" applyFont="1"/>
    <xf numFmtId="0" fontId="22" fillId="0" borderId="0" xfId="0" applyFont="1"/>
    <xf numFmtId="0" fontId="22" fillId="0" borderId="0" xfId="0" applyFont="1" applyAlignment="1">
      <alignment horizontal="right" vertical="center"/>
    </xf>
    <xf numFmtId="39" fontId="22" fillId="0" borderId="0" xfId="0" applyNumberFormat="1" applyFont="1" applyAlignment="1">
      <alignment horizontal="right"/>
    </xf>
    <xf numFmtId="0" fontId="3" fillId="10" borderId="1" xfId="2" applyNumberFormat="1" applyFont="1" applyFill="1" applyBorder="1" applyAlignment="1">
      <alignment horizontal="center" wrapText="1"/>
    </xf>
    <xf numFmtId="0" fontId="0" fillId="0" borderId="76" xfId="0" applyBorder="1"/>
    <xf numFmtId="14" fontId="0" fillId="28" borderId="80" xfId="0" applyNumberFormat="1" applyFill="1" applyBorder="1" applyAlignment="1">
      <alignment horizontal="center"/>
    </xf>
    <xf numFmtId="0" fontId="6" fillId="0" borderId="0" xfId="0" pivotButton="1" applyFont="1" applyAlignment="1">
      <alignment horizontal="center"/>
    </xf>
    <xf numFmtId="0" fontId="2" fillId="0" borderId="0" xfId="0" pivotButton="1" applyFont="1"/>
    <xf numFmtId="0" fontId="2" fillId="0" borderId="0" xfId="0" applyFont="1" applyAlignment="1">
      <alignment horizontal="center"/>
    </xf>
    <xf numFmtId="0" fontId="6" fillId="0" borderId="0" xfId="0" pivotButton="1" applyFont="1" applyAlignment="1">
      <alignment horizontal="center" vertical="center" wrapText="1"/>
    </xf>
    <xf numFmtId="0" fontId="6" fillId="0" borderId="0" xfId="0" pivotButton="1" applyFont="1" applyAlignment="1">
      <alignment vertical="center"/>
    </xf>
    <xf numFmtId="0" fontId="8" fillId="0" borderId="0" xfId="0" applyFont="1"/>
    <xf numFmtId="14" fontId="2" fillId="0" borderId="0" xfId="0" applyNumberFormat="1" applyFont="1"/>
    <xf numFmtId="39" fontId="2" fillId="0" borderId="0" xfId="0" applyNumberFormat="1" applyFont="1" applyAlignment="1">
      <alignment horizontal="center"/>
    </xf>
    <xf numFmtId="14" fontId="2" fillId="0" borderId="0" xfId="0" applyNumberFormat="1" applyFont="1" applyAlignment="1">
      <alignment horizontal="center"/>
    </xf>
    <xf numFmtId="14" fontId="0" fillId="0" borderId="0" xfId="0" applyNumberFormat="1"/>
    <xf numFmtId="43" fontId="4" fillId="30" borderId="1" xfId="4" applyFont="1" applyFill="1" applyBorder="1"/>
    <xf numFmtId="0" fontId="0" fillId="0" borderId="71" xfId="0" applyBorder="1"/>
    <xf numFmtId="0" fontId="6" fillId="0" borderId="71" xfId="0" applyFont="1" applyBorder="1"/>
    <xf numFmtId="43" fontId="6" fillId="0" borderId="71" xfId="1" applyFont="1" applyBorder="1"/>
    <xf numFmtId="14" fontId="0" fillId="0" borderId="71" xfId="0" applyNumberFormat="1" applyBorder="1"/>
    <xf numFmtId="180" fontId="0" fillId="0" borderId="71" xfId="1" applyNumberFormat="1" applyFont="1" applyBorder="1"/>
    <xf numFmtId="179" fontId="0" fillId="0" borderId="71" xfId="1" applyNumberFormat="1" applyFont="1" applyBorder="1"/>
    <xf numFmtId="43" fontId="0" fillId="0" borderId="71" xfId="0" applyNumberFormat="1" applyBorder="1"/>
    <xf numFmtId="43" fontId="0" fillId="0" borderId="71" xfId="1" applyFont="1" applyBorder="1"/>
    <xf numFmtId="0" fontId="5" fillId="0" borderId="71" xfId="0" applyFont="1" applyBorder="1"/>
    <xf numFmtId="0" fontId="20" fillId="2" borderId="1" xfId="0" applyFont="1" applyFill="1" applyBorder="1" applyAlignment="1">
      <alignment horizontal="center" vertical="center" textRotation="255" wrapText="1"/>
    </xf>
    <xf numFmtId="14" fontId="0" fillId="32" borderId="71" xfId="0" applyNumberFormat="1" applyFill="1" applyBorder="1"/>
    <xf numFmtId="0" fontId="0" fillId="32" borderId="71" xfId="0" applyFill="1" applyBorder="1"/>
    <xf numFmtId="14" fontId="8" fillId="0" borderId="71" xfId="0" applyNumberFormat="1" applyFont="1" applyBorder="1"/>
    <xf numFmtId="0" fontId="8" fillId="0" borderId="71" xfId="0" applyFont="1" applyBorder="1"/>
    <xf numFmtId="0" fontId="0" fillId="12" borderId="71" xfId="0" applyFill="1" applyBorder="1"/>
    <xf numFmtId="172" fontId="3" fillId="4" borderId="13" xfId="1" applyNumberFormat="1" applyFont="1" applyFill="1" applyBorder="1" applyAlignment="1">
      <alignment vertical="center"/>
    </xf>
    <xf numFmtId="172" fontId="3" fillId="4" borderId="11" xfId="1" applyNumberFormat="1" applyFont="1" applyFill="1" applyBorder="1" applyAlignment="1">
      <alignment vertical="center"/>
    </xf>
    <xf numFmtId="172" fontId="6" fillId="0" borderId="71" xfId="1" applyNumberFormat="1" applyFont="1" applyBorder="1"/>
    <xf numFmtId="172" fontId="0" fillId="0" borderId="71" xfId="1" applyNumberFormat="1" applyFont="1" applyBorder="1"/>
    <xf numFmtId="172" fontId="8" fillId="0" borderId="71" xfId="1" applyNumberFormat="1" applyFont="1" applyBorder="1"/>
    <xf numFmtId="0" fontId="5" fillId="8" borderId="0" xfId="0" applyFont="1" applyFill="1" applyAlignment="1">
      <alignment horizontal="center"/>
    </xf>
    <xf numFmtId="43" fontId="6" fillId="0" borderId="62" xfId="1" applyFont="1" applyBorder="1"/>
    <xf numFmtId="43" fontId="6" fillId="0" borderId="62" xfId="1" applyFont="1" applyFill="1" applyBorder="1"/>
    <xf numFmtId="43" fontId="6" fillId="0" borderId="63" xfId="1" applyFont="1" applyFill="1" applyBorder="1"/>
    <xf numFmtId="43" fontId="6" fillId="0" borderId="71" xfId="1" applyFont="1" applyFill="1" applyBorder="1"/>
    <xf numFmtId="43" fontId="6" fillId="0" borderId="63" xfId="1" applyFont="1" applyBorder="1"/>
    <xf numFmtId="43" fontId="5" fillId="0" borderId="62" xfId="1" applyFont="1" applyBorder="1"/>
    <xf numFmtId="43" fontId="5" fillId="0" borderId="63" xfId="1" applyFont="1" applyBorder="1"/>
    <xf numFmtId="43" fontId="6" fillId="29" borderId="0" xfId="0" applyNumberFormat="1" applyFont="1" applyFill="1"/>
    <xf numFmtId="0" fontId="6" fillId="0" borderId="0" xfId="0" applyFont="1" applyAlignment="1">
      <alignment horizontal="left"/>
    </xf>
    <xf numFmtId="43" fontId="6" fillId="29" borderId="81" xfId="0" applyNumberFormat="1" applyFont="1" applyFill="1" applyBorder="1"/>
    <xf numFmtId="43" fontId="6" fillId="0" borderId="0" xfId="0" applyNumberFormat="1" applyFont="1" applyAlignment="1">
      <alignment horizontal="center"/>
    </xf>
    <xf numFmtId="9" fontId="6" fillId="0" borderId="0" xfId="2" applyFont="1" applyAlignment="1">
      <alignment horizontal="center"/>
    </xf>
    <xf numFmtId="43" fontId="6" fillId="0" borderId="0" xfId="0" applyNumberFormat="1" applyFont="1"/>
    <xf numFmtId="0" fontId="6" fillId="0" borderId="0" xfId="0" applyFont="1" applyAlignment="1">
      <alignment vertical="top"/>
    </xf>
    <xf numFmtId="43" fontId="6" fillId="0" borderId="0" xfId="0" applyNumberFormat="1" applyFont="1" applyAlignment="1">
      <alignment vertical="top"/>
    </xf>
    <xf numFmtId="9" fontId="6" fillId="0" borderId="0" xfId="2" applyFont="1" applyAlignment="1">
      <alignment vertical="top"/>
    </xf>
    <xf numFmtId="0" fontId="0" fillId="0" borderId="0" xfId="0" applyAlignment="1">
      <alignment vertical="top"/>
    </xf>
    <xf numFmtId="43" fontId="0" fillId="0" borderId="0" xfId="0" applyNumberFormat="1" applyAlignment="1">
      <alignment vertical="top"/>
    </xf>
    <xf numFmtId="9" fontId="2" fillId="0" borderId="0" xfId="2" applyFont="1" applyAlignment="1">
      <alignment vertical="top"/>
    </xf>
    <xf numFmtId="43" fontId="0" fillId="29" borderId="0" xfId="0" applyNumberFormat="1" applyFill="1"/>
    <xf numFmtId="0" fontId="0" fillId="0" borderId="0" xfId="0" applyAlignment="1">
      <alignment horizontal="left"/>
    </xf>
    <xf numFmtId="9" fontId="2" fillId="0" borderId="0" xfId="2" applyFont="1" applyAlignment="1">
      <alignment horizontal="center"/>
    </xf>
    <xf numFmtId="14" fontId="0" fillId="0" borderId="0" xfId="0" applyNumberFormat="1" applyAlignment="1">
      <alignment horizontal="center"/>
    </xf>
    <xf numFmtId="43" fontId="2" fillId="0" borderId="81" xfId="1" applyFont="1" applyBorder="1" applyAlignment="1">
      <alignment horizontal="center"/>
    </xf>
    <xf numFmtId="172" fontId="2" fillId="0" borderId="71" xfId="1" applyNumberFormat="1" applyFont="1" applyBorder="1"/>
    <xf numFmtId="43" fontId="2" fillId="0" borderId="62" xfId="1" applyFont="1" applyBorder="1"/>
    <xf numFmtId="43" fontId="2" fillId="0" borderId="62" xfId="1" applyFont="1" applyFill="1" applyBorder="1"/>
    <xf numFmtId="43" fontId="2" fillId="0" borderId="63" xfId="1" applyFont="1" applyFill="1" applyBorder="1"/>
    <xf numFmtId="43" fontId="2" fillId="0" borderId="71" xfId="1" applyFont="1" applyFill="1" applyBorder="1"/>
    <xf numFmtId="43" fontId="2" fillId="0" borderId="71" xfId="1" applyFont="1" applyBorder="1"/>
    <xf numFmtId="43" fontId="2" fillId="0" borderId="63" xfId="1" applyFont="1" applyBorder="1"/>
    <xf numFmtId="0" fontId="0" fillId="0" borderId="81" xfId="0" applyBorder="1" applyAlignment="1">
      <alignment horizontal="left"/>
    </xf>
    <xf numFmtId="14" fontId="0" fillId="0" borderId="81" xfId="0" applyNumberFormat="1" applyBorder="1" applyAlignment="1">
      <alignment horizontal="left"/>
    </xf>
    <xf numFmtId="0" fontId="0" fillId="0" borderId="71" xfId="0" applyBorder="1" applyAlignment="1">
      <alignment horizontal="right"/>
    </xf>
    <xf numFmtId="0" fontId="8" fillId="0" borderId="71" xfId="0" applyFont="1" applyBorder="1" applyAlignment="1">
      <alignment horizontal="right"/>
    </xf>
    <xf numFmtId="0" fontId="0" fillId="0" borderId="81" xfId="0" applyBorder="1" applyAlignment="1">
      <alignment horizontal="right"/>
    </xf>
    <xf numFmtId="43" fontId="0" fillId="0" borderId="81" xfId="0" applyNumberFormat="1" applyBorder="1" applyAlignment="1">
      <alignment horizontal="center"/>
    </xf>
    <xf numFmtId="43" fontId="4" fillId="30" borderId="1" xfId="1" applyFont="1" applyFill="1" applyBorder="1"/>
    <xf numFmtId="14" fontId="0" fillId="32" borderId="81" xfId="0" applyNumberFormat="1" applyFill="1" applyBorder="1" applyAlignment="1">
      <alignment horizontal="left"/>
    </xf>
    <xf numFmtId="0" fontId="0" fillId="32" borderId="81" xfId="0" applyFill="1" applyBorder="1" applyAlignment="1">
      <alignment horizontal="left"/>
    </xf>
    <xf numFmtId="0" fontId="4" fillId="2" borderId="26" xfId="0" applyFont="1" applyFill="1" applyBorder="1" applyAlignment="1">
      <alignment horizontal="left" vertical="center" indent="1"/>
    </xf>
    <xf numFmtId="0" fontId="12" fillId="4" borderId="0" xfId="0" applyFont="1" applyFill="1" applyAlignment="1">
      <alignment horizontal="center" vertical="center"/>
    </xf>
    <xf numFmtId="0" fontId="4" fillId="4" borderId="0" xfId="0" applyFont="1" applyFill="1" applyAlignment="1">
      <alignment horizontal="center" vertical="center"/>
    </xf>
    <xf numFmtId="0" fontId="8" fillId="6" borderId="13" xfId="0" applyFont="1" applyFill="1" applyBorder="1" applyAlignment="1">
      <alignment horizontal="center" vertical="center"/>
    </xf>
    <xf numFmtId="0" fontId="5" fillId="21" borderId="8" xfId="0" applyFont="1" applyFill="1" applyBorder="1" applyAlignment="1">
      <alignment horizontal="left" indent="1"/>
    </xf>
    <xf numFmtId="0" fontId="3" fillId="10" borderId="10" xfId="0" applyFont="1" applyFill="1" applyBorder="1" applyAlignment="1">
      <alignment horizontal="left" indent="1"/>
    </xf>
    <xf numFmtId="0" fontId="8" fillId="7" borderId="8" xfId="0" applyFont="1" applyFill="1" applyBorder="1" applyAlignment="1">
      <alignment horizontal="left" indent="3"/>
    </xf>
    <xf numFmtId="0" fontId="3" fillId="10" borderId="8" xfId="0" applyFont="1" applyFill="1" applyBorder="1" applyAlignment="1">
      <alignment horizontal="left" indent="1"/>
    </xf>
    <xf numFmtId="0" fontId="3" fillId="17" borderId="8" xfId="0" applyFont="1" applyFill="1" applyBorder="1" applyAlignment="1">
      <alignment horizontal="left" indent="1"/>
    </xf>
    <xf numFmtId="0" fontId="5" fillId="9" borderId="8" xfId="0" applyFont="1" applyFill="1" applyBorder="1" applyAlignment="1">
      <alignment horizontal="left" indent="1"/>
    </xf>
    <xf numFmtId="0" fontId="3" fillId="2" borderId="56" xfId="0" applyFont="1" applyFill="1" applyBorder="1" applyAlignment="1">
      <alignment horizontal="center" vertical="center"/>
    </xf>
    <xf numFmtId="0" fontId="21" fillId="23" borderId="52" xfId="0" applyFont="1" applyFill="1" applyBorder="1" applyAlignment="1">
      <alignment horizontal="center" vertical="center"/>
    </xf>
    <xf numFmtId="0" fontId="21" fillId="23" borderId="53" xfId="0" applyFont="1" applyFill="1" applyBorder="1" applyAlignment="1">
      <alignment horizontal="center" vertical="center"/>
    </xf>
    <xf numFmtId="0" fontId="21" fillId="23" borderId="0" xfId="0" applyFont="1" applyFill="1" applyAlignment="1">
      <alignment horizontal="center" vertical="center"/>
    </xf>
    <xf numFmtId="0" fontId="21" fillId="23" borderId="45" xfId="0" applyFont="1" applyFill="1" applyBorder="1" applyAlignment="1">
      <alignment horizontal="center" vertical="center"/>
    </xf>
    <xf numFmtId="0" fontId="21" fillId="23" borderId="35" xfId="0" applyFont="1" applyFill="1" applyBorder="1" applyAlignment="1">
      <alignment horizontal="center" vertical="center"/>
    </xf>
    <xf numFmtId="0" fontId="21" fillId="23" borderId="34" xfId="0" applyFont="1" applyFill="1" applyBorder="1" applyAlignment="1">
      <alignment horizontal="center" vertical="center"/>
    </xf>
    <xf numFmtId="0" fontId="11" fillId="9" borderId="72" xfId="0" applyFont="1" applyFill="1" applyBorder="1" applyAlignment="1">
      <alignment horizontal="center" vertical="center"/>
    </xf>
    <xf numFmtId="0" fontId="11" fillId="9" borderId="73" xfId="0" applyFont="1" applyFill="1" applyBorder="1" applyAlignment="1">
      <alignment horizontal="center" vertical="center"/>
    </xf>
    <xf numFmtId="0" fontId="11" fillId="9" borderId="74" xfId="0" applyFont="1" applyFill="1" applyBorder="1" applyAlignment="1">
      <alignment horizontal="center" vertical="center"/>
    </xf>
    <xf numFmtId="0" fontId="5" fillId="8" borderId="1" xfId="0" applyFont="1" applyFill="1" applyBorder="1" applyAlignment="1">
      <alignment horizontal="center"/>
    </xf>
    <xf numFmtId="0" fontId="5" fillId="8" borderId="3" xfId="0" applyFont="1" applyFill="1" applyBorder="1" applyAlignment="1">
      <alignment horizontal="center"/>
    </xf>
    <xf numFmtId="0" fontId="5" fillId="8" borderId="5" xfId="0" applyFont="1" applyFill="1" applyBorder="1" applyAlignment="1">
      <alignment horizontal="center"/>
    </xf>
    <xf numFmtId="0" fontId="3" fillId="5" borderId="27" xfId="0" applyFont="1" applyFill="1" applyBorder="1" applyAlignment="1">
      <alignment horizontal="left" vertical="center" indent="1"/>
    </xf>
    <xf numFmtId="0" fontId="3" fillId="5" borderId="28" xfId="0" applyFont="1" applyFill="1" applyBorder="1" applyAlignment="1">
      <alignment horizontal="left" vertical="center" indent="1"/>
    </xf>
    <xf numFmtId="0" fontId="3" fillId="5" borderId="29" xfId="0" applyFont="1" applyFill="1" applyBorder="1" applyAlignment="1">
      <alignment horizontal="left" vertical="center" indent="1"/>
    </xf>
    <xf numFmtId="0" fontId="6" fillId="0" borderId="0" xfId="0" applyFont="1" applyAlignment="1">
      <alignment horizontal="center" vertical="center"/>
    </xf>
    <xf numFmtId="0" fontId="6" fillId="0" borderId="81" xfId="0" applyFont="1" applyBorder="1" applyAlignment="1">
      <alignment horizontal="center" vertical="center"/>
    </xf>
    <xf numFmtId="0" fontId="14" fillId="14" borderId="85" xfId="0" applyFont="1" applyFill="1" applyBorder="1" applyAlignment="1">
      <alignment horizontal="center" vertical="center"/>
    </xf>
    <xf numFmtId="0" fontId="14" fillId="14" borderId="0" xfId="0" applyFont="1" applyFill="1" applyAlignment="1">
      <alignment horizontal="center" vertical="center"/>
    </xf>
    <xf numFmtId="43" fontId="3" fillId="10" borderId="3" xfId="1" applyFont="1" applyFill="1" applyBorder="1" applyAlignment="1">
      <alignment horizontal="center" wrapText="1"/>
    </xf>
    <xf numFmtId="43" fontId="3" fillId="10" borderId="4" xfId="1" applyFont="1" applyFill="1" applyBorder="1" applyAlignment="1">
      <alignment horizontal="center" wrapText="1"/>
    </xf>
    <xf numFmtId="0" fontId="6" fillId="0" borderId="0" xfId="0" applyFont="1" applyAlignment="1">
      <alignment horizontal="center"/>
    </xf>
    <xf numFmtId="43" fontId="6" fillId="0" borderId="0" xfId="1" applyFont="1" applyBorder="1" applyAlignment="1">
      <alignment horizontal="center"/>
    </xf>
    <xf numFmtId="43" fontId="6" fillId="0" borderId="81" xfId="1" applyFont="1" applyBorder="1" applyAlignment="1">
      <alignment horizontal="center"/>
    </xf>
    <xf numFmtId="0" fontId="6" fillId="0" borderId="81" xfId="0" applyFont="1" applyBorder="1" applyAlignment="1">
      <alignment horizontal="center"/>
    </xf>
    <xf numFmtId="0" fontId="9" fillId="7" borderId="30" xfId="0" applyFont="1" applyFill="1" applyBorder="1" applyAlignment="1">
      <alignment horizontal="center" vertical="center"/>
    </xf>
    <xf numFmtId="0" fontId="9" fillId="7" borderId="28" xfId="0" applyFont="1" applyFill="1" applyBorder="1" applyAlignment="1">
      <alignment horizontal="center" vertical="center"/>
    </xf>
    <xf numFmtId="0" fontId="9" fillId="7" borderId="29" xfId="0" applyFont="1" applyFill="1" applyBorder="1" applyAlignment="1">
      <alignment horizontal="center" vertical="center"/>
    </xf>
    <xf numFmtId="0" fontId="5" fillId="11" borderId="30" xfId="0" applyFont="1" applyFill="1" applyBorder="1" applyAlignment="1">
      <alignment horizontal="center" vertical="center"/>
    </xf>
    <xf numFmtId="0" fontId="5" fillId="11" borderId="28" xfId="0" applyFont="1" applyFill="1" applyBorder="1" applyAlignment="1">
      <alignment horizontal="center" vertical="center"/>
    </xf>
    <xf numFmtId="0" fontId="5" fillId="11" borderId="29" xfId="0" applyFont="1" applyFill="1" applyBorder="1" applyAlignment="1">
      <alignment horizontal="center" vertical="center"/>
    </xf>
    <xf numFmtId="0" fontId="3" fillId="10" borderId="30" xfId="0" applyFont="1" applyFill="1" applyBorder="1" applyAlignment="1">
      <alignment horizontal="center" vertical="center"/>
    </xf>
    <xf numFmtId="0" fontId="3" fillId="10" borderId="28" xfId="0" applyFont="1" applyFill="1" applyBorder="1" applyAlignment="1">
      <alignment horizontal="center" vertical="center"/>
    </xf>
    <xf numFmtId="0" fontId="3" fillId="10" borderId="29" xfId="0" applyFont="1" applyFill="1" applyBorder="1" applyAlignment="1">
      <alignment horizontal="center" vertical="center"/>
    </xf>
    <xf numFmtId="0" fontId="6" fillId="7" borderId="14" xfId="0" applyFont="1" applyFill="1" applyBorder="1" applyAlignment="1">
      <alignment horizontal="center" vertical="center"/>
    </xf>
    <xf numFmtId="0" fontId="6" fillId="7" borderId="15" xfId="0" applyFont="1" applyFill="1" applyBorder="1" applyAlignment="1">
      <alignment horizontal="center" vertical="center"/>
    </xf>
    <xf numFmtId="0" fontId="6" fillId="7" borderId="18" xfId="0" applyFont="1" applyFill="1" applyBorder="1" applyAlignment="1">
      <alignment horizontal="center" vertical="center"/>
    </xf>
    <xf numFmtId="0" fontId="4" fillId="2" borderId="26" xfId="0" applyFont="1" applyFill="1" applyBorder="1" applyAlignment="1">
      <alignment horizontal="left" vertical="center" indent="1"/>
    </xf>
    <xf numFmtId="0" fontId="4" fillId="2" borderId="4" xfId="0" applyFont="1" applyFill="1" applyBorder="1" applyAlignment="1">
      <alignment horizontal="left" vertical="center" indent="1"/>
    </xf>
    <xf numFmtId="0" fontId="3" fillId="5" borderId="47" xfId="0" applyFont="1" applyFill="1" applyBorder="1" applyAlignment="1">
      <alignment horizontal="center" vertical="center"/>
    </xf>
    <xf numFmtId="0" fontId="3" fillId="5" borderId="24"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29" xfId="0" applyFont="1" applyFill="1" applyBorder="1" applyAlignment="1">
      <alignment horizontal="center" vertical="center"/>
    </xf>
    <xf numFmtId="0" fontId="5" fillId="8" borderId="30" xfId="0" applyFont="1" applyFill="1" applyBorder="1" applyAlignment="1">
      <alignment horizontal="left" vertical="center" indent="1"/>
    </xf>
    <xf numFmtId="0" fontId="5" fillId="8" borderId="28" xfId="0" applyFont="1" applyFill="1" applyBorder="1" applyAlignment="1">
      <alignment horizontal="left" vertical="center" indent="1"/>
    </xf>
    <xf numFmtId="0" fontId="5" fillId="8" borderId="29" xfId="0" applyFont="1" applyFill="1" applyBorder="1" applyAlignment="1">
      <alignment horizontal="left" vertical="center" indent="1"/>
    </xf>
    <xf numFmtId="43" fontId="5" fillId="6" borderId="19" xfId="1" applyFont="1" applyFill="1" applyBorder="1" applyAlignment="1">
      <alignment horizontal="center" vertical="center"/>
    </xf>
    <xf numFmtId="43" fontId="5" fillId="6" borderId="20" xfId="1" applyFont="1" applyFill="1" applyBorder="1" applyAlignment="1">
      <alignment horizontal="center" vertical="center"/>
    </xf>
    <xf numFmtId="0" fontId="5" fillId="8" borderId="36" xfId="0" applyFont="1" applyFill="1" applyBorder="1" applyAlignment="1">
      <alignment horizontal="left" vertical="center" indent="1"/>
    </xf>
    <xf numFmtId="43" fontId="5" fillId="6" borderId="46" xfId="0" applyNumberFormat="1" applyFont="1" applyFill="1" applyBorder="1" applyAlignment="1">
      <alignment horizontal="center" vertical="center"/>
    </xf>
    <xf numFmtId="43" fontId="5" fillId="6" borderId="41" xfId="0" applyNumberFormat="1" applyFont="1" applyFill="1" applyBorder="1" applyAlignment="1">
      <alignment horizontal="center" vertical="center"/>
    </xf>
    <xf numFmtId="0" fontId="8" fillId="6" borderId="26" xfId="0" applyFont="1" applyFill="1" applyBorder="1" applyAlignment="1">
      <alignment horizontal="left" vertical="center" indent="2"/>
    </xf>
    <xf numFmtId="0" fontId="8" fillId="6" borderId="4" xfId="0" applyFont="1" applyFill="1" applyBorder="1" applyAlignment="1">
      <alignment horizontal="left" vertical="center" indent="2"/>
    </xf>
    <xf numFmtId="0" fontId="3" fillId="5" borderId="47" xfId="0" applyFont="1" applyFill="1" applyBorder="1" applyAlignment="1">
      <alignment horizontal="left" vertical="center"/>
    </xf>
    <xf numFmtId="0" fontId="3" fillId="5" borderId="24" xfId="0" applyFont="1" applyFill="1" applyBorder="1" applyAlignment="1">
      <alignment horizontal="left" vertical="center"/>
    </xf>
    <xf numFmtId="0" fontId="3" fillId="5" borderId="22" xfId="0" applyFont="1" applyFill="1" applyBorder="1" applyAlignment="1">
      <alignment horizontal="left" vertical="center"/>
    </xf>
    <xf numFmtId="0" fontId="3" fillId="5" borderId="14" xfId="0" applyFont="1" applyFill="1" applyBorder="1" applyAlignment="1">
      <alignment horizontal="center" vertical="center"/>
    </xf>
    <xf numFmtId="0" fontId="3" fillId="5" borderId="15" xfId="0" applyFont="1" applyFill="1" applyBorder="1" applyAlignment="1">
      <alignment horizontal="center" vertical="center"/>
    </xf>
    <xf numFmtId="0" fontId="3" fillId="5" borderId="18" xfId="0" applyFont="1" applyFill="1" applyBorder="1" applyAlignment="1">
      <alignment horizontal="center" vertical="center"/>
    </xf>
    <xf numFmtId="0" fontId="8" fillId="6" borderId="47" xfId="0" applyFont="1" applyFill="1" applyBorder="1" applyAlignment="1">
      <alignment horizontal="center" vertical="center"/>
    </xf>
    <xf numFmtId="0" fontId="8" fillId="6" borderId="22" xfId="0" applyFont="1" applyFill="1" applyBorder="1" applyAlignment="1">
      <alignment horizontal="center" vertical="center"/>
    </xf>
    <xf numFmtId="43" fontId="5" fillId="6" borderId="46" xfId="1" applyFont="1" applyFill="1" applyBorder="1" applyAlignment="1">
      <alignment horizontal="center" vertical="center"/>
    </xf>
    <xf numFmtId="43" fontId="5" fillId="6" borderId="42" xfId="1" applyFont="1" applyFill="1" applyBorder="1" applyAlignment="1">
      <alignment horizontal="center" vertical="center"/>
    </xf>
    <xf numFmtId="43" fontId="5" fillId="6" borderId="41" xfId="1" applyFont="1" applyFill="1" applyBorder="1" applyAlignment="1">
      <alignment horizontal="center" vertical="center"/>
    </xf>
    <xf numFmtId="0" fontId="0" fillId="6" borderId="30" xfId="0" applyFill="1" applyBorder="1" applyAlignment="1">
      <alignment horizontal="left" vertical="center" indent="2"/>
    </xf>
    <xf numFmtId="0" fontId="0" fillId="6" borderId="28" xfId="0" applyFill="1" applyBorder="1" applyAlignment="1">
      <alignment horizontal="left" vertical="center" indent="2"/>
    </xf>
    <xf numFmtId="164" fontId="3" fillId="5" borderId="27" xfId="0" applyNumberFormat="1" applyFont="1" applyFill="1" applyBorder="1" applyAlignment="1">
      <alignment horizontal="center" vertical="center"/>
    </xf>
    <xf numFmtId="164" fontId="3" fillId="5" borderId="29" xfId="0" applyNumberFormat="1" applyFont="1" applyFill="1" applyBorder="1" applyAlignment="1">
      <alignment horizontal="center" vertical="center"/>
    </xf>
    <xf numFmtId="0" fontId="23" fillId="31" borderId="0" xfId="0" applyFont="1" applyFill="1" applyAlignment="1">
      <alignment horizontal="left" vertical="center" wrapText="1"/>
    </xf>
    <xf numFmtId="43" fontId="3" fillId="10" borderId="3" xfId="1" applyFont="1" applyFill="1" applyBorder="1" applyAlignment="1">
      <alignment horizontal="center"/>
    </xf>
    <xf numFmtId="43" fontId="3" fillId="10" borderId="5" xfId="1" applyFont="1" applyFill="1" applyBorder="1" applyAlignment="1">
      <alignment horizontal="center"/>
    </xf>
    <xf numFmtId="43" fontId="3" fillId="10" borderId="4" xfId="1" applyFont="1" applyFill="1" applyBorder="1" applyAlignment="1">
      <alignment horizontal="center"/>
    </xf>
    <xf numFmtId="0" fontId="14" fillId="15" borderId="85" xfId="0" applyFont="1" applyFill="1" applyBorder="1" applyAlignment="1">
      <alignment horizontal="center" vertical="center"/>
    </xf>
    <xf numFmtId="0" fontId="14" fillId="15" borderId="0" xfId="0" applyFont="1" applyFill="1" applyAlignment="1">
      <alignment horizontal="center" vertical="center"/>
    </xf>
    <xf numFmtId="0" fontId="14" fillId="3" borderId="82" xfId="0" applyFont="1" applyFill="1" applyBorder="1" applyAlignment="1">
      <alignment horizontal="center" vertical="center"/>
    </xf>
    <xf numFmtId="0" fontId="14" fillId="3" borderId="83" xfId="0" applyFont="1" applyFill="1" applyBorder="1" applyAlignment="1">
      <alignment horizontal="center" vertical="center"/>
    </xf>
    <xf numFmtId="0" fontId="14" fillId="3" borderId="84" xfId="0" applyFont="1" applyFill="1" applyBorder="1" applyAlignment="1">
      <alignment horizontal="center" vertical="center"/>
    </xf>
    <xf numFmtId="0" fontId="14" fillId="3" borderId="2" xfId="0" applyFont="1" applyFill="1" applyBorder="1" applyAlignment="1">
      <alignment horizontal="center" vertical="center"/>
    </xf>
    <xf numFmtId="0" fontId="3" fillId="10" borderId="56" xfId="0" applyFont="1" applyFill="1" applyBorder="1" applyAlignment="1">
      <alignment horizontal="center"/>
    </xf>
    <xf numFmtId="0" fontId="3" fillId="4" borderId="66" xfId="0" applyFont="1" applyFill="1" applyBorder="1" applyAlignment="1">
      <alignment horizontal="center" vertical="center" wrapText="1"/>
    </xf>
    <xf numFmtId="0" fontId="3" fillId="4" borderId="67" xfId="0" applyFont="1" applyFill="1" applyBorder="1" applyAlignment="1">
      <alignment horizontal="center" vertical="center" wrapText="1"/>
    </xf>
    <xf numFmtId="0" fontId="5" fillId="6" borderId="66" xfId="0" applyFont="1" applyFill="1" applyBorder="1" applyAlignment="1">
      <alignment horizontal="center" vertical="center"/>
    </xf>
    <xf numFmtId="0" fontId="5" fillId="6" borderId="65" xfId="0" applyFont="1" applyFill="1" applyBorder="1" applyAlignment="1">
      <alignment horizontal="center" vertical="center"/>
    </xf>
    <xf numFmtId="0" fontId="12" fillId="4" borderId="68" xfId="0" applyFont="1" applyFill="1" applyBorder="1" applyAlignment="1">
      <alignment horizontal="center" vertical="center"/>
    </xf>
    <xf numFmtId="0" fontId="12" fillId="4" borderId="0" xfId="0" applyFont="1" applyFill="1" applyAlignment="1">
      <alignment horizontal="center" vertical="center"/>
    </xf>
    <xf numFmtId="0" fontId="5" fillId="9" borderId="56" xfId="0" applyFont="1" applyFill="1" applyBorder="1" applyAlignment="1">
      <alignment horizontal="center" vertical="center"/>
    </xf>
    <xf numFmtId="0" fontId="3" fillId="10" borderId="62" xfId="0" applyFont="1" applyFill="1" applyBorder="1" applyAlignment="1">
      <alignment horizontal="center"/>
    </xf>
    <xf numFmtId="0" fontId="3" fillId="10" borderId="71" xfId="0" applyFont="1" applyFill="1" applyBorder="1" applyAlignment="1">
      <alignment horizontal="center"/>
    </xf>
    <xf numFmtId="0" fontId="3" fillId="10" borderId="63" xfId="0" applyFont="1" applyFill="1" applyBorder="1" applyAlignment="1">
      <alignment horizontal="center"/>
    </xf>
    <xf numFmtId="0" fontId="6" fillId="7" borderId="66" xfId="0" applyFont="1" applyFill="1" applyBorder="1" applyAlignment="1">
      <alignment horizontal="center" vertical="center"/>
    </xf>
    <xf numFmtId="0" fontId="6" fillId="7" borderId="65" xfId="0" applyFont="1" applyFill="1" applyBorder="1" applyAlignment="1">
      <alignment horizontal="center" vertical="center"/>
    </xf>
    <xf numFmtId="0" fontId="6" fillId="7" borderId="67" xfId="0" applyFont="1" applyFill="1" applyBorder="1" applyAlignment="1">
      <alignment horizontal="center" vertical="center"/>
    </xf>
    <xf numFmtId="0" fontId="3" fillId="5" borderId="2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5" xfId="0" applyFont="1" applyFill="1" applyBorder="1" applyAlignment="1">
      <alignment horizontal="center" vertical="center"/>
    </xf>
    <xf numFmtId="0" fontId="3" fillId="10" borderId="14" xfId="0" applyFont="1" applyFill="1" applyBorder="1" applyAlignment="1">
      <alignment horizontal="center" vertical="center"/>
    </xf>
    <xf numFmtId="0" fontId="3" fillId="10" borderId="1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38" xfId="0" applyFont="1" applyFill="1" applyBorder="1" applyAlignment="1">
      <alignment horizontal="center" vertical="center"/>
    </xf>
    <xf numFmtId="0" fontId="3" fillId="10" borderId="55" xfId="0" applyFont="1" applyFill="1" applyBorder="1" applyAlignment="1">
      <alignment horizontal="center" vertical="center"/>
    </xf>
    <xf numFmtId="0" fontId="3" fillId="10" borderId="39" xfId="0" applyFont="1" applyFill="1" applyBorder="1" applyAlignment="1">
      <alignment horizontal="center" vertical="center"/>
    </xf>
    <xf numFmtId="0" fontId="3" fillId="10" borderId="40" xfId="0" applyFont="1" applyFill="1" applyBorder="1" applyAlignment="1">
      <alignment horizontal="center" vertical="center"/>
    </xf>
    <xf numFmtId="164" fontId="3" fillId="5" borderId="28" xfId="0" applyNumberFormat="1" applyFont="1" applyFill="1" applyBorder="1" applyAlignment="1">
      <alignment horizontal="center" vertical="center"/>
    </xf>
    <xf numFmtId="0" fontId="14" fillId="14"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15" borderId="1" xfId="0" applyFont="1" applyFill="1" applyBorder="1" applyAlignment="1">
      <alignment horizontal="center" vertical="center"/>
    </xf>
    <xf numFmtId="0" fontId="14" fillId="20" borderId="1" xfId="0" applyFont="1" applyFill="1" applyBorder="1" applyAlignment="1">
      <alignment horizontal="center" vertical="center"/>
    </xf>
    <xf numFmtId="0" fontId="5" fillId="8" borderId="4" xfId="0" applyFont="1" applyFill="1" applyBorder="1" applyAlignment="1">
      <alignment horizontal="center"/>
    </xf>
    <xf numFmtId="0" fontId="19" fillId="23" borderId="46" xfId="0" applyFont="1" applyFill="1" applyBorder="1" applyAlignment="1">
      <alignment horizontal="center" vertical="center"/>
    </xf>
    <xf numFmtId="0" fontId="19" fillId="23" borderId="52" xfId="0" applyFont="1" applyFill="1" applyBorder="1" applyAlignment="1">
      <alignment horizontal="center" vertical="center"/>
    </xf>
    <xf numFmtId="0" fontId="19" fillId="23" borderId="53" xfId="0" applyFont="1" applyFill="1" applyBorder="1" applyAlignment="1">
      <alignment horizontal="center" vertical="center"/>
    </xf>
    <xf numFmtId="0" fontId="19" fillId="23" borderId="42" xfId="0" applyFont="1" applyFill="1" applyBorder="1" applyAlignment="1">
      <alignment horizontal="center" vertical="center"/>
    </xf>
    <xf numFmtId="0" fontId="19" fillId="23" borderId="0" xfId="0" applyFont="1" applyFill="1" applyAlignment="1">
      <alignment horizontal="center" vertical="center"/>
    </xf>
    <xf numFmtId="0" fontId="19" fillId="23" borderId="45" xfId="0" applyFont="1" applyFill="1" applyBorder="1" applyAlignment="1">
      <alignment horizontal="center" vertical="center"/>
    </xf>
    <xf numFmtId="0" fontId="19" fillId="23" borderId="23" xfId="0" applyFont="1" applyFill="1" applyBorder="1" applyAlignment="1">
      <alignment horizontal="center" vertical="center"/>
    </xf>
    <xf numFmtId="0" fontId="19" fillId="23" borderId="35" xfId="0" applyFont="1" applyFill="1" applyBorder="1" applyAlignment="1">
      <alignment horizontal="center" vertical="center"/>
    </xf>
    <xf numFmtId="0" fontId="19" fillId="23" borderId="34" xfId="0" applyFont="1" applyFill="1" applyBorder="1" applyAlignment="1">
      <alignment horizontal="center" vertical="center"/>
    </xf>
    <xf numFmtId="43" fontId="5" fillId="6" borderId="59" xfId="1" applyFont="1" applyFill="1" applyBorder="1" applyAlignment="1">
      <alignment horizontal="center" vertical="center"/>
    </xf>
    <xf numFmtId="43" fontId="5" fillId="6" borderId="61" xfId="1" applyFont="1" applyFill="1" applyBorder="1" applyAlignment="1">
      <alignment horizontal="center" vertical="center"/>
    </xf>
    <xf numFmtId="43" fontId="5" fillId="6" borderId="57" xfId="1" applyFont="1" applyFill="1" applyBorder="1" applyAlignment="1">
      <alignment horizontal="center" vertical="center"/>
    </xf>
    <xf numFmtId="43" fontId="5" fillId="6" borderId="59" xfId="0" applyNumberFormat="1" applyFont="1" applyFill="1" applyBorder="1" applyAlignment="1">
      <alignment horizontal="center" vertical="center"/>
    </xf>
    <xf numFmtId="43" fontId="5" fillId="6" borderId="57" xfId="0" applyNumberFormat="1" applyFont="1" applyFill="1" applyBorder="1" applyAlignment="1">
      <alignment horizontal="center" vertical="center"/>
    </xf>
    <xf numFmtId="164" fontId="3" fillId="5" borderId="1" xfId="0" applyNumberFormat="1" applyFont="1" applyFill="1" applyBorder="1" applyAlignment="1">
      <alignment horizontal="center" vertical="center"/>
    </xf>
    <xf numFmtId="0" fontId="3" fillId="10" borderId="46" xfId="0" applyFont="1" applyFill="1" applyBorder="1" applyAlignment="1">
      <alignment horizontal="center" vertical="center"/>
    </xf>
    <xf numFmtId="0" fontId="3" fillId="10" borderId="52" xfId="0" applyFont="1" applyFill="1" applyBorder="1" applyAlignment="1">
      <alignment horizontal="center" vertical="center"/>
    </xf>
    <xf numFmtId="0" fontId="3" fillId="10" borderId="53" xfId="0" applyFont="1" applyFill="1" applyBorder="1" applyAlignment="1">
      <alignment horizontal="center" vertical="center"/>
    </xf>
    <xf numFmtId="0" fontId="3" fillId="5" borderId="13" xfId="0" applyFont="1" applyFill="1" applyBorder="1" applyAlignment="1">
      <alignment horizontal="left" vertical="center" indent="1"/>
    </xf>
    <xf numFmtId="0" fontId="3" fillId="5" borderId="11" xfId="0" applyFont="1" applyFill="1" applyBorder="1" applyAlignment="1">
      <alignment horizontal="left" vertical="center" indent="1"/>
    </xf>
    <xf numFmtId="0" fontId="3" fillId="5" borderId="12" xfId="0" applyFont="1" applyFill="1" applyBorder="1" applyAlignment="1">
      <alignment horizontal="left" vertical="center" indent="1"/>
    </xf>
    <xf numFmtId="0" fontId="3" fillId="5" borderId="31" xfId="0" applyFont="1" applyFill="1" applyBorder="1" applyAlignment="1">
      <alignment horizontal="left" vertical="center" indent="1"/>
    </xf>
    <xf numFmtId="0" fontId="3" fillId="5" borderId="7"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1" xfId="0" applyFont="1" applyFill="1" applyBorder="1" applyAlignment="1">
      <alignment horizontal="left" vertical="center" indent="1"/>
    </xf>
    <xf numFmtId="0" fontId="3" fillId="5" borderId="9" xfId="0" applyFont="1" applyFill="1" applyBorder="1" applyAlignment="1">
      <alignment horizontal="left" vertical="center" indent="1"/>
    </xf>
    <xf numFmtId="43" fontId="5" fillId="6" borderId="60" xfId="1" applyFont="1" applyFill="1" applyBorder="1" applyAlignment="1">
      <alignment horizontal="center" vertical="center"/>
    </xf>
    <xf numFmtId="0" fontId="4" fillId="4" borderId="0" xfId="0" applyFont="1" applyFill="1" applyAlignment="1">
      <alignment horizontal="center" vertical="center"/>
    </xf>
    <xf numFmtId="0" fontId="3" fillId="5" borderId="38" xfId="0" applyFont="1" applyFill="1" applyBorder="1" applyAlignment="1">
      <alignment horizontal="center" vertical="center"/>
    </xf>
    <xf numFmtId="0" fontId="3" fillId="5" borderId="39" xfId="0" applyFont="1" applyFill="1" applyBorder="1" applyAlignment="1">
      <alignment horizontal="center" vertical="center"/>
    </xf>
    <xf numFmtId="0" fontId="3" fillId="5" borderId="40" xfId="0" applyFont="1" applyFill="1" applyBorder="1" applyAlignment="1">
      <alignment horizontal="center" vertical="center"/>
    </xf>
    <xf numFmtId="0" fontId="3" fillId="5" borderId="32" xfId="0" applyFont="1" applyFill="1" applyBorder="1" applyAlignment="1">
      <alignment horizontal="left" vertical="center"/>
    </xf>
    <xf numFmtId="0" fontId="3" fillId="5" borderId="58" xfId="0" applyFont="1" applyFill="1" applyBorder="1" applyAlignment="1">
      <alignment horizontal="left" vertical="center"/>
    </xf>
    <xf numFmtId="0" fontId="8" fillId="6" borderId="10" xfId="0" applyFont="1" applyFill="1" applyBorder="1" applyAlignment="1">
      <alignment horizontal="center" vertical="center"/>
    </xf>
    <xf numFmtId="0" fontId="8" fillId="6" borderId="13" xfId="0" applyFont="1" applyFill="1" applyBorder="1" applyAlignment="1">
      <alignment horizontal="center" vertical="center"/>
    </xf>
    <xf numFmtId="0" fontId="0" fillId="6" borderId="42" xfId="0" applyFill="1" applyBorder="1" applyAlignment="1">
      <alignment horizontal="left" vertical="center" indent="2"/>
    </xf>
    <xf numFmtId="0" fontId="0" fillId="6" borderId="0" xfId="0" applyFill="1" applyAlignment="1">
      <alignment horizontal="left" vertical="center" indent="2"/>
    </xf>
    <xf numFmtId="0" fontId="3" fillId="5" borderId="26" xfId="0" applyFont="1" applyFill="1" applyBorder="1" applyAlignment="1">
      <alignment horizontal="left" vertical="center"/>
    </xf>
    <xf numFmtId="0" fontId="3" fillId="5" borderId="5" xfId="0" applyFont="1" applyFill="1" applyBorder="1" applyAlignment="1">
      <alignment horizontal="left" vertical="center"/>
    </xf>
    <xf numFmtId="0" fontId="3" fillId="5" borderId="4" xfId="0" applyFont="1" applyFill="1" applyBorder="1" applyAlignment="1">
      <alignment horizontal="left" vertical="center"/>
    </xf>
    <xf numFmtId="0" fontId="8" fillId="6" borderId="47" xfId="0" applyFont="1" applyFill="1" applyBorder="1" applyAlignment="1">
      <alignment horizontal="left" vertical="center" indent="2"/>
    </xf>
    <xf numFmtId="0" fontId="8" fillId="6" borderId="22" xfId="0" applyFont="1" applyFill="1" applyBorder="1" applyAlignment="1">
      <alignment horizontal="left" vertical="center" indent="2"/>
    </xf>
    <xf numFmtId="0" fontId="4" fillId="2" borderId="8" xfId="0" applyFont="1" applyFill="1" applyBorder="1" applyAlignment="1">
      <alignment horizontal="left" vertical="center" indent="1"/>
    </xf>
    <xf numFmtId="0" fontId="4" fillId="2" borderId="1" xfId="0" applyFont="1" applyFill="1" applyBorder="1" applyAlignment="1">
      <alignment horizontal="left" vertical="center" indent="1"/>
    </xf>
    <xf numFmtId="0" fontId="3" fillId="2" borderId="75" xfId="0" applyFont="1" applyFill="1" applyBorder="1" applyAlignment="1">
      <alignment horizontal="center"/>
    </xf>
    <xf numFmtId="0" fontId="3" fillId="2" borderId="62" xfId="0" applyFont="1" applyFill="1" applyBorder="1" applyAlignment="1">
      <alignment horizontal="center" vertical="center"/>
    </xf>
    <xf numFmtId="0" fontId="3" fillId="2" borderId="63" xfId="0" applyFont="1" applyFill="1" applyBorder="1" applyAlignment="1">
      <alignment horizontal="center" vertical="center"/>
    </xf>
    <xf numFmtId="0" fontId="5" fillId="21" borderId="8" xfId="0" applyFont="1" applyFill="1" applyBorder="1" applyAlignment="1">
      <alignment horizontal="left" indent="1"/>
    </xf>
    <xf numFmtId="0" fontId="5" fillId="21" borderId="1" xfId="0" applyFont="1" applyFill="1" applyBorder="1" applyAlignment="1">
      <alignment horizontal="left" indent="1"/>
    </xf>
    <xf numFmtId="0" fontId="5" fillId="21" borderId="9" xfId="0" applyFont="1" applyFill="1" applyBorder="1" applyAlignment="1">
      <alignment horizontal="left" indent="1"/>
    </xf>
    <xf numFmtId="0" fontId="3" fillId="10" borderId="10" xfId="0" applyFont="1" applyFill="1" applyBorder="1" applyAlignment="1">
      <alignment horizontal="left" indent="1"/>
    </xf>
    <xf numFmtId="0" fontId="3" fillId="10" borderId="13" xfId="0" applyFont="1" applyFill="1" applyBorder="1" applyAlignment="1">
      <alignment horizontal="left" indent="1"/>
    </xf>
    <xf numFmtId="0" fontId="3" fillId="10" borderId="11" xfId="0" applyFont="1" applyFill="1" applyBorder="1" applyAlignment="1">
      <alignment horizontal="left" indent="1"/>
    </xf>
    <xf numFmtId="0" fontId="8" fillId="7" borderId="8" xfId="0" applyFont="1" applyFill="1" applyBorder="1" applyAlignment="1">
      <alignment horizontal="left" indent="3"/>
    </xf>
    <xf numFmtId="0" fontId="8" fillId="7" borderId="1" xfId="0" applyFont="1" applyFill="1" applyBorder="1" applyAlignment="1">
      <alignment horizontal="left" indent="3"/>
    </xf>
    <xf numFmtId="0" fontId="8" fillId="7" borderId="9" xfId="0" applyFont="1" applyFill="1" applyBorder="1" applyAlignment="1">
      <alignment horizontal="left" indent="3"/>
    </xf>
    <xf numFmtId="0" fontId="3" fillId="10" borderId="8" xfId="0" applyFont="1" applyFill="1" applyBorder="1" applyAlignment="1">
      <alignment horizontal="left" indent="1"/>
    </xf>
    <xf numFmtId="0" fontId="3" fillId="10" borderId="1" xfId="0" applyFont="1" applyFill="1" applyBorder="1" applyAlignment="1">
      <alignment horizontal="left" indent="1"/>
    </xf>
    <xf numFmtId="0" fontId="3" fillId="10" borderId="9" xfId="0" applyFont="1" applyFill="1" applyBorder="1" applyAlignment="1">
      <alignment horizontal="left" indent="1"/>
    </xf>
    <xf numFmtId="0" fontId="3" fillId="17" borderId="8" xfId="0" applyFont="1" applyFill="1" applyBorder="1" applyAlignment="1">
      <alignment horizontal="left" indent="1"/>
    </xf>
    <xf numFmtId="0" fontId="3" fillId="17" borderId="1" xfId="0" applyFont="1" applyFill="1" applyBorder="1" applyAlignment="1">
      <alignment horizontal="left" indent="1"/>
    </xf>
    <xf numFmtId="0" fontId="3" fillId="17" borderId="9" xfId="0" applyFont="1" applyFill="1" applyBorder="1" applyAlignment="1">
      <alignment horizontal="left" indent="1"/>
    </xf>
    <xf numFmtId="0" fontId="8" fillId="7" borderId="26" xfId="0" applyFont="1" applyFill="1" applyBorder="1" applyAlignment="1">
      <alignment horizontal="left" indent="3"/>
    </xf>
    <xf numFmtId="0" fontId="8" fillId="7" borderId="5" xfId="0" applyFont="1" applyFill="1" applyBorder="1" applyAlignment="1">
      <alignment horizontal="left" indent="3"/>
    </xf>
    <xf numFmtId="0" fontId="8" fillId="7" borderId="70" xfId="0" applyFont="1" applyFill="1" applyBorder="1" applyAlignment="1">
      <alignment horizontal="left" indent="3"/>
    </xf>
    <xf numFmtId="0" fontId="8" fillId="7" borderId="8" xfId="3" applyFont="1" applyFill="1" applyBorder="1" applyAlignment="1">
      <alignment horizontal="left" indent="3"/>
    </xf>
    <xf numFmtId="0" fontId="8" fillId="7" borderId="1" xfId="3" applyFont="1" applyFill="1" applyBorder="1" applyAlignment="1">
      <alignment horizontal="left" indent="3"/>
    </xf>
    <xf numFmtId="0" fontId="8" fillId="7" borderId="9" xfId="3" applyFont="1" applyFill="1" applyBorder="1" applyAlignment="1">
      <alignment horizontal="left" indent="3"/>
    </xf>
    <xf numFmtId="0" fontId="5" fillId="9" borderId="8" xfId="0" applyFont="1" applyFill="1" applyBorder="1" applyAlignment="1">
      <alignment horizontal="left" indent="1"/>
    </xf>
    <xf numFmtId="0" fontId="5" fillId="9" borderId="1" xfId="0" applyFont="1" applyFill="1" applyBorder="1" applyAlignment="1">
      <alignment horizontal="left" indent="1"/>
    </xf>
    <xf numFmtId="0" fontId="5" fillId="9" borderId="9" xfId="0" applyFont="1" applyFill="1" applyBorder="1" applyAlignment="1">
      <alignment horizontal="left" indent="1"/>
    </xf>
    <xf numFmtId="0" fontId="5" fillId="8" borderId="38" xfId="0" applyFont="1" applyFill="1" applyBorder="1" applyAlignment="1">
      <alignment horizontal="center"/>
    </xf>
    <xf numFmtId="0" fontId="5" fillId="8" borderId="39" xfId="0" applyFont="1" applyFill="1" applyBorder="1" applyAlignment="1">
      <alignment horizontal="center"/>
    </xf>
    <xf numFmtId="0" fontId="5" fillId="8" borderId="48" xfId="0" applyFont="1" applyFill="1" applyBorder="1" applyAlignment="1">
      <alignment horizontal="center"/>
    </xf>
    <xf numFmtId="0" fontId="5" fillId="8" borderId="49" xfId="0" applyFont="1" applyFill="1" applyBorder="1" applyAlignment="1">
      <alignment horizontal="center"/>
    </xf>
    <xf numFmtId="0" fontId="5" fillId="8" borderId="37" xfId="0" applyFont="1" applyFill="1" applyBorder="1" applyAlignment="1">
      <alignment horizontal="center"/>
    </xf>
    <xf numFmtId="0" fontId="5" fillId="8" borderId="40" xfId="0" applyFont="1" applyFill="1" applyBorder="1" applyAlignment="1">
      <alignment horizontal="center"/>
    </xf>
    <xf numFmtId="0" fontId="14" fillId="14" borderId="7" xfId="0" applyFont="1" applyFill="1" applyBorder="1" applyAlignment="1">
      <alignment horizontal="center" vertical="center"/>
    </xf>
    <xf numFmtId="0" fontId="14" fillId="14" borderId="12" xfId="0" applyFont="1" applyFill="1" applyBorder="1" applyAlignment="1">
      <alignment horizontal="center" vertical="center"/>
    </xf>
    <xf numFmtId="0" fontId="14" fillId="14" borderId="64" xfId="0" applyFont="1" applyFill="1" applyBorder="1" applyAlignment="1">
      <alignment horizontal="center" vertical="center"/>
    </xf>
    <xf numFmtId="0" fontId="14" fillId="14" borderId="8" xfId="0" applyFont="1" applyFill="1" applyBorder="1" applyAlignment="1">
      <alignment horizontal="center" vertical="center"/>
    </xf>
    <xf numFmtId="0" fontId="14" fillId="14" borderId="3" xfId="0" applyFont="1" applyFill="1" applyBorder="1" applyAlignment="1">
      <alignment horizontal="center" vertical="center"/>
    </xf>
    <xf numFmtId="0" fontId="14" fillId="14" borderId="46" xfId="0" applyFont="1" applyFill="1" applyBorder="1" applyAlignment="1">
      <alignment horizontal="center" vertical="center"/>
    </xf>
    <xf numFmtId="0" fontId="14" fillId="14" borderId="52" xfId="0" applyFont="1" applyFill="1" applyBorder="1" applyAlignment="1">
      <alignment horizontal="center" vertical="center"/>
    </xf>
    <xf numFmtId="0" fontId="14" fillId="14" borderId="53" xfId="0" applyFont="1" applyFill="1" applyBorder="1" applyAlignment="1">
      <alignment horizontal="center" vertical="center"/>
    </xf>
    <xf numFmtId="0" fontId="14" fillId="14" borderId="23" xfId="0" applyFont="1" applyFill="1" applyBorder="1" applyAlignment="1">
      <alignment horizontal="center" vertical="center"/>
    </xf>
    <xf numFmtId="0" fontId="14" fillId="14" borderId="35" xfId="0" applyFont="1" applyFill="1" applyBorder="1" applyAlignment="1">
      <alignment horizontal="center" vertical="center"/>
    </xf>
    <xf numFmtId="0" fontId="14" fillId="14" borderId="34" xfId="0" applyFont="1" applyFill="1" applyBorder="1" applyAlignment="1">
      <alignment horizontal="center" vertical="center"/>
    </xf>
    <xf numFmtId="0" fontId="14" fillId="14" borderId="31" xfId="0" applyFont="1" applyFill="1" applyBorder="1" applyAlignment="1">
      <alignment horizontal="center" vertical="center"/>
    </xf>
    <xf numFmtId="0" fontId="14" fillId="14" borderId="10" xfId="0" applyFont="1" applyFill="1" applyBorder="1" applyAlignment="1">
      <alignment horizontal="center" vertical="center"/>
    </xf>
    <xf numFmtId="0" fontId="14" fillId="14" borderId="13" xfId="0" applyFont="1" applyFill="1" applyBorder="1" applyAlignment="1">
      <alignment horizontal="center" vertical="center"/>
    </xf>
    <xf numFmtId="0" fontId="14" fillId="14" borderId="11" xfId="0" applyFont="1" applyFill="1" applyBorder="1" applyAlignment="1">
      <alignment horizontal="center" vertical="center"/>
    </xf>
    <xf numFmtId="0" fontId="14" fillId="3" borderId="46" xfId="0" applyFont="1" applyFill="1" applyBorder="1" applyAlignment="1">
      <alignment horizontal="center" vertical="center"/>
    </xf>
    <xf numFmtId="0" fontId="14" fillId="3" borderId="52" xfId="0" applyFont="1" applyFill="1" applyBorder="1" applyAlignment="1">
      <alignment horizontal="center" vertical="center"/>
    </xf>
    <xf numFmtId="0" fontId="14" fillId="3" borderId="53" xfId="0" applyFont="1" applyFill="1" applyBorder="1" applyAlignment="1">
      <alignment horizontal="center" vertical="center"/>
    </xf>
    <xf numFmtId="0" fontId="14" fillId="3" borderId="42" xfId="0" applyFont="1" applyFill="1" applyBorder="1" applyAlignment="1">
      <alignment horizontal="center" vertical="center"/>
    </xf>
    <xf numFmtId="0" fontId="14" fillId="3" borderId="0" xfId="0" applyFont="1" applyFill="1" applyAlignment="1">
      <alignment horizontal="center" vertical="center"/>
    </xf>
    <xf numFmtId="0" fontId="14" fillId="3" borderId="45" xfId="0" applyFont="1" applyFill="1" applyBorder="1" applyAlignment="1">
      <alignment horizontal="center" vertical="center"/>
    </xf>
    <xf numFmtId="0" fontId="14" fillId="15" borderId="46" xfId="0" applyFont="1" applyFill="1" applyBorder="1" applyAlignment="1">
      <alignment horizontal="center" vertical="center"/>
    </xf>
    <xf numFmtId="0" fontId="14" fillId="15" borderId="52" xfId="0" applyFont="1" applyFill="1" applyBorder="1" applyAlignment="1">
      <alignment horizontal="center" vertical="center"/>
    </xf>
    <xf numFmtId="0" fontId="14" fillId="15" borderId="53" xfId="0" applyFont="1" applyFill="1" applyBorder="1" applyAlignment="1">
      <alignment horizontal="center" vertical="center"/>
    </xf>
    <xf numFmtId="0" fontId="14" fillId="15" borderId="23" xfId="0" applyFont="1" applyFill="1" applyBorder="1" applyAlignment="1">
      <alignment horizontal="center" vertical="center"/>
    </xf>
    <xf numFmtId="0" fontId="14" fillId="15" borderId="35" xfId="0" applyFont="1" applyFill="1" applyBorder="1" applyAlignment="1">
      <alignment horizontal="center" vertical="center"/>
    </xf>
    <xf numFmtId="0" fontId="14" fillId="15" borderId="34" xfId="0" applyFont="1" applyFill="1" applyBorder="1" applyAlignment="1">
      <alignment horizontal="center" vertical="center"/>
    </xf>
    <xf numFmtId="0" fontId="14" fillId="20" borderId="7" xfId="0" applyFont="1" applyFill="1" applyBorder="1" applyAlignment="1">
      <alignment horizontal="center" vertical="center"/>
    </xf>
    <xf numFmtId="0" fontId="14" fillId="20" borderId="12" xfId="0" applyFont="1" applyFill="1" applyBorder="1" applyAlignment="1">
      <alignment horizontal="center" vertical="center"/>
    </xf>
    <xf numFmtId="0" fontId="14" fillId="20" borderId="31" xfId="0" applyFont="1" applyFill="1" applyBorder="1" applyAlignment="1">
      <alignment horizontal="center" vertical="center"/>
    </xf>
    <xf numFmtId="0" fontId="14" fillId="20" borderId="10" xfId="0" applyFont="1" applyFill="1" applyBorder="1" applyAlignment="1">
      <alignment horizontal="center" vertical="center"/>
    </xf>
    <xf numFmtId="0" fontId="14" fillId="20" borderId="13" xfId="0" applyFont="1" applyFill="1" applyBorder="1" applyAlignment="1">
      <alignment horizontal="center" vertical="center"/>
    </xf>
    <xf numFmtId="0" fontId="14" fillId="20" borderId="11" xfId="0" applyFont="1" applyFill="1" applyBorder="1" applyAlignment="1">
      <alignment horizontal="center" vertical="center"/>
    </xf>
    <xf numFmtId="0" fontId="5" fillId="8" borderId="30" xfId="0" applyFont="1" applyFill="1" applyBorder="1" applyAlignment="1">
      <alignment horizontal="center"/>
    </xf>
    <xf numFmtId="0" fontId="5" fillId="8" borderId="28" xfId="0" applyFont="1" applyFill="1" applyBorder="1" applyAlignment="1">
      <alignment horizontal="center"/>
    </xf>
    <xf numFmtId="0" fontId="5" fillId="8" borderId="29" xfId="0" applyFont="1" applyFill="1" applyBorder="1" applyAlignment="1">
      <alignment horizontal="center"/>
    </xf>
    <xf numFmtId="0" fontId="11" fillId="9" borderId="7" xfId="0" applyFont="1" applyFill="1" applyBorder="1" applyAlignment="1">
      <alignment horizontal="center" vertical="center"/>
    </xf>
    <xf numFmtId="0" fontId="11" fillId="9" borderId="12" xfId="0" applyFont="1" applyFill="1" applyBorder="1" applyAlignment="1">
      <alignment horizontal="center" vertical="center"/>
    </xf>
    <xf numFmtId="0" fontId="11" fillId="9" borderId="31" xfId="0" applyFont="1" applyFill="1" applyBorder="1" applyAlignment="1">
      <alignment horizontal="center" vertical="center"/>
    </xf>
    <xf numFmtId="0" fontId="11" fillId="9" borderId="8" xfId="0" applyFont="1" applyFill="1" applyBorder="1" applyAlignment="1">
      <alignment horizontal="center" vertical="center"/>
    </xf>
    <xf numFmtId="0" fontId="11" fillId="9" borderId="1" xfId="0" applyFont="1" applyFill="1" applyBorder="1" applyAlignment="1">
      <alignment horizontal="center" vertical="center"/>
    </xf>
    <xf numFmtId="0" fontId="11" fillId="9" borderId="9" xfId="0" applyFont="1" applyFill="1" applyBorder="1" applyAlignment="1">
      <alignment horizontal="center" vertical="center"/>
    </xf>
    <xf numFmtId="0" fontId="11" fillId="9" borderId="10" xfId="0" applyFont="1" applyFill="1" applyBorder="1" applyAlignment="1">
      <alignment horizontal="center" vertical="center"/>
    </xf>
    <xf numFmtId="0" fontId="11" fillId="9" borderId="13" xfId="0" applyFont="1" applyFill="1" applyBorder="1" applyAlignment="1">
      <alignment horizontal="center" vertical="center"/>
    </xf>
    <xf numFmtId="0" fontId="11" fillId="9" borderId="11" xfId="0" applyFont="1" applyFill="1" applyBorder="1" applyAlignment="1">
      <alignment horizontal="center" vertical="center"/>
    </xf>
    <xf numFmtId="0" fontId="5" fillId="8" borderId="46" xfId="0" applyFont="1" applyFill="1" applyBorder="1" applyAlignment="1">
      <alignment horizontal="center"/>
    </xf>
    <xf numFmtId="0" fontId="5" fillId="8" borderId="52" xfId="0" applyFont="1" applyFill="1" applyBorder="1" applyAlignment="1">
      <alignment horizontal="center"/>
    </xf>
    <xf numFmtId="0" fontId="5" fillId="8" borderId="53" xfId="0" applyFont="1" applyFill="1" applyBorder="1" applyAlignment="1">
      <alignment horizontal="center"/>
    </xf>
    <xf numFmtId="0" fontId="3" fillId="4" borderId="46" xfId="3" applyFont="1" applyFill="1" applyBorder="1" applyAlignment="1">
      <alignment horizontal="center" vertical="center"/>
    </xf>
    <xf numFmtId="0" fontId="3" fillId="4" borderId="52" xfId="3" applyFont="1" applyFill="1" applyBorder="1" applyAlignment="1">
      <alignment horizontal="center" vertical="center"/>
    </xf>
    <xf numFmtId="0" fontId="3" fillId="4" borderId="53" xfId="3" applyFont="1" applyFill="1" applyBorder="1" applyAlignment="1">
      <alignment horizontal="center" vertical="center"/>
    </xf>
    <xf numFmtId="0" fontId="3" fillId="2" borderId="56" xfId="0" applyFont="1" applyFill="1"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65" xfId="0" applyBorder="1" applyAlignment="1">
      <alignment horizontal="center" vertical="center"/>
    </xf>
  </cellXfs>
  <cellStyles count="7">
    <cellStyle name="Comma" xfId="1" builtinId="3"/>
    <cellStyle name="Comma 2" xfId="4" xr:uid="{00000000-0005-0000-0000-000001000000}"/>
    <cellStyle name="Normal" xfId="0" builtinId="0"/>
    <cellStyle name="Normal 2" xfId="3" xr:uid="{00000000-0005-0000-0000-000003000000}"/>
    <cellStyle name="Normal 3" xfId="6" xr:uid="{00000000-0005-0000-0000-000004000000}"/>
    <cellStyle name="Percent" xfId="2" builtinId="5"/>
    <cellStyle name="Percent 2" xfId="5" xr:uid="{00000000-0005-0000-0000-000006000000}"/>
  </cellStyles>
  <dxfs count="11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7" formatCode="#,##0.00_);\(#,##0.00\)"/>
    </dxf>
    <dxf>
      <numFmt numFmtId="7" formatCode="#,##0.00_);\(#,##0.00\)"/>
    </dxf>
    <dxf>
      <font>
        <sz val="12"/>
      </font>
    </dxf>
    <dxf>
      <font>
        <name val="Verdana"/>
        <scheme val="none"/>
      </font>
    </dxf>
    <dxf>
      <font>
        <sz val="14"/>
      </font>
    </dxf>
    <dxf>
      <font>
        <name val="Verdana"/>
        <scheme val="none"/>
      </font>
    </dxf>
    <dxf>
      <font>
        <b/>
      </font>
    </dxf>
    <dxf>
      <alignment horizontal="center" readingOrder="0"/>
    </dxf>
    <dxf>
      <font>
        <b/>
      </font>
    </dxf>
    <dxf>
      <font>
        <sz val="14"/>
      </font>
    </dxf>
    <dxf>
      <alignment horizontal="center" readingOrder="0"/>
    </dxf>
    <dxf>
      <font>
        <b/>
      </font>
    </dxf>
    <dxf>
      <font>
        <name val="Verdana"/>
        <scheme val="none"/>
      </font>
    </dxf>
    <dxf>
      <numFmt numFmtId="173" formatCode="[$-3409]dddd\,\ mmmm\ dd\,\ yyyy;@"/>
    </dxf>
    <dxf>
      <numFmt numFmtId="173" formatCode="[$-3409]dddd\,\ mmmm\ dd\,\ yyyy;@"/>
    </dxf>
    <dxf>
      <numFmt numFmtId="173" formatCode="[$-3409]dddd\,\ mmmm\ dd\,\ yyyy;@"/>
    </dxf>
    <dxf>
      <alignment vertical="center" readingOrder="0"/>
    </dxf>
    <dxf>
      <alignment horizontal="right" readingOrder="0"/>
    </dxf>
    <dxf>
      <alignment horizontal="right" readingOrder="0"/>
    </dxf>
    <dxf>
      <font>
        <sz val="11"/>
      </font>
    </dxf>
    <dxf>
      <font>
        <sz val="11"/>
      </font>
    </dxf>
    <dxf>
      <font>
        <sz val="11"/>
      </font>
    </dxf>
    <dxf>
      <font>
        <sz val="11"/>
      </font>
    </dxf>
    <dxf>
      <font>
        <name val="Calibri"/>
        <scheme val="minor"/>
      </font>
    </dxf>
    <dxf>
      <font>
        <name val="Calibri"/>
        <scheme val="minor"/>
      </font>
    </dxf>
    <dxf>
      <font>
        <name val="Calibri"/>
        <scheme val="minor"/>
      </font>
    </dxf>
    <dxf>
      <font>
        <name val="Calibri"/>
        <scheme val="minor"/>
      </font>
    </dxf>
    <dxf>
      <fill>
        <patternFill patternType="none">
          <bgColor auto="1"/>
        </patternFill>
      </fill>
    </dxf>
    <dxf>
      <font>
        <b val="0"/>
      </font>
    </dxf>
    <dxf>
      <font>
        <b/>
      </font>
    </dxf>
    <dxf>
      <font>
        <b/>
      </font>
    </dxf>
    <dxf>
      <font>
        <color auto="1"/>
      </font>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7" formatCode="#,##0.00_);\(#,##0.00\)"/>
    </dxf>
    <dxf>
      <font>
        <b val="0"/>
      </font>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b/>
      </font>
    </dxf>
    <dxf>
      <font>
        <b/>
      </font>
    </dxf>
    <dxf>
      <alignment wrapText="0" readingOrder="0"/>
    </dxf>
    <dxf>
      <alignment wrapText="0" readingOrder="0"/>
    </dxf>
    <dxf>
      <alignment wrapText="0" readingOrder="0"/>
    </dxf>
    <dxf>
      <alignment wrapText="0" readingOrder="0"/>
    </dxf>
    <dxf>
      <alignment wrapText="0" readingOrder="0"/>
    </dxf>
    <dxf>
      <alignment wrapTex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alignment wrapText="1" readingOrder="0"/>
    </dxf>
    <dxf>
      <alignment wrapText="1" readingOrder="0"/>
    </dxf>
    <dxf>
      <alignment wrapText="1" readingOrder="0"/>
    </dxf>
    <dxf>
      <alignment wrapText="1" readingOrder="0"/>
    </dxf>
    <dxf>
      <alignment wrapText="1" readingOrder="0"/>
    </dxf>
    <dxf>
      <alignment wrapText="1" readingOrder="0"/>
    </dxf>
    <dxf>
      <font>
        <name val="Verdana"/>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font>
        <b/>
      </font>
    </dxf>
    <dxf>
      <font>
        <b/>
      </font>
    </dxf>
    <dxf>
      <font>
        <b/>
      </font>
    </dxf>
    <dxf>
      <alignment horizontal="center" readingOrder="0"/>
    </dxf>
    <dxf>
      <font>
        <name val="Verdana"/>
        <scheme val="none"/>
      </font>
    </dxf>
    <dxf>
      <fill>
        <patternFill patternType="none">
          <bgColor auto="1"/>
        </patternFill>
      </fill>
    </dxf>
    <dxf>
      <alignment horizontal="center" readingOrder="0"/>
    </dxf>
    <dxf>
      <alignment horizontal="center" readingOrder="0"/>
    </dxf>
    <dxf>
      <alignment horizontal="center" readingOrder="0"/>
    </dxf>
    <dxf>
      <numFmt numFmtId="7" formatCode="#,##0.00_);\(#,##0.00\)"/>
    </dxf>
    <dxf>
      <font>
        <b/>
      </font>
    </dxf>
    <dxf>
      <font>
        <b/>
      </font>
    </dxf>
    <dxf>
      <font>
        <color auto="1"/>
      </font>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7" formatCode="#,##0.00_);\(#,##0.00\)"/>
    </dxf>
    <dxf>
      <font>
        <b val="0"/>
      </font>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b/>
      </font>
    </dxf>
    <dxf>
      <font>
        <b/>
      </font>
    </dxf>
    <dxf>
      <alignment wrapText="0" readingOrder="0"/>
    </dxf>
    <dxf>
      <alignment wrapText="0" readingOrder="0"/>
    </dxf>
    <dxf>
      <alignment wrapText="0" readingOrder="0"/>
    </dxf>
    <dxf>
      <alignment wrapText="0" readingOrder="0"/>
    </dxf>
    <dxf>
      <alignment wrapText="0" readingOrder="0"/>
    </dxf>
    <dxf>
      <alignment wrapTex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alignment wrapText="1" readingOrder="0"/>
    </dxf>
    <dxf>
      <alignment wrapText="1" readingOrder="0"/>
    </dxf>
    <dxf>
      <alignment wrapText="1" readingOrder="0"/>
    </dxf>
    <dxf>
      <alignment wrapText="1" readingOrder="0"/>
    </dxf>
    <dxf>
      <alignment wrapText="1" readingOrder="0"/>
    </dxf>
    <dxf>
      <alignment wrapText="1" readingOrder="0"/>
    </dxf>
    <dxf>
      <font>
        <name val="Verdana"/>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font>
        <b/>
      </font>
    </dxf>
    <dxf>
      <font>
        <b/>
      </font>
    </dxf>
    <dxf>
      <font>
        <b/>
      </font>
    </dxf>
    <dxf>
      <alignment horizontal="center" readingOrder="0"/>
    </dxf>
    <dxf>
      <font>
        <name val="Verdana"/>
        <scheme val="none"/>
      </font>
    </dxf>
    <dxf>
      <fill>
        <patternFill patternType="none">
          <bgColor auto="1"/>
        </patternFill>
      </fill>
    </dxf>
    <dxf>
      <alignment horizontal="center" readingOrder="0"/>
    </dxf>
    <dxf>
      <alignment horizontal="center" readingOrder="0"/>
    </dxf>
    <dxf>
      <font>
        <b/>
      </font>
    </dxf>
    <dxf>
      <font>
        <b/>
      </font>
    </dxf>
    <dxf>
      <font>
        <color auto="1"/>
      </font>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7" formatCode="#,##0.00_);\(#,##0.00\)"/>
    </dxf>
    <dxf>
      <font>
        <b val="0"/>
      </font>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b/>
      </font>
    </dxf>
    <dxf>
      <font>
        <b/>
      </font>
    </dxf>
    <dxf>
      <alignment wrapText="0" readingOrder="0"/>
    </dxf>
    <dxf>
      <alignment wrapText="0" readingOrder="0"/>
    </dxf>
    <dxf>
      <alignment wrapText="0" readingOrder="0"/>
    </dxf>
    <dxf>
      <alignment wrapText="0" readingOrder="0"/>
    </dxf>
    <dxf>
      <alignment wrapText="0" readingOrder="0"/>
    </dxf>
    <dxf>
      <alignment wrapTex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alignment wrapText="1" readingOrder="0"/>
    </dxf>
    <dxf>
      <alignment wrapText="1" readingOrder="0"/>
    </dxf>
    <dxf>
      <alignment wrapText="1" readingOrder="0"/>
    </dxf>
    <dxf>
      <alignment wrapText="1" readingOrder="0"/>
    </dxf>
    <dxf>
      <alignment wrapText="1" readingOrder="0"/>
    </dxf>
    <dxf>
      <alignment wrapText="1" readingOrder="0"/>
    </dxf>
    <dxf>
      <font>
        <name val="Verdana"/>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font>
        <b/>
      </font>
    </dxf>
    <dxf>
      <font>
        <b/>
      </font>
    </dxf>
    <dxf>
      <font>
        <b/>
      </font>
    </dxf>
    <dxf>
      <alignment horizontal="center" readingOrder="0"/>
    </dxf>
    <dxf>
      <font>
        <name val="Verdana"/>
        <scheme val="none"/>
      </font>
    </dxf>
    <dxf>
      <fill>
        <patternFill patternType="none">
          <bgColor auto="1"/>
        </patternFill>
      </fill>
    </dxf>
    <dxf>
      <alignment horizontal="center" readingOrder="0"/>
    </dxf>
    <dxf>
      <alignment horizontal="center" readingOrder="0"/>
    </dxf>
    <dxf>
      <alignment horizontal="center" readingOrder="0"/>
    </dxf>
    <dxf>
      <font>
        <b/>
      </font>
    </dxf>
    <dxf>
      <alignment horizontal="center" readingOrder="0"/>
    </dxf>
    <dxf>
      <alignment horizontal="center" readingOrder="0"/>
    </dxf>
    <dxf>
      <numFmt numFmtId="7" formatCode="#,##0.00_);\(#,##0.00\)"/>
    </dxf>
    <dxf>
      <font>
        <b/>
      </font>
    </dxf>
    <dxf>
      <font>
        <b/>
      </font>
    </dxf>
    <dxf>
      <font>
        <color auto="1"/>
      </font>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7" formatCode="#,##0.00_);\(#,##0.00\)"/>
    </dxf>
    <dxf>
      <font>
        <b val="0"/>
      </font>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b/>
      </font>
    </dxf>
    <dxf>
      <font>
        <b/>
      </font>
    </dxf>
    <dxf>
      <alignment wrapText="0" readingOrder="0"/>
    </dxf>
    <dxf>
      <alignment wrapText="0" readingOrder="0"/>
    </dxf>
    <dxf>
      <alignment wrapText="0" readingOrder="0"/>
    </dxf>
    <dxf>
      <alignment wrapText="0" readingOrder="0"/>
    </dxf>
    <dxf>
      <alignment wrapText="0" readingOrder="0"/>
    </dxf>
    <dxf>
      <alignment wrapTex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alignment wrapText="1" readingOrder="0"/>
    </dxf>
    <dxf>
      <alignment wrapText="1" readingOrder="0"/>
    </dxf>
    <dxf>
      <alignment wrapText="1" readingOrder="0"/>
    </dxf>
    <dxf>
      <alignment wrapText="1" readingOrder="0"/>
    </dxf>
    <dxf>
      <alignment wrapText="1" readingOrder="0"/>
    </dxf>
    <dxf>
      <alignment wrapText="1" readingOrder="0"/>
    </dxf>
    <dxf>
      <font>
        <name val="Verdana"/>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font>
        <b/>
      </font>
    </dxf>
    <dxf>
      <font>
        <b/>
      </font>
    </dxf>
    <dxf>
      <font>
        <b/>
      </font>
    </dxf>
    <dxf>
      <alignment horizontal="center" readingOrder="0"/>
    </dxf>
    <dxf>
      <font>
        <name val="Verdana"/>
        <scheme val="none"/>
      </font>
    </dxf>
    <dxf>
      <fill>
        <patternFill patternType="none">
          <bgColor auto="1"/>
        </patternFill>
      </fill>
    </dxf>
    <dxf>
      <alignment horizontal="center" readingOrder="0"/>
    </dxf>
    <dxf>
      <alignment horizontal="center" readingOrder="0"/>
    </dxf>
    <dxf>
      <font>
        <b/>
      </font>
    </dxf>
    <dxf>
      <font>
        <b/>
      </font>
    </dxf>
    <dxf>
      <font>
        <color auto="1"/>
      </font>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7" formatCode="#,##0.00_);\(#,##0.00\)"/>
    </dxf>
    <dxf>
      <font>
        <b val="0"/>
      </font>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b/>
      </font>
    </dxf>
    <dxf>
      <font>
        <b/>
      </font>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b/>
      </font>
    </dxf>
    <dxf>
      <font>
        <b/>
      </font>
    </dxf>
    <dxf>
      <alignment wrapText="0" readingOrder="0"/>
    </dxf>
    <dxf>
      <alignment wrapText="0" readingOrder="0"/>
    </dxf>
    <dxf>
      <alignment wrapText="0" readingOrder="0"/>
    </dxf>
    <dxf>
      <alignment wrapText="0" readingOrder="0"/>
    </dxf>
    <dxf>
      <alignment wrapText="0" readingOrder="0"/>
    </dxf>
    <dxf>
      <alignment wrapText="0"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b/>
      </font>
    </dxf>
    <dxf>
      <alignment wrapText="1" readingOrder="0"/>
    </dxf>
    <dxf>
      <alignment wrapText="1" readingOrder="0"/>
    </dxf>
    <dxf>
      <alignment wrapText="1" readingOrder="0"/>
    </dxf>
    <dxf>
      <alignment wrapText="1" readingOrder="0"/>
    </dxf>
    <dxf>
      <alignment wrapText="1" readingOrder="0"/>
    </dxf>
    <dxf>
      <alignment wrapText="1" readingOrder="0"/>
    </dxf>
    <dxf>
      <font>
        <name val="Verdana"/>
        <scheme val="none"/>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font>
        <b/>
      </font>
    </dxf>
    <dxf>
      <font>
        <b/>
      </font>
    </dxf>
    <dxf>
      <font>
        <b/>
      </font>
    </dxf>
    <dxf>
      <font>
        <b/>
      </font>
    </dxf>
    <dxf>
      <font>
        <b/>
      </font>
    </dxf>
    <dxf>
      <font>
        <name val="Verdana"/>
        <scheme val="none"/>
      </font>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horizontal="center" readingOrder="0"/>
    </dxf>
    <dxf>
      <alignment horizontal="center" readingOrder="0"/>
    </dxf>
    <dxf>
      <alignment horizontal="center" readingOrder="0"/>
    </dxf>
    <dxf>
      <font>
        <b/>
      </font>
    </dxf>
    <dxf>
      <font>
        <b/>
      </font>
    </dxf>
    <dxf>
      <font>
        <b/>
      </font>
    </dxf>
    <dxf>
      <alignment horizontal="center" readingOrder="0"/>
    </dxf>
    <dxf>
      <font>
        <name val="Verdana"/>
        <scheme val="none"/>
      </font>
    </dxf>
    <dxf>
      <fill>
        <patternFill patternType="none">
          <bgColor auto="1"/>
        </patternFill>
      </fill>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[Oil Costingv2 (2).xlsx]Graph!PivotTable1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s>
    <c:plotArea>
      <c:layout/>
      <c:lineChart>
        <c:grouping val="standard"/>
        <c:varyColors val="0"/>
        <c:ser>
          <c:idx val="0"/>
          <c:order val="0"/>
          <c:tx>
            <c:strRef>
              <c:f>Graph!$B$1:$B$2</c:f>
              <c:strCache>
                <c:ptCount val="1"/>
                <c:pt idx="0">
                  <c:v>Sum of FOREX</c:v>
                </c:pt>
              </c:strCache>
            </c:strRef>
          </c:tx>
          <c:cat>
            <c:strRef>
              <c:f>Graph!$A$3:$A$6</c:f>
              <c:strCache>
                <c:ptCount val="4"/>
                <c:pt idx="0">
                  <c:v>08/23/2023</c:v>
                </c:pt>
                <c:pt idx="1">
                  <c:v>10/03/2023</c:v>
                </c:pt>
                <c:pt idx="2">
                  <c:v>10/18/2023</c:v>
                </c:pt>
                <c:pt idx="3">
                  <c:v>12/19/2023</c:v>
                </c:pt>
              </c:strCache>
            </c:strRef>
          </c:cat>
          <c:val>
            <c:numRef>
              <c:f>Graph!$B$3:$B$6</c:f>
              <c:numCache>
                <c:formatCode>0.000</c:formatCode>
                <c:ptCount val="4"/>
                <c:pt idx="0">
                  <c:v>56.808</c:v>
                </c:pt>
                <c:pt idx="1">
                  <c:v>56.954999999999998</c:v>
                </c:pt>
                <c:pt idx="2">
                  <c:v>55.918999999999997</c:v>
                </c:pt>
                <c:pt idx="3">
                  <c:v>55.619</c:v>
                </c:pt>
              </c:numCache>
            </c:numRef>
          </c:val>
          <c:smooth val="0"/>
          <c:extLst>
            <c:ext xmlns:c16="http://schemas.microsoft.com/office/drawing/2014/chart" uri="{C3380CC4-5D6E-409C-BE32-E72D297353CC}">
              <c16:uniqueId val="{00000000-DD35-4BC2-8AE4-47ED6C285E00}"/>
            </c:ext>
          </c:extLst>
        </c:ser>
        <c:ser>
          <c:idx val="1"/>
          <c:order val="1"/>
          <c:tx>
            <c:strRef>
              <c:f>Graph!$C$1:$C$2</c:f>
              <c:strCache>
                <c:ptCount val="1"/>
                <c:pt idx="0">
                  <c:v>Sum of PER KG</c:v>
                </c:pt>
              </c:strCache>
            </c:strRef>
          </c:tx>
          <c:cat>
            <c:strRef>
              <c:f>Graph!$A$3:$A$6</c:f>
              <c:strCache>
                <c:ptCount val="4"/>
                <c:pt idx="0">
                  <c:v>08/23/2023</c:v>
                </c:pt>
                <c:pt idx="1">
                  <c:v>10/03/2023</c:v>
                </c:pt>
                <c:pt idx="2">
                  <c:v>10/18/2023</c:v>
                </c:pt>
                <c:pt idx="3">
                  <c:v>12/19/2023</c:v>
                </c:pt>
              </c:strCache>
            </c:strRef>
          </c:cat>
          <c:val>
            <c:numRef>
              <c:f>Graph!$C$3:$C$6</c:f>
              <c:numCache>
                <c:formatCode>0.000</c:formatCode>
                <c:ptCount val="4"/>
                <c:pt idx="0">
                  <c:v>1.1200000000000001</c:v>
                </c:pt>
                <c:pt idx="1">
                  <c:v>0.97499999999999998</c:v>
                </c:pt>
                <c:pt idx="2">
                  <c:v>1.093</c:v>
                </c:pt>
                <c:pt idx="3">
                  <c:v>1.02</c:v>
                </c:pt>
              </c:numCache>
            </c:numRef>
          </c:val>
          <c:smooth val="0"/>
          <c:extLst>
            <c:ext xmlns:c16="http://schemas.microsoft.com/office/drawing/2014/chart" uri="{C3380CC4-5D6E-409C-BE32-E72D297353CC}">
              <c16:uniqueId val="{00000001-DD35-4BC2-8AE4-47ED6C285E00}"/>
            </c:ext>
          </c:extLst>
        </c:ser>
        <c:ser>
          <c:idx val="2"/>
          <c:order val="2"/>
          <c:tx>
            <c:strRef>
              <c:f>Graph!$D$1:$D$2</c:f>
              <c:strCache>
                <c:ptCount val="1"/>
                <c:pt idx="0">
                  <c:v>Sum of PER KGPhp</c:v>
                </c:pt>
              </c:strCache>
            </c:strRef>
          </c:tx>
          <c:cat>
            <c:strRef>
              <c:f>Graph!$A$3:$A$6</c:f>
              <c:strCache>
                <c:ptCount val="4"/>
                <c:pt idx="0">
                  <c:v>08/23/2023</c:v>
                </c:pt>
                <c:pt idx="1">
                  <c:v>10/03/2023</c:v>
                </c:pt>
                <c:pt idx="2">
                  <c:v>10/18/2023</c:v>
                </c:pt>
                <c:pt idx="3">
                  <c:v>12/19/2023</c:v>
                </c:pt>
              </c:strCache>
            </c:strRef>
          </c:cat>
          <c:val>
            <c:numRef>
              <c:f>Graph!$D$3:$D$6</c:f>
              <c:numCache>
                <c:formatCode>0.000</c:formatCode>
                <c:ptCount val="4"/>
                <c:pt idx="0">
                  <c:v>63.624960000000009</c:v>
                </c:pt>
                <c:pt idx="1">
                  <c:v>55.531124999999996</c:v>
                </c:pt>
                <c:pt idx="2">
                  <c:v>61.119466999999993</c:v>
                </c:pt>
                <c:pt idx="3">
                  <c:v>56.731380000000001</c:v>
                </c:pt>
              </c:numCache>
            </c:numRef>
          </c:val>
          <c:smooth val="0"/>
          <c:extLst>
            <c:ext xmlns:c16="http://schemas.microsoft.com/office/drawing/2014/chart" uri="{C3380CC4-5D6E-409C-BE32-E72D297353CC}">
              <c16:uniqueId val="{00000002-DD35-4BC2-8AE4-47ED6C285E00}"/>
            </c:ext>
          </c:extLst>
        </c:ser>
        <c:dLbls>
          <c:showLegendKey val="0"/>
          <c:showVal val="0"/>
          <c:showCatName val="0"/>
          <c:showSerName val="0"/>
          <c:showPercent val="0"/>
          <c:showBubbleSize val="0"/>
        </c:dLbls>
        <c:marker val="1"/>
        <c:smooth val="0"/>
        <c:axId val="152507136"/>
        <c:axId val="152508672"/>
      </c:lineChart>
      <c:catAx>
        <c:axId val="152507136"/>
        <c:scaling>
          <c:orientation val="minMax"/>
        </c:scaling>
        <c:delete val="0"/>
        <c:axPos val="b"/>
        <c:numFmt formatCode="General" sourceLinked="0"/>
        <c:majorTickMark val="out"/>
        <c:minorTickMark val="none"/>
        <c:tickLblPos val="nextTo"/>
        <c:crossAx val="152508672"/>
        <c:crosses val="autoZero"/>
        <c:auto val="1"/>
        <c:lblAlgn val="ctr"/>
        <c:lblOffset val="100"/>
        <c:noMultiLvlLbl val="0"/>
      </c:catAx>
      <c:valAx>
        <c:axId val="152508672"/>
        <c:scaling>
          <c:orientation val="minMax"/>
        </c:scaling>
        <c:delete val="0"/>
        <c:axPos val="l"/>
        <c:majorGridlines/>
        <c:numFmt formatCode="0.000" sourceLinked="1"/>
        <c:majorTickMark val="out"/>
        <c:minorTickMark val="none"/>
        <c:tickLblPos val="nextTo"/>
        <c:crossAx val="1525071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trlProps/ctrlProp1.xml><?xml version="1.0" encoding="utf-8"?>
<formControlPr xmlns="http://schemas.microsoft.com/office/spreadsheetml/2009/9/main" objectType="CheckBox" fmlaLink="$E$7" lockText="1" noThreeD="1"/>
</file>

<file path=xl/ctrlProps/ctrlProp2.xml><?xml version="1.0" encoding="utf-8"?>
<formControlPr xmlns="http://schemas.microsoft.com/office/spreadsheetml/2009/9/main" objectType="CheckBox" fmlaLink="$E$8" lockText="1" noThreeD="1"/>
</file>

<file path=xl/ctrlProps/ctrlProp3.xml><?xml version="1.0" encoding="utf-8"?>
<formControlPr xmlns="http://schemas.microsoft.com/office/spreadsheetml/2009/9/main" objectType="CheckBox" fmlaLink="$E$9" lockText="1" noThreeD="1"/>
</file>

<file path=xl/ctrlProps/ctrlProp4.xml><?xml version="1.0" encoding="utf-8"?>
<formControlPr xmlns="http://schemas.microsoft.com/office/spreadsheetml/2009/9/main" objectType="CheckBox" fmlaLink="$E$10" lockText="1" noThreeD="1"/>
</file>

<file path=xl/ctrlProps/ctrlProp5.xml><?xml version="1.0" encoding="utf-8"?>
<formControlPr xmlns="http://schemas.microsoft.com/office/spreadsheetml/2009/9/main" objectType="CheckBox" fmlaLink="$E$11" lockText="1" noThreeD="1"/>
</file>

<file path=xl/ctrlProps/ctrlProp6.xml><?xml version="1.0" encoding="utf-8"?>
<formControlPr xmlns="http://schemas.microsoft.com/office/spreadsheetml/2009/9/main" objectType="CheckBox" fmlaLink="$E$12" lockText="1" noThreeD="1"/>
</file>

<file path=xl/ctrlProps/ctrlProp7.xml><?xml version="1.0" encoding="utf-8"?>
<formControlPr xmlns="http://schemas.microsoft.com/office/spreadsheetml/2009/9/main" objectType="CheckBox" fmlaLink="$E$13" lockText="1" noThreeD="1"/>
</file>

<file path=xl/ctrlProps/ctrlProp8.xml><?xml version="1.0" encoding="utf-8"?>
<formControlPr xmlns="http://schemas.microsoft.com/office/spreadsheetml/2009/9/main" objectType="CheckBox" fmlaLink="$E$14" lockText="1" noThreeD="1"/>
</file>

<file path=xl/ctrlProps/ctrlProp9.xml><?xml version="1.0" encoding="utf-8"?>
<formControlPr xmlns="http://schemas.microsoft.com/office/spreadsheetml/2009/9/main" objectType="CheckBox" fmlaLink="$E$15" lockText="1" noThreeD="1"/>
</file>

<file path=xl/ctrlProps/ctrlProp10.xml><?xml version="1.0" encoding="utf-8"?>
<formControlPr xmlns="http://schemas.microsoft.com/office/spreadsheetml/2009/9/main" objectType="CheckBox" fmlaLink="$E$16" lockText="1" noThreeD="1"/>
</file>

<file path=xl/ctrlProps/ctrlProp11.xml><?xml version="1.0" encoding="utf-8"?>
<formControlPr xmlns="http://schemas.microsoft.com/office/spreadsheetml/2009/9/main" objectType="CheckBox" fmlaLink="$E$17" lockText="1" noThreeD="1"/>
</file>

<file path=xl/ctrlProps/ctrlProp12.xml><?xml version="1.0" encoding="utf-8"?>
<formControlPr xmlns="http://schemas.microsoft.com/office/spreadsheetml/2009/9/main" objectType="CheckBox" fmlaLink="$E$18" lockText="1" noThreeD="1"/>
</file>

<file path=xl/ctrlProps/ctrlProp13.xml><?xml version="1.0" encoding="utf-8"?>
<formControlPr xmlns="http://schemas.microsoft.com/office/spreadsheetml/2009/9/main" objectType="CheckBox" fmlaLink="$E$19" lockText="1" noThreeD="1"/>
</file>

<file path=xl/ctrlProps/ctrlProp14.xml><?xml version="1.0" encoding="utf-8"?>
<formControlPr xmlns="http://schemas.microsoft.com/office/spreadsheetml/2009/9/main" objectType="CheckBox" fmlaLink="$E$20" lockText="1" noThreeD="1"/>
</file>

<file path=xl/ctrlProps/ctrlProp15.xml><?xml version="1.0" encoding="utf-8"?>
<formControlPr xmlns="http://schemas.microsoft.com/office/spreadsheetml/2009/9/main" objectType="CheckBox" fmlaLink="$E$21" lockText="1" noThreeD="1"/>
</file>

<file path=xl/ctrlProps/ctrlProp16.xml><?xml version="1.0" encoding="utf-8"?>
<formControlPr xmlns="http://schemas.microsoft.com/office/spreadsheetml/2009/9/main" objectType="CheckBox" fmlaLink="$E$22" lockText="1" noThreeD="1"/>
</file>

<file path=xl/ctrlProps/ctrlProp17.xml><?xml version="1.0" encoding="utf-8"?>
<formControlPr xmlns="http://schemas.microsoft.com/office/spreadsheetml/2009/9/main" objectType="CheckBox" fmlaLink="$E$23" lockText="1" noThreeD="1"/>
</file>

<file path=xl/ctrlProps/ctrlProp18.xml><?xml version="1.0" encoding="utf-8"?>
<formControlPr xmlns="http://schemas.microsoft.com/office/spreadsheetml/2009/9/main" objectType="CheckBox" fmlaLink="$E$24" lockText="1" noThreeD="1"/>
</file>

<file path=xl/ctrlProps/ctrlProp19.xml><?xml version="1.0" encoding="utf-8"?>
<formControlPr xmlns="http://schemas.microsoft.com/office/spreadsheetml/2009/9/main" objectType="CheckBox" fmlaLink="$E$25" lockText="1" noThreeD="1"/>
</file>

<file path=xl/ctrlProps/ctrlProp20.xml><?xml version="1.0" encoding="utf-8"?>
<formControlPr xmlns="http://schemas.microsoft.com/office/spreadsheetml/2009/9/main" objectType="CheckBox" fmlaLink="$E$26" lockText="1" noThreeD="1"/>
</file>

<file path=xl/ctrlProps/ctrlProp21.xml><?xml version="1.0" encoding="utf-8"?>
<formControlPr xmlns="http://schemas.microsoft.com/office/spreadsheetml/2009/9/main" objectType="CheckBox" fmlaLink="$E$27" lockText="1" noThreeD="1"/>
</file>

<file path=xl/ctrlProps/ctrlProp22.xml><?xml version="1.0" encoding="utf-8"?>
<formControlPr xmlns="http://schemas.microsoft.com/office/spreadsheetml/2009/9/main" objectType="CheckBox" fmlaLink="$E$28" lockText="1" noThreeD="1"/>
</file>

<file path=xl/ctrlProps/ctrlProp23.xml><?xml version="1.0" encoding="utf-8"?>
<formControlPr xmlns="http://schemas.microsoft.com/office/spreadsheetml/2009/9/main" objectType="CheckBox" fmlaLink="$E$29" lockText="1" noThreeD="1"/>
</file>

<file path=xl/ctrlProps/ctrlProp24.xml><?xml version="1.0" encoding="utf-8"?>
<formControlPr xmlns="http://schemas.microsoft.com/office/spreadsheetml/2009/9/main" objectType="CheckBox" fmlaLink="$E$30" lockText="1" noThreeD="1"/>
</file>

<file path=xl/ctrlProps/ctrlProp25.xml><?xml version="1.0" encoding="utf-8"?>
<formControlPr xmlns="http://schemas.microsoft.com/office/spreadsheetml/2009/9/main" objectType="CheckBox" fmlaLink="$E$31" lockText="1" noThreeD="1"/>
</file>

<file path=xl/ctrlProps/ctrlProp26.xml><?xml version="1.0" encoding="utf-8"?>
<formControlPr xmlns="http://schemas.microsoft.com/office/spreadsheetml/2009/9/main" objectType="CheckBox" fmlaLink="$E$32" lockText="1" noThreeD="1"/>
</file>

<file path=xl/ctrlProps/ctrlProp27.xml><?xml version="1.0" encoding="utf-8"?>
<formControlPr xmlns="http://schemas.microsoft.com/office/spreadsheetml/2009/9/main" objectType="CheckBox" fmlaLink="$E$33" lockText="1" noThreeD="1"/>
</file>

<file path=xl/ctrlProps/ctrlProp28.xml><?xml version="1.0" encoding="utf-8"?>
<formControlPr xmlns="http://schemas.microsoft.com/office/spreadsheetml/2009/9/main" objectType="CheckBox" checked="Checked" fmlaLink="$E$34" lockText="1" noThreeD="1"/>
</file>

<file path=xl/ctrlProps/ctrlProp29.xml><?xml version="1.0" encoding="utf-8"?>
<formControlPr xmlns="http://schemas.microsoft.com/office/spreadsheetml/2009/9/main" objectType="CheckBox" checked="Checked" fmlaLink="$E$35" lockText="1" noThreeD="1"/>
</file>

<file path=xl/ctrlProps/ctrlProp30.xml><?xml version="1.0" encoding="utf-8"?>
<formControlPr xmlns="http://schemas.microsoft.com/office/spreadsheetml/2009/9/main" objectType="CheckBox" fmlaLink="$E$36" lockText="1" noThreeD="1"/>
</file>

<file path=xl/ctrlProps/ctrlProp31.xml><?xml version="1.0" encoding="utf-8"?>
<formControlPr xmlns="http://schemas.microsoft.com/office/spreadsheetml/2009/9/main" objectType="CheckBox" fmlaLink="$E$37" lockText="1" noThreeD="1"/>
</file>

<file path=xl/ctrlProps/ctrlProp32.xml><?xml version="1.0" encoding="utf-8"?>
<formControlPr xmlns="http://schemas.microsoft.com/office/spreadsheetml/2009/9/main" objectType="CheckBox" fmlaLink="$E$38" lockText="1" noThreeD="1"/>
</file>

<file path=xl/ctrlProps/ctrlProp33.xml><?xml version="1.0" encoding="utf-8"?>
<formControlPr xmlns="http://schemas.microsoft.com/office/spreadsheetml/2009/9/main" objectType="CheckBox" fmlaLink="$E$39" lockText="1" noThreeD="1"/>
</file>

<file path=xl/ctrlProps/ctrlProp34.xml><?xml version="1.0" encoding="utf-8"?>
<formControlPr xmlns="http://schemas.microsoft.com/office/spreadsheetml/2009/9/main" objectType="CheckBox" fmlaLink="$E$40" lockText="1" noThreeD="1"/>
</file>

<file path=xl/ctrlProps/ctrlProp35.xml><?xml version="1.0" encoding="utf-8"?>
<formControlPr xmlns="http://schemas.microsoft.com/office/spreadsheetml/2009/9/main" objectType="CheckBox" fmlaLink="$E$41" lockText="1" noThreeD="1"/>
</file>

<file path=xl/ctrlProps/ctrlProp36.xml><?xml version="1.0" encoding="utf-8"?>
<formControlPr xmlns="http://schemas.microsoft.com/office/spreadsheetml/2009/9/main" objectType="CheckBox" fmlaLink="$E$42" lockText="1" noThreeD="1"/>
</file>

<file path=xl/ctrlProps/ctrlProp37.xml><?xml version="1.0" encoding="utf-8"?>
<formControlPr xmlns="http://schemas.microsoft.com/office/spreadsheetml/2009/9/main" objectType="CheckBox" fmlaLink="$E$43" lockText="1" noThreeD="1"/>
</file>

<file path=xl/ctrlProps/ctrlProp38.xml><?xml version="1.0" encoding="utf-8"?>
<formControlPr xmlns="http://schemas.microsoft.com/office/spreadsheetml/2009/9/main" objectType="CheckBox" fmlaLink="$E$44" lockText="1" noThreeD="1"/>
</file>

<file path=xl/ctrlProps/ctrlProp39.xml><?xml version="1.0" encoding="utf-8"?>
<formControlPr xmlns="http://schemas.microsoft.com/office/spreadsheetml/2009/9/main" objectType="CheckBox" fmlaLink="$E$45" lockText="1" noThreeD="1"/>
</file>

<file path=xl/ctrlProps/ctrlProp40.xml><?xml version="1.0" encoding="utf-8"?>
<formControlPr xmlns="http://schemas.microsoft.com/office/spreadsheetml/2009/9/main" objectType="CheckBox" fmlaLink="$E$46" lockText="1" noThreeD="1"/>
</file>

<file path=xl/ctrlProps/ctrlProp41.xml><?xml version="1.0" encoding="utf-8"?>
<formControlPr xmlns="http://schemas.microsoft.com/office/spreadsheetml/2009/9/main" objectType="CheckBox" fmlaLink="$E$47" lockText="1" noThreeD="1"/>
</file>

<file path=xl/ctrlProps/ctrlProp42.xml><?xml version="1.0" encoding="utf-8"?>
<formControlPr xmlns="http://schemas.microsoft.com/office/spreadsheetml/2009/9/main" objectType="CheckBox" fmlaLink="$E$48" lockText="1" noThreeD="1"/>
</file>

<file path=xl/ctrlProps/ctrlProp43.xml><?xml version="1.0" encoding="utf-8"?>
<formControlPr xmlns="http://schemas.microsoft.com/office/spreadsheetml/2009/9/main" objectType="CheckBox" fmlaLink="$E$49" lockText="1" noThreeD="1"/>
</file>

<file path=xl/ctrlProps/ctrlProp44.xml><?xml version="1.0" encoding="utf-8"?>
<formControlPr xmlns="http://schemas.microsoft.com/office/spreadsheetml/2009/9/main" objectType="CheckBox" fmlaLink="$E$7" lockText="1" noThreeD="1"/>
</file>

<file path=xl/ctrlProps/ctrlProp45.xml><?xml version="1.0" encoding="utf-8"?>
<formControlPr xmlns="http://schemas.microsoft.com/office/spreadsheetml/2009/9/main" objectType="CheckBox" fmlaLink="$E$8" lockText="1" noThreeD="1"/>
</file>

<file path=xl/ctrlProps/ctrlProp46.xml><?xml version="1.0" encoding="utf-8"?>
<formControlPr xmlns="http://schemas.microsoft.com/office/spreadsheetml/2009/9/main" objectType="CheckBox" fmlaLink="$E$9" lockText="1" noThreeD="1"/>
</file>

<file path=xl/ctrlProps/ctrlProp47.xml><?xml version="1.0" encoding="utf-8"?>
<formControlPr xmlns="http://schemas.microsoft.com/office/spreadsheetml/2009/9/main" objectType="CheckBox" fmlaLink="$E$10" lockText="1" noThreeD="1"/>
</file>

<file path=xl/ctrlProps/ctrlProp48.xml><?xml version="1.0" encoding="utf-8"?>
<formControlPr xmlns="http://schemas.microsoft.com/office/spreadsheetml/2009/9/main" objectType="CheckBox" fmlaLink="$E$11" lockText="1" noThreeD="1"/>
</file>

<file path=xl/ctrlProps/ctrlProp49.xml><?xml version="1.0" encoding="utf-8"?>
<formControlPr xmlns="http://schemas.microsoft.com/office/spreadsheetml/2009/9/main" objectType="CheckBox" fmlaLink="$E$12" lockText="1" noThreeD="1"/>
</file>

<file path=xl/ctrlProps/ctrlProp50.xml><?xml version="1.0" encoding="utf-8"?>
<formControlPr xmlns="http://schemas.microsoft.com/office/spreadsheetml/2009/9/main" objectType="CheckBox" fmlaLink="$E$13" lockText="1" noThreeD="1"/>
</file>

<file path=xl/ctrlProps/ctrlProp51.xml><?xml version="1.0" encoding="utf-8"?>
<formControlPr xmlns="http://schemas.microsoft.com/office/spreadsheetml/2009/9/main" objectType="CheckBox" fmlaLink="$E$14" lockText="1" noThreeD="1"/>
</file>

<file path=xl/ctrlProps/ctrlProp52.xml><?xml version="1.0" encoding="utf-8"?>
<formControlPr xmlns="http://schemas.microsoft.com/office/spreadsheetml/2009/9/main" objectType="CheckBox" fmlaLink="$E$15" lockText="1" noThreeD="1"/>
</file>

<file path=xl/ctrlProps/ctrlProp53.xml><?xml version="1.0" encoding="utf-8"?>
<formControlPr xmlns="http://schemas.microsoft.com/office/spreadsheetml/2009/9/main" objectType="CheckBox" fmlaLink="$E$16" lockText="1" noThreeD="1"/>
</file>

<file path=xl/ctrlProps/ctrlProp54.xml><?xml version="1.0" encoding="utf-8"?>
<formControlPr xmlns="http://schemas.microsoft.com/office/spreadsheetml/2009/9/main" objectType="CheckBox" fmlaLink="$E$17" lockText="1" noThreeD="1"/>
</file>

<file path=xl/ctrlProps/ctrlProp55.xml><?xml version="1.0" encoding="utf-8"?>
<formControlPr xmlns="http://schemas.microsoft.com/office/spreadsheetml/2009/9/main" objectType="CheckBox" fmlaLink="$E$18" lockText="1" noThreeD="1"/>
</file>

<file path=xl/ctrlProps/ctrlProp56.xml><?xml version="1.0" encoding="utf-8"?>
<formControlPr xmlns="http://schemas.microsoft.com/office/spreadsheetml/2009/9/main" objectType="CheckBox" fmlaLink="$E$19" lockText="1" noThreeD="1"/>
</file>

<file path=xl/ctrlProps/ctrlProp57.xml><?xml version="1.0" encoding="utf-8"?>
<formControlPr xmlns="http://schemas.microsoft.com/office/spreadsheetml/2009/9/main" objectType="CheckBox" fmlaLink="$E$20" lockText="1" noThreeD="1"/>
</file>

<file path=xl/ctrlProps/ctrlProp58.xml><?xml version="1.0" encoding="utf-8"?>
<formControlPr xmlns="http://schemas.microsoft.com/office/spreadsheetml/2009/9/main" objectType="CheckBox" fmlaLink="$E$21" lockText="1" noThreeD="1"/>
</file>

<file path=xl/ctrlProps/ctrlProp59.xml><?xml version="1.0" encoding="utf-8"?>
<formControlPr xmlns="http://schemas.microsoft.com/office/spreadsheetml/2009/9/main" objectType="CheckBox" fmlaLink="$E$22" lockText="1" noThreeD="1"/>
</file>

<file path=xl/ctrlProps/ctrlProp60.xml><?xml version="1.0" encoding="utf-8"?>
<formControlPr xmlns="http://schemas.microsoft.com/office/spreadsheetml/2009/9/main" objectType="CheckBox" fmlaLink="$E$23" lockText="1" noThreeD="1"/>
</file>

<file path=xl/ctrlProps/ctrlProp61.xml><?xml version="1.0" encoding="utf-8"?>
<formControlPr xmlns="http://schemas.microsoft.com/office/spreadsheetml/2009/9/main" objectType="CheckBox" fmlaLink="$E$24" lockText="1" noThreeD="1"/>
</file>

<file path=xl/ctrlProps/ctrlProp62.xml><?xml version="1.0" encoding="utf-8"?>
<formControlPr xmlns="http://schemas.microsoft.com/office/spreadsheetml/2009/9/main" objectType="CheckBox" fmlaLink="$E$25" lockText="1" noThreeD="1"/>
</file>

<file path=xl/ctrlProps/ctrlProp63.xml><?xml version="1.0" encoding="utf-8"?>
<formControlPr xmlns="http://schemas.microsoft.com/office/spreadsheetml/2009/9/main" objectType="CheckBox" fmlaLink="$E$26" lockText="1" noThreeD="1"/>
</file>

<file path=xl/ctrlProps/ctrlProp64.xml><?xml version="1.0" encoding="utf-8"?>
<formControlPr xmlns="http://schemas.microsoft.com/office/spreadsheetml/2009/9/main" objectType="CheckBox" fmlaLink="$E$27" lockText="1" noThreeD="1"/>
</file>

<file path=xl/ctrlProps/ctrlProp65.xml><?xml version="1.0" encoding="utf-8"?>
<formControlPr xmlns="http://schemas.microsoft.com/office/spreadsheetml/2009/9/main" objectType="CheckBox" fmlaLink="$E$28" lockText="1" noThreeD="1"/>
</file>

<file path=xl/ctrlProps/ctrlProp66.xml><?xml version="1.0" encoding="utf-8"?>
<formControlPr xmlns="http://schemas.microsoft.com/office/spreadsheetml/2009/9/main" objectType="CheckBox" fmlaLink="$E$29" lockText="1" noThreeD="1"/>
</file>

<file path=xl/ctrlProps/ctrlProp67.xml><?xml version="1.0" encoding="utf-8"?>
<formControlPr xmlns="http://schemas.microsoft.com/office/spreadsheetml/2009/9/main" objectType="CheckBox" fmlaLink="$E$30" lockText="1" noThreeD="1"/>
</file>

<file path=xl/ctrlProps/ctrlProp68.xml><?xml version="1.0" encoding="utf-8"?>
<formControlPr xmlns="http://schemas.microsoft.com/office/spreadsheetml/2009/9/main" objectType="CheckBox" fmlaLink="$E$31" lockText="1" noThreeD="1"/>
</file>

<file path=xl/ctrlProps/ctrlProp69.xml><?xml version="1.0" encoding="utf-8"?>
<formControlPr xmlns="http://schemas.microsoft.com/office/spreadsheetml/2009/9/main" objectType="CheckBox" fmlaLink="$E$32" lockText="1" noThreeD="1"/>
</file>

<file path=xl/ctrlProps/ctrlProp70.xml><?xml version="1.0" encoding="utf-8"?>
<formControlPr xmlns="http://schemas.microsoft.com/office/spreadsheetml/2009/9/main" objectType="CheckBox" fmlaLink="$E$33" lockText="1" noThreeD="1"/>
</file>

<file path=xl/ctrlProps/ctrlProp71.xml><?xml version="1.0" encoding="utf-8"?>
<formControlPr xmlns="http://schemas.microsoft.com/office/spreadsheetml/2009/9/main" objectType="CheckBox" checked="Checked" fmlaLink="$E$34" lockText="1" noThreeD="1"/>
</file>

<file path=xl/ctrlProps/ctrlProp72.xml><?xml version="1.0" encoding="utf-8"?>
<formControlPr xmlns="http://schemas.microsoft.com/office/spreadsheetml/2009/9/main" objectType="CheckBox" checked="Checked" fmlaLink="$E$35" lockText="1" noThreeD="1"/>
</file>

<file path=xl/ctrlProps/ctrlProp73.xml><?xml version="1.0" encoding="utf-8"?>
<formControlPr xmlns="http://schemas.microsoft.com/office/spreadsheetml/2009/9/main" objectType="CheckBox" fmlaLink="$E$36" lockText="1" noThreeD="1"/>
</file>

<file path=xl/ctrlProps/ctrlProp74.xml><?xml version="1.0" encoding="utf-8"?>
<formControlPr xmlns="http://schemas.microsoft.com/office/spreadsheetml/2009/9/main" objectType="CheckBox" fmlaLink="$E$37" lockText="1" noThreeD="1"/>
</file>

<file path=xl/ctrlProps/ctrlProp75.xml><?xml version="1.0" encoding="utf-8"?>
<formControlPr xmlns="http://schemas.microsoft.com/office/spreadsheetml/2009/9/main" objectType="CheckBox" fmlaLink="$E$38" lockText="1" noThreeD="1"/>
</file>

<file path=xl/ctrlProps/ctrlProp76.xml><?xml version="1.0" encoding="utf-8"?>
<formControlPr xmlns="http://schemas.microsoft.com/office/spreadsheetml/2009/9/main" objectType="CheckBox" fmlaLink="$E$39" lockText="1" noThreeD="1"/>
</file>

<file path=xl/ctrlProps/ctrlProp77.xml><?xml version="1.0" encoding="utf-8"?>
<formControlPr xmlns="http://schemas.microsoft.com/office/spreadsheetml/2009/9/main" objectType="CheckBox" fmlaLink="$E$40" lockText="1" noThreeD="1"/>
</file>

<file path=xl/ctrlProps/ctrlProp78.xml><?xml version="1.0" encoding="utf-8"?>
<formControlPr xmlns="http://schemas.microsoft.com/office/spreadsheetml/2009/9/main" objectType="CheckBox" fmlaLink="$E$41" lockText="1" noThreeD="1"/>
</file>

<file path=xl/ctrlProps/ctrlProp79.xml><?xml version="1.0" encoding="utf-8"?>
<formControlPr xmlns="http://schemas.microsoft.com/office/spreadsheetml/2009/9/main" objectType="CheckBox" fmlaLink="$E$42" lockText="1" noThreeD="1"/>
</file>

<file path=xl/ctrlProps/ctrlProp80.xml><?xml version="1.0" encoding="utf-8"?>
<formControlPr xmlns="http://schemas.microsoft.com/office/spreadsheetml/2009/9/main" objectType="CheckBox" fmlaLink="$E$43" lockText="1" noThreeD="1"/>
</file>

<file path=xl/ctrlProps/ctrlProp81.xml><?xml version="1.0" encoding="utf-8"?>
<formControlPr xmlns="http://schemas.microsoft.com/office/spreadsheetml/2009/9/main" objectType="CheckBox" fmlaLink="$E$44" lockText="1" noThreeD="1"/>
</file>

<file path=xl/ctrlProps/ctrlProp82.xml><?xml version="1.0" encoding="utf-8"?>
<formControlPr xmlns="http://schemas.microsoft.com/office/spreadsheetml/2009/9/main" objectType="CheckBox" fmlaLink="$E$45" lockText="1" noThreeD="1"/>
</file>

<file path=xl/ctrlProps/ctrlProp83.xml><?xml version="1.0" encoding="utf-8"?>
<formControlPr xmlns="http://schemas.microsoft.com/office/spreadsheetml/2009/9/main" objectType="CheckBox" fmlaLink="$E$46" lockText="1" noThreeD="1"/>
</file>

<file path=xl/ctrlProps/ctrlProp84.xml><?xml version="1.0" encoding="utf-8"?>
<formControlPr xmlns="http://schemas.microsoft.com/office/spreadsheetml/2009/9/main" objectType="CheckBox" fmlaLink="$E$47" lockText="1" noThreeD="1"/>
</file>

<file path=xl/ctrlProps/ctrlProp85.xml><?xml version="1.0" encoding="utf-8"?>
<formControlPr xmlns="http://schemas.microsoft.com/office/spreadsheetml/2009/9/main" objectType="CheckBox" fmlaLink="$E$48" lockText="1" noThreeD="1"/>
</file>

<file path=xl/ctrlProps/ctrlProp86.xml><?xml version="1.0" encoding="utf-8"?>
<formControlPr xmlns="http://schemas.microsoft.com/office/spreadsheetml/2009/9/main" objectType="CheckBox" fmlaLink="$E$49" lockText="1" noThreeD="1"/>
</file>

<file path=xl/ctrlProps/ctrlProp87.xml><?xml version="1.0" encoding="utf-8"?>
<formControlPr xmlns="http://schemas.microsoft.com/office/spreadsheetml/2009/9/main" objectType="CheckBox" checked="Checked" fmlaLink="$E$7" lockText="1" noThreeD="1"/>
</file>

<file path=xl/ctrlProps/ctrlProp88.xml><?xml version="1.0" encoding="utf-8"?>
<formControlPr xmlns="http://schemas.microsoft.com/office/spreadsheetml/2009/9/main" objectType="CheckBox" fmlaLink="$E$8" lockText="1" noThreeD="1"/>
</file>

<file path=xl/ctrlProps/ctrlProp89.xml><?xml version="1.0" encoding="utf-8"?>
<formControlPr xmlns="http://schemas.microsoft.com/office/spreadsheetml/2009/9/main" objectType="CheckBox" fmlaLink="$E$9" lockText="1" noThreeD="1"/>
</file>

<file path=xl/ctrlProps/ctrlProp90.xml><?xml version="1.0" encoding="utf-8"?>
<formControlPr xmlns="http://schemas.microsoft.com/office/spreadsheetml/2009/9/main" objectType="CheckBox" fmlaLink="$E$10" lockText="1" noThreeD="1"/>
</file>

<file path=xl/ctrlProps/ctrlProp91.xml><?xml version="1.0" encoding="utf-8"?>
<formControlPr xmlns="http://schemas.microsoft.com/office/spreadsheetml/2009/9/main" objectType="CheckBox" fmlaLink="$E$11" lockText="1" noThreeD="1"/>
</file>

<file path=xl/ctrlProps/ctrlProp92.xml><?xml version="1.0" encoding="utf-8"?>
<formControlPr xmlns="http://schemas.microsoft.com/office/spreadsheetml/2009/9/main" objectType="CheckBox" fmlaLink="$E$12" lockText="1" noThreeD="1"/>
</file>

<file path=xl/ctrlProps/ctrlProp93.xml><?xml version="1.0" encoding="utf-8"?>
<formControlPr xmlns="http://schemas.microsoft.com/office/spreadsheetml/2009/9/main" objectType="CheckBox" fmlaLink="$E$13" lockText="1" noThreeD="1"/>
</file>

<file path=xl/ctrlProps/ctrlProp94.xml><?xml version="1.0" encoding="utf-8"?>
<formControlPr xmlns="http://schemas.microsoft.com/office/spreadsheetml/2009/9/main" objectType="CheckBox" fmlaLink="$E$14" lockText="1" noThreeD="1"/>
</file>

<file path=xl/ctrlProps/ctrlProp95.xml><?xml version="1.0" encoding="utf-8"?>
<formControlPr xmlns="http://schemas.microsoft.com/office/spreadsheetml/2009/9/main" objectType="CheckBox" fmlaLink="$E$15" lockText="1" noThreeD="1"/>
</file>

<file path=xl/ctrlProps/ctrlProp96.xml><?xml version="1.0" encoding="utf-8"?>
<formControlPr xmlns="http://schemas.microsoft.com/office/spreadsheetml/2009/9/main" objectType="CheckBox" fmlaLink="$E$16" lockText="1" noThreeD="1"/>
</file>

<file path=xl/ctrlProps/ctrlProp97.xml><?xml version="1.0" encoding="utf-8"?>
<formControlPr xmlns="http://schemas.microsoft.com/office/spreadsheetml/2009/9/main" objectType="CheckBox" checked="Checked" fmlaLink="$E$17" lockText="1" noThreeD="1"/>
</file>

<file path=xl/ctrlProps/ctrlProp98.xml><?xml version="1.0" encoding="utf-8"?>
<formControlPr xmlns="http://schemas.microsoft.com/office/spreadsheetml/2009/9/main" objectType="CheckBox" fmlaLink="$E$18" lockText="1" noThreeD="1"/>
</file>

<file path=xl/ctrlProps/ctrlProp99.xml><?xml version="1.0" encoding="utf-8"?>
<formControlPr xmlns="http://schemas.microsoft.com/office/spreadsheetml/2009/9/main" objectType="CheckBox" fmlaLink="$E$19" lockText="1" noThreeD="1"/>
</file>

<file path=xl/ctrlProps/ctrlProp100.xml><?xml version="1.0" encoding="utf-8"?>
<formControlPr xmlns="http://schemas.microsoft.com/office/spreadsheetml/2009/9/main" objectType="CheckBox" fmlaLink="$E$20" lockText="1" noThreeD="1"/>
</file>

<file path=xl/ctrlProps/ctrlProp101.xml><?xml version="1.0" encoding="utf-8"?>
<formControlPr xmlns="http://schemas.microsoft.com/office/spreadsheetml/2009/9/main" objectType="CheckBox" fmlaLink="$E$21" lockText="1" noThreeD="1"/>
</file>

<file path=xl/ctrlProps/ctrlProp102.xml><?xml version="1.0" encoding="utf-8"?>
<formControlPr xmlns="http://schemas.microsoft.com/office/spreadsheetml/2009/9/main" objectType="CheckBox" fmlaLink="$E$22" lockText="1" noThreeD="1"/>
</file>

<file path=xl/ctrlProps/ctrlProp103.xml><?xml version="1.0" encoding="utf-8"?>
<formControlPr xmlns="http://schemas.microsoft.com/office/spreadsheetml/2009/9/main" objectType="CheckBox" fmlaLink="$E$23" lockText="1" noThreeD="1"/>
</file>

<file path=xl/ctrlProps/ctrlProp104.xml><?xml version="1.0" encoding="utf-8"?>
<formControlPr xmlns="http://schemas.microsoft.com/office/spreadsheetml/2009/9/main" objectType="CheckBox" fmlaLink="$E$24" lockText="1" noThreeD="1"/>
</file>

<file path=xl/ctrlProps/ctrlProp105.xml><?xml version="1.0" encoding="utf-8"?>
<formControlPr xmlns="http://schemas.microsoft.com/office/spreadsheetml/2009/9/main" objectType="CheckBox" fmlaLink="$E$25" lockText="1" noThreeD="1"/>
</file>

<file path=xl/ctrlProps/ctrlProp106.xml><?xml version="1.0" encoding="utf-8"?>
<formControlPr xmlns="http://schemas.microsoft.com/office/spreadsheetml/2009/9/main" objectType="CheckBox" fmlaLink="$E$26" lockText="1" noThreeD="1"/>
</file>

<file path=xl/ctrlProps/ctrlProp107.xml><?xml version="1.0" encoding="utf-8"?>
<formControlPr xmlns="http://schemas.microsoft.com/office/spreadsheetml/2009/9/main" objectType="CheckBox" fmlaLink="$E$27" lockText="1" noThreeD="1"/>
</file>

<file path=xl/ctrlProps/ctrlProp108.xml><?xml version="1.0" encoding="utf-8"?>
<formControlPr xmlns="http://schemas.microsoft.com/office/spreadsheetml/2009/9/main" objectType="CheckBox" fmlaLink="$E$28" lockText="1" noThreeD="1"/>
</file>

<file path=xl/ctrlProps/ctrlProp109.xml><?xml version="1.0" encoding="utf-8"?>
<formControlPr xmlns="http://schemas.microsoft.com/office/spreadsheetml/2009/9/main" objectType="CheckBox" fmlaLink="$E$29" lockText="1" noThreeD="1"/>
</file>

<file path=xl/ctrlProps/ctrlProp110.xml><?xml version="1.0" encoding="utf-8"?>
<formControlPr xmlns="http://schemas.microsoft.com/office/spreadsheetml/2009/9/main" objectType="CheckBox" fmlaLink="$E$30" lockText="1" noThreeD="1"/>
</file>

<file path=xl/ctrlProps/ctrlProp111.xml><?xml version="1.0" encoding="utf-8"?>
<formControlPr xmlns="http://schemas.microsoft.com/office/spreadsheetml/2009/9/main" objectType="CheckBox" fmlaLink="$E$31" lockText="1" noThreeD="1"/>
</file>

<file path=xl/ctrlProps/ctrlProp112.xml><?xml version="1.0" encoding="utf-8"?>
<formControlPr xmlns="http://schemas.microsoft.com/office/spreadsheetml/2009/9/main" objectType="CheckBox" checked="Checked" fmlaLink="$E$32" lockText="1" noThreeD="1"/>
</file>

<file path=xl/ctrlProps/ctrlProp113.xml><?xml version="1.0" encoding="utf-8"?>
<formControlPr xmlns="http://schemas.microsoft.com/office/spreadsheetml/2009/9/main" objectType="CheckBox" fmlaLink="$E$33" lockText="1" noThreeD="1"/>
</file>

<file path=xl/ctrlProps/ctrlProp114.xml><?xml version="1.0" encoding="utf-8"?>
<formControlPr xmlns="http://schemas.microsoft.com/office/spreadsheetml/2009/9/main" objectType="CheckBox" checked="Checked" fmlaLink="$E$34" lockText="1" noThreeD="1"/>
</file>

<file path=xl/ctrlProps/ctrlProp115.xml><?xml version="1.0" encoding="utf-8"?>
<formControlPr xmlns="http://schemas.microsoft.com/office/spreadsheetml/2009/9/main" objectType="CheckBox" fmlaLink="$E$35" lockText="1" noThreeD="1"/>
</file>

<file path=xl/ctrlProps/ctrlProp116.xml><?xml version="1.0" encoding="utf-8"?>
<formControlPr xmlns="http://schemas.microsoft.com/office/spreadsheetml/2009/9/main" objectType="CheckBox" fmlaLink="$E$36" lockText="1" noThreeD="1"/>
</file>

<file path=xl/ctrlProps/ctrlProp117.xml><?xml version="1.0" encoding="utf-8"?>
<formControlPr xmlns="http://schemas.microsoft.com/office/spreadsheetml/2009/9/main" objectType="CheckBox" fmlaLink="$E$37" lockText="1" noThreeD="1"/>
</file>

<file path=xl/ctrlProps/ctrlProp118.xml><?xml version="1.0" encoding="utf-8"?>
<formControlPr xmlns="http://schemas.microsoft.com/office/spreadsheetml/2009/9/main" objectType="CheckBox" fmlaLink="$E$38" lockText="1" noThreeD="1"/>
</file>

<file path=xl/ctrlProps/ctrlProp119.xml><?xml version="1.0" encoding="utf-8"?>
<formControlPr xmlns="http://schemas.microsoft.com/office/spreadsheetml/2009/9/main" objectType="CheckBox" fmlaLink="$E$39" lockText="1" noThreeD="1"/>
</file>

<file path=xl/ctrlProps/ctrlProp120.xml><?xml version="1.0" encoding="utf-8"?>
<formControlPr xmlns="http://schemas.microsoft.com/office/spreadsheetml/2009/9/main" objectType="CheckBox" fmlaLink="$E$40" lockText="1" noThreeD="1"/>
</file>

<file path=xl/ctrlProps/ctrlProp121.xml><?xml version="1.0" encoding="utf-8"?>
<formControlPr xmlns="http://schemas.microsoft.com/office/spreadsheetml/2009/9/main" objectType="CheckBox" fmlaLink="$E$41" lockText="1" noThreeD="1"/>
</file>

<file path=xl/ctrlProps/ctrlProp122.xml><?xml version="1.0" encoding="utf-8"?>
<formControlPr xmlns="http://schemas.microsoft.com/office/spreadsheetml/2009/9/main" objectType="CheckBox" fmlaLink="$E$42" lockText="1" noThreeD="1"/>
</file>

<file path=xl/ctrlProps/ctrlProp123.xml><?xml version="1.0" encoding="utf-8"?>
<formControlPr xmlns="http://schemas.microsoft.com/office/spreadsheetml/2009/9/main" objectType="CheckBox" fmlaLink="$E$43" lockText="1" noThreeD="1"/>
</file>

<file path=xl/ctrlProps/ctrlProp124.xml><?xml version="1.0" encoding="utf-8"?>
<formControlPr xmlns="http://schemas.microsoft.com/office/spreadsheetml/2009/9/main" objectType="CheckBox" fmlaLink="$E$44" lockText="1" noThreeD="1"/>
</file>

<file path=xl/ctrlProps/ctrlProp125.xml><?xml version="1.0" encoding="utf-8"?>
<formControlPr xmlns="http://schemas.microsoft.com/office/spreadsheetml/2009/9/main" objectType="CheckBox" fmlaLink="$E$45" lockText="1" noThreeD="1"/>
</file>

<file path=xl/ctrlProps/ctrlProp126.xml><?xml version="1.0" encoding="utf-8"?>
<formControlPr xmlns="http://schemas.microsoft.com/office/spreadsheetml/2009/9/main" objectType="CheckBox" fmlaLink="$E$46" lockText="1" noThreeD="1"/>
</file>

<file path=xl/ctrlProps/ctrlProp127.xml><?xml version="1.0" encoding="utf-8"?>
<formControlPr xmlns="http://schemas.microsoft.com/office/spreadsheetml/2009/9/main" objectType="CheckBox" fmlaLink="$E$47" lockText="1" noThreeD="1"/>
</file>

<file path=xl/ctrlProps/ctrlProp128.xml><?xml version="1.0" encoding="utf-8"?>
<formControlPr xmlns="http://schemas.microsoft.com/office/spreadsheetml/2009/9/main" objectType="CheckBox" fmlaLink="$E$48" lockText="1" noThreeD="1"/>
</file>

<file path=xl/ctrlProps/ctrlProp129.xml><?xml version="1.0" encoding="utf-8"?>
<formControlPr xmlns="http://schemas.microsoft.com/office/spreadsheetml/2009/9/main" objectType="CheckBox" fmlaLink="$E$49" lockText="1" noThreeD="1"/>
</file>

<file path=xl/ctrlProps/ctrlProp130.xml><?xml version="1.0" encoding="utf-8"?>
<formControlPr xmlns="http://schemas.microsoft.com/office/spreadsheetml/2009/9/main" objectType="CheckBox" checked="Checked" fmlaLink="$F$7" lockText="1" noThreeD="1"/>
</file>

<file path=xl/ctrlProps/ctrlProp131.xml><?xml version="1.0" encoding="utf-8"?>
<formControlPr xmlns="http://schemas.microsoft.com/office/spreadsheetml/2009/9/main" objectType="CheckBox" checked="Checked" fmlaLink="$F$8" lockText="1" noThreeD="1"/>
</file>

<file path=xl/ctrlProps/ctrlProp132.xml><?xml version="1.0" encoding="utf-8"?>
<formControlPr xmlns="http://schemas.microsoft.com/office/spreadsheetml/2009/9/main" objectType="CheckBox" fmlaLink="$F$9" lockText="1" noThreeD="1"/>
</file>

<file path=xl/ctrlProps/ctrlProp133.xml><?xml version="1.0" encoding="utf-8"?>
<formControlPr xmlns="http://schemas.microsoft.com/office/spreadsheetml/2009/9/main" objectType="CheckBox" fmlaLink="$F$10" lockText="1" noThreeD="1"/>
</file>

<file path=xl/ctrlProps/ctrlProp134.xml><?xml version="1.0" encoding="utf-8"?>
<formControlPr xmlns="http://schemas.microsoft.com/office/spreadsheetml/2009/9/main" objectType="CheckBox" fmlaLink="$F$11" lockText="1" noThreeD="1"/>
</file>

<file path=xl/ctrlProps/ctrlProp135.xml><?xml version="1.0" encoding="utf-8"?>
<formControlPr xmlns="http://schemas.microsoft.com/office/spreadsheetml/2009/9/main" objectType="CheckBox" fmlaLink="$F$12" lockText="1" noThreeD="1"/>
</file>

<file path=xl/ctrlProps/ctrlProp136.xml><?xml version="1.0" encoding="utf-8"?>
<formControlPr xmlns="http://schemas.microsoft.com/office/spreadsheetml/2009/9/main" objectType="CheckBox" fmlaLink="$F$13" lockText="1" noThreeD="1"/>
</file>

<file path=xl/ctrlProps/ctrlProp137.xml><?xml version="1.0" encoding="utf-8"?>
<formControlPr xmlns="http://schemas.microsoft.com/office/spreadsheetml/2009/9/main" objectType="CheckBox" fmlaLink="$F$14" lockText="1" noThreeD="1"/>
</file>

<file path=xl/ctrlProps/ctrlProp138.xml><?xml version="1.0" encoding="utf-8"?>
<formControlPr xmlns="http://schemas.microsoft.com/office/spreadsheetml/2009/9/main" objectType="CheckBox" fmlaLink="$F$15" lockText="1" noThreeD="1"/>
</file>

<file path=xl/ctrlProps/ctrlProp139.xml><?xml version="1.0" encoding="utf-8"?>
<formControlPr xmlns="http://schemas.microsoft.com/office/spreadsheetml/2009/9/main" objectType="CheckBox" fmlaLink="$F$16" lockText="1" noThreeD="1"/>
</file>

<file path=xl/ctrlProps/ctrlProp140.xml><?xml version="1.0" encoding="utf-8"?>
<formControlPr xmlns="http://schemas.microsoft.com/office/spreadsheetml/2009/9/main" objectType="CheckBox" fmlaLink="$F$17" lockText="1" noThreeD="1"/>
</file>

<file path=xl/ctrlProps/ctrlProp141.xml><?xml version="1.0" encoding="utf-8"?>
<formControlPr xmlns="http://schemas.microsoft.com/office/spreadsheetml/2009/9/main" objectType="CheckBox" fmlaLink="$F$18" lockText="1" noThreeD="1"/>
</file>

<file path=xl/ctrlProps/ctrlProp142.xml><?xml version="1.0" encoding="utf-8"?>
<formControlPr xmlns="http://schemas.microsoft.com/office/spreadsheetml/2009/9/main" objectType="CheckBox" checked="Checked" fmlaLink="$F$19" lockText="1" noThreeD="1"/>
</file>

<file path=xl/ctrlProps/ctrlProp143.xml><?xml version="1.0" encoding="utf-8"?>
<formControlPr xmlns="http://schemas.microsoft.com/office/spreadsheetml/2009/9/main" objectType="CheckBox" fmlaLink="$F$20" lockText="1" noThreeD="1"/>
</file>

<file path=xl/ctrlProps/ctrlProp144.xml><?xml version="1.0" encoding="utf-8"?>
<formControlPr xmlns="http://schemas.microsoft.com/office/spreadsheetml/2009/9/main" objectType="CheckBox" fmlaLink="$F$21" lockText="1" noThreeD="1"/>
</file>

<file path=xl/ctrlProps/ctrlProp145.xml><?xml version="1.0" encoding="utf-8"?>
<formControlPr xmlns="http://schemas.microsoft.com/office/spreadsheetml/2009/9/main" objectType="CheckBox" fmlaLink="$F$22" lockText="1" noThreeD="1"/>
</file>

<file path=xl/ctrlProps/ctrlProp146.xml><?xml version="1.0" encoding="utf-8"?>
<formControlPr xmlns="http://schemas.microsoft.com/office/spreadsheetml/2009/9/main" objectType="CheckBox" fmlaLink="$F$23" lockText="1" noThreeD="1"/>
</file>

<file path=xl/ctrlProps/ctrlProp147.xml><?xml version="1.0" encoding="utf-8"?>
<formControlPr xmlns="http://schemas.microsoft.com/office/spreadsheetml/2009/9/main" objectType="CheckBox" fmlaLink="$F$24" lockText="1" noThreeD="1"/>
</file>

<file path=xl/ctrlProps/ctrlProp148.xml><?xml version="1.0" encoding="utf-8"?>
<formControlPr xmlns="http://schemas.microsoft.com/office/spreadsheetml/2009/9/main" objectType="CheckBox" fmlaLink="$F$25" lockText="1" noThreeD="1"/>
</file>

<file path=xl/ctrlProps/ctrlProp149.xml><?xml version="1.0" encoding="utf-8"?>
<formControlPr xmlns="http://schemas.microsoft.com/office/spreadsheetml/2009/9/main" objectType="CheckBox" fmlaLink="$F$26" lockText="1" noThreeD="1"/>
</file>

<file path=xl/ctrlProps/ctrlProp150.xml><?xml version="1.0" encoding="utf-8"?>
<formControlPr xmlns="http://schemas.microsoft.com/office/spreadsheetml/2009/9/main" objectType="CheckBox" checked="Checked" fmlaLink="$F$27" lockText="1" noThreeD="1"/>
</file>

<file path=xl/ctrlProps/ctrlProp151.xml><?xml version="1.0" encoding="utf-8"?>
<formControlPr xmlns="http://schemas.microsoft.com/office/spreadsheetml/2009/9/main" objectType="CheckBox" fmlaLink="$F$28" lockText="1" noThreeD="1"/>
</file>

<file path=xl/ctrlProps/ctrlProp152.xml><?xml version="1.0" encoding="utf-8"?>
<formControlPr xmlns="http://schemas.microsoft.com/office/spreadsheetml/2009/9/main" objectType="CheckBox" fmlaLink="$F$29" lockText="1" noThreeD="1"/>
</file>

<file path=xl/ctrlProps/ctrlProp153.xml><?xml version="1.0" encoding="utf-8"?>
<formControlPr xmlns="http://schemas.microsoft.com/office/spreadsheetml/2009/9/main" objectType="CheckBox" fmlaLink="$F$30" lockText="1" noThreeD="1"/>
</file>

<file path=xl/ctrlProps/ctrlProp154.xml><?xml version="1.0" encoding="utf-8"?>
<formControlPr xmlns="http://schemas.microsoft.com/office/spreadsheetml/2009/9/main" objectType="CheckBox" fmlaLink="$F$31" lockText="1" noThreeD="1"/>
</file>

<file path=xl/ctrlProps/ctrlProp155.xml><?xml version="1.0" encoding="utf-8"?>
<formControlPr xmlns="http://schemas.microsoft.com/office/spreadsheetml/2009/9/main" objectType="CheckBox" fmlaLink="$F$32" lockText="1" noThreeD="1"/>
</file>

<file path=xl/ctrlProps/ctrlProp156.xml><?xml version="1.0" encoding="utf-8"?>
<formControlPr xmlns="http://schemas.microsoft.com/office/spreadsheetml/2009/9/main" objectType="CheckBox" fmlaLink="$F$33" lockText="1" noThreeD="1"/>
</file>

<file path=xl/ctrlProps/ctrlProp157.xml><?xml version="1.0" encoding="utf-8"?>
<formControlPr xmlns="http://schemas.microsoft.com/office/spreadsheetml/2009/9/main" objectType="CheckBox" fmlaLink="$F$34" lockText="1" noThreeD="1"/>
</file>

<file path=xl/ctrlProps/ctrlProp158.xml><?xml version="1.0" encoding="utf-8"?>
<formControlPr xmlns="http://schemas.microsoft.com/office/spreadsheetml/2009/9/main" objectType="CheckBox" fmlaLink="$F$35" lockText="1" noThreeD="1"/>
</file>

<file path=xl/ctrlProps/ctrlProp159.xml><?xml version="1.0" encoding="utf-8"?>
<formControlPr xmlns="http://schemas.microsoft.com/office/spreadsheetml/2009/9/main" objectType="CheckBox" fmlaLink="$F$36" lockText="1" noThreeD="1"/>
</file>

<file path=xl/ctrlProps/ctrlProp160.xml><?xml version="1.0" encoding="utf-8"?>
<formControlPr xmlns="http://schemas.microsoft.com/office/spreadsheetml/2009/9/main" objectType="CheckBox" fmlaLink="$F$37" lockText="1" noThreeD="1"/>
</file>

<file path=xl/ctrlProps/ctrlProp161.xml><?xml version="1.0" encoding="utf-8"?>
<formControlPr xmlns="http://schemas.microsoft.com/office/spreadsheetml/2009/9/main" objectType="CheckBox" fmlaLink="$F$38" lockText="1" noThreeD="1"/>
</file>

<file path=xl/ctrlProps/ctrlProp162.xml><?xml version="1.0" encoding="utf-8"?>
<formControlPr xmlns="http://schemas.microsoft.com/office/spreadsheetml/2009/9/main" objectType="CheckBox" fmlaLink="$F$39" lockText="1" noThreeD="1"/>
</file>

<file path=xl/ctrlProps/ctrlProp163.xml><?xml version="1.0" encoding="utf-8"?>
<formControlPr xmlns="http://schemas.microsoft.com/office/spreadsheetml/2009/9/main" objectType="CheckBox" fmlaLink="$F$40" lockText="1" noThreeD="1"/>
</file>

<file path=xl/ctrlProps/ctrlProp164.xml><?xml version="1.0" encoding="utf-8"?>
<formControlPr xmlns="http://schemas.microsoft.com/office/spreadsheetml/2009/9/main" objectType="CheckBox" fmlaLink="$F$41" lockText="1" noThreeD="1"/>
</file>

<file path=xl/ctrlProps/ctrlProp165.xml><?xml version="1.0" encoding="utf-8"?>
<formControlPr xmlns="http://schemas.microsoft.com/office/spreadsheetml/2009/9/main" objectType="CheckBox" fmlaLink="$F$42" lockText="1" noThreeD="1"/>
</file>

<file path=xl/ctrlProps/ctrlProp166.xml><?xml version="1.0" encoding="utf-8"?>
<formControlPr xmlns="http://schemas.microsoft.com/office/spreadsheetml/2009/9/main" objectType="CheckBox" fmlaLink="$F$43" lockText="1" noThreeD="1"/>
</file>

<file path=xl/ctrlProps/ctrlProp167.xml><?xml version="1.0" encoding="utf-8"?>
<formControlPr xmlns="http://schemas.microsoft.com/office/spreadsheetml/2009/9/main" objectType="CheckBox" fmlaLink="$F$44" lockText="1" noThreeD="1"/>
</file>

<file path=xl/ctrlProps/ctrlProp168.xml><?xml version="1.0" encoding="utf-8"?>
<formControlPr xmlns="http://schemas.microsoft.com/office/spreadsheetml/2009/9/main" objectType="CheckBox" fmlaLink="$F$45" lockText="1" noThreeD="1"/>
</file>

<file path=xl/ctrlProps/ctrlProp169.xml><?xml version="1.0" encoding="utf-8"?>
<formControlPr xmlns="http://schemas.microsoft.com/office/spreadsheetml/2009/9/main" objectType="CheckBox" fmlaLink="$F$46" lockText="1" noThreeD="1"/>
</file>

<file path=xl/ctrlProps/ctrlProp170.xml><?xml version="1.0" encoding="utf-8"?>
<formControlPr xmlns="http://schemas.microsoft.com/office/spreadsheetml/2009/9/main" objectType="CheckBox" fmlaLink="$F$47" lockText="1" noThreeD="1"/>
</file>

<file path=xl/ctrlProps/ctrlProp171.xml><?xml version="1.0" encoding="utf-8"?>
<formControlPr xmlns="http://schemas.microsoft.com/office/spreadsheetml/2009/9/main" objectType="CheckBox" fmlaLink="$F$48" lockText="1" noThreeD="1"/>
</file>

<file path=xl/ctrlProps/ctrlProp172.xml><?xml version="1.0" encoding="utf-8"?>
<formControlPr xmlns="http://schemas.microsoft.com/office/spreadsheetml/2009/9/main" objectType="CheckBox" fmlaLink="$F$49" lockText="1" noThreeD="1"/>
</file>

<file path=xl/ctrlProps/ctrlProp173.xml><?xml version="1.0" encoding="utf-8"?>
<formControlPr xmlns="http://schemas.microsoft.com/office/spreadsheetml/2009/9/main" objectType="CheckBox" checked="Checked" fmlaLink="$F$7" lockText="1" noThreeD="1"/>
</file>

<file path=xl/ctrlProps/ctrlProp174.xml><?xml version="1.0" encoding="utf-8"?>
<formControlPr xmlns="http://schemas.microsoft.com/office/spreadsheetml/2009/9/main" objectType="CheckBox" checked="Checked" fmlaLink="$F$8" lockText="1" noThreeD="1"/>
</file>

<file path=xl/ctrlProps/ctrlProp175.xml><?xml version="1.0" encoding="utf-8"?>
<formControlPr xmlns="http://schemas.microsoft.com/office/spreadsheetml/2009/9/main" objectType="CheckBox" fmlaLink="$F$9" lockText="1" noThreeD="1"/>
</file>

<file path=xl/ctrlProps/ctrlProp176.xml><?xml version="1.0" encoding="utf-8"?>
<formControlPr xmlns="http://schemas.microsoft.com/office/spreadsheetml/2009/9/main" objectType="CheckBox" fmlaLink="$F$10" lockText="1" noThreeD="1"/>
</file>

<file path=xl/ctrlProps/ctrlProp177.xml><?xml version="1.0" encoding="utf-8"?>
<formControlPr xmlns="http://schemas.microsoft.com/office/spreadsheetml/2009/9/main" objectType="CheckBox" fmlaLink="$F$11" lockText="1" noThreeD="1"/>
</file>

<file path=xl/ctrlProps/ctrlProp178.xml><?xml version="1.0" encoding="utf-8"?>
<formControlPr xmlns="http://schemas.microsoft.com/office/spreadsheetml/2009/9/main" objectType="CheckBox" checked="Checked" fmlaLink="$F$12" lockText="1" noThreeD="1"/>
</file>

<file path=xl/ctrlProps/ctrlProp179.xml><?xml version="1.0" encoding="utf-8"?>
<formControlPr xmlns="http://schemas.microsoft.com/office/spreadsheetml/2009/9/main" objectType="CheckBox" fmlaLink="$F$13" lockText="1" noThreeD="1"/>
</file>

<file path=xl/ctrlProps/ctrlProp180.xml><?xml version="1.0" encoding="utf-8"?>
<formControlPr xmlns="http://schemas.microsoft.com/office/spreadsheetml/2009/9/main" objectType="CheckBox" fmlaLink="$F$14" lockText="1" noThreeD="1"/>
</file>

<file path=xl/ctrlProps/ctrlProp181.xml><?xml version="1.0" encoding="utf-8"?>
<formControlPr xmlns="http://schemas.microsoft.com/office/spreadsheetml/2009/9/main" objectType="CheckBox" fmlaLink="$F$15" lockText="1" noThreeD="1"/>
</file>

<file path=xl/ctrlProps/ctrlProp182.xml><?xml version="1.0" encoding="utf-8"?>
<formControlPr xmlns="http://schemas.microsoft.com/office/spreadsheetml/2009/9/main" objectType="CheckBox" checked="Checked" fmlaLink="$F$16" lockText="1" noThreeD="1"/>
</file>

<file path=xl/ctrlProps/ctrlProp183.xml><?xml version="1.0" encoding="utf-8"?>
<formControlPr xmlns="http://schemas.microsoft.com/office/spreadsheetml/2009/9/main" objectType="CheckBox" fmlaLink="$F$17" lockText="1" noThreeD="1"/>
</file>

<file path=xl/ctrlProps/ctrlProp184.xml><?xml version="1.0" encoding="utf-8"?>
<formControlPr xmlns="http://schemas.microsoft.com/office/spreadsheetml/2009/9/main" objectType="CheckBox" fmlaLink="$F$18" lockText="1" noThreeD="1"/>
</file>

<file path=xl/ctrlProps/ctrlProp185.xml><?xml version="1.0" encoding="utf-8"?>
<formControlPr xmlns="http://schemas.microsoft.com/office/spreadsheetml/2009/9/main" objectType="CheckBox" checked="Checked" fmlaLink="$F$19" lockText="1" noThreeD="1"/>
</file>

<file path=xl/ctrlProps/ctrlProp186.xml><?xml version="1.0" encoding="utf-8"?>
<formControlPr xmlns="http://schemas.microsoft.com/office/spreadsheetml/2009/9/main" objectType="CheckBox" checked="Checked" fmlaLink="$F$20" lockText="1" noThreeD="1"/>
</file>

<file path=xl/ctrlProps/ctrlProp187.xml><?xml version="1.0" encoding="utf-8"?>
<formControlPr xmlns="http://schemas.microsoft.com/office/spreadsheetml/2009/9/main" objectType="CheckBox" fmlaLink="$F$21" lockText="1" noThreeD="1"/>
</file>

<file path=xl/ctrlProps/ctrlProp188.xml><?xml version="1.0" encoding="utf-8"?>
<formControlPr xmlns="http://schemas.microsoft.com/office/spreadsheetml/2009/9/main" objectType="CheckBox" fmlaLink="$F$22" lockText="1" noThreeD="1"/>
</file>

<file path=xl/ctrlProps/ctrlProp189.xml><?xml version="1.0" encoding="utf-8"?>
<formControlPr xmlns="http://schemas.microsoft.com/office/spreadsheetml/2009/9/main" objectType="CheckBox" fmlaLink="$F$23" lockText="1" noThreeD="1"/>
</file>

<file path=xl/ctrlProps/ctrlProp190.xml><?xml version="1.0" encoding="utf-8"?>
<formControlPr xmlns="http://schemas.microsoft.com/office/spreadsheetml/2009/9/main" objectType="CheckBox" checked="Checked" fmlaLink="$F$24" lockText="1" noThreeD="1"/>
</file>

<file path=xl/ctrlProps/ctrlProp191.xml><?xml version="1.0" encoding="utf-8"?>
<formControlPr xmlns="http://schemas.microsoft.com/office/spreadsheetml/2009/9/main" objectType="CheckBox" fmlaLink="$F$25" lockText="1" noThreeD="1"/>
</file>

<file path=xl/ctrlProps/ctrlProp192.xml><?xml version="1.0" encoding="utf-8"?>
<formControlPr xmlns="http://schemas.microsoft.com/office/spreadsheetml/2009/9/main" objectType="CheckBox" fmlaLink="$F$26" lockText="1" noThreeD="1"/>
</file>

<file path=xl/ctrlProps/ctrlProp193.xml><?xml version="1.0" encoding="utf-8"?>
<formControlPr xmlns="http://schemas.microsoft.com/office/spreadsheetml/2009/9/main" objectType="CheckBox" fmlaLink="$F$27" lockText="1" noThreeD="1"/>
</file>

<file path=xl/ctrlProps/ctrlProp194.xml><?xml version="1.0" encoding="utf-8"?>
<formControlPr xmlns="http://schemas.microsoft.com/office/spreadsheetml/2009/9/main" objectType="CheckBox" fmlaLink="$F$28" lockText="1" noThreeD="1"/>
</file>

<file path=xl/ctrlProps/ctrlProp195.xml><?xml version="1.0" encoding="utf-8"?>
<formControlPr xmlns="http://schemas.microsoft.com/office/spreadsheetml/2009/9/main" objectType="CheckBox" fmlaLink="$F$29" lockText="1" noThreeD="1"/>
</file>

<file path=xl/ctrlProps/ctrlProp196.xml><?xml version="1.0" encoding="utf-8"?>
<formControlPr xmlns="http://schemas.microsoft.com/office/spreadsheetml/2009/9/main" objectType="CheckBox" fmlaLink="$F$30" lockText="1" noThreeD="1"/>
</file>

<file path=xl/ctrlProps/ctrlProp197.xml><?xml version="1.0" encoding="utf-8"?>
<formControlPr xmlns="http://schemas.microsoft.com/office/spreadsheetml/2009/9/main" objectType="CheckBox" fmlaLink="$F$31" lockText="1" noThreeD="1"/>
</file>

<file path=xl/ctrlProps/ctrlProp198.xml><?xml version="1.0" encoding="utf-8"?>
<formControlPr xmlns="http://schemas.microsoft.com/office/spreadsheetml/2009/9/main" objectType="CheckBox" fmlaLink="$F$32" lockText="1" noThreeD="1"/>
</file>

<file path=xl/ctrlProps/ctrlProp199.xml><?xml version="1.0" encoding="utf-8"?>
<formControlPr xmlns="http://schemas.microsoft.com/office/spreadsheetml/2009/9/main" objectType="CheckBox" fmlaLink="$F$33" lockText="1" noThreeD="1"/>
</file>

<file path=xl/ctrlProps/ctrlProp200.xml><?xml version="1.0" encoding="utf-8"?>
<formControlPr xmlns="http://schemas.microsoft.com/office/spreadsheetml/2009/9/main" objectType="CheckBox" fmlaLink="$F$34" lockText="1" noThreeD="1"/>
</file>

<file path=xl/ctrlProps/ctrlProp201.xml><?xml version="1.0" encoding="utf-8"?>
<formControlPr xmlns="http://schemas.microsoft.com/office/spreadsheetml/2009/9/main" objectType="CheckBox" fmlaLink="$F$35" lockText="1" noThreeD="1"/>
</file>

<file path=xl/ctrlProps/ctrlProp202.xml><?xml version="1.0" encoding="utf-8"?>
<formControlPr xmlns="http://schemas.microsoft.com/office/spreadsheetml/2009/9/main" objectType="CheckBox" fmlaLink="$F$36" lockText="1" noThreeD="1"/>
</file>

<file path=xl/ctrlProps/ctrlProp203.xml><?xml version="1.0" encoding="utf-8"?>
<formControlPr xmlns="http://schemas.microsoft.com/office/spreadsheetml/2009/9/main" objectType="CheckBox" fmlaLink="$F$37" lockText="1" noThreeD="1"/>
</file>

<file path=xl/ctrlProps/ctrlProp204.xml><?xml version="1.0" encoding="utf-8"?>
<formControlPr xmlns="http://schemas.microsoft.com/office/spreadsheetml/2009/9/main" objectType="CheckBox" fmlaLink="$F$38" lockText="1" noThreeD="1"/>
</file>

<file path=xl/ctrlProps/ctrlProp205.xml><?xml version="1.0" encoding="utf-8"?>
<formControlPr xmlns="http://schemas.microsoft.com/office/spreadsheetml/2009/9/main" objectType="CheckBox" fmlaLink="$F$39" lockText="1" noThreeD="1"/>
</file>

<file path=xl/ctrlProps/ctrlProp206.xml><?xml version="1.0" encoding="utf-8"?>
<formControlPr xmlns="http://schemas.microsoft.com/office/spreadsheetml/2009/9/main" objectType="CheckBox" fmlaLink="$F$40" lockText="1" noThreeD="1"/>
</file>

<file path=xl/ctrlProps/ctrlProp207.xml><?xml version="1.0" encoding="utf-8"?>
<formControlPr xmlns="http://schemas.microsoft.com/office/spreadsheetml/2009/9/main" objectType="CheckBox" fmlaLink="$F$41" lockText="1" noThreeD="1"/>
</file>

<file path=xl/ctrlProps/ctrlProp208.xml><?xml version="1.0" encoding="utf-8"?>
<formControlPr xmlns="http://schemas.microsoft.com/office/spreadsheetml/2009/9/main" objectType="CheckBox" fmlaLink="$F$42" lockText="1" noThreeD="1"/>
</file>

<file path=xl/ctrlProps/ctrlProp209.xml><?xml version="1.0" encoding="utf-8"?>
<formControlPr xmlns="http://schemas.microsoft.com/office/spreadsheetml/2009/9/main" objectType="CheckBox" fmlaLink="$F$43" lockText="1" noThreeD="1"/>
</file>

<file path=xl/ctrlProps/ctrlProp210.xml><?xml version="1.0" encoding="utf-8"?>
<formControlPr xmlns="http://schemas.microsoft.com/office/spreadsheetml/2009/9/main" objectType="CheckBox" fmlaLink="$F$44" lockText="1" noThreeD="1"/>
</file>

<file path=xl/ctrlProps/ctrlProp211.xml><?xml version="1.0" encoding="utf-8"?>
<formControlPr xmlns="http://schemas.microsoft.com/office/spreadsheetml/2009/9/main" objectType="CheckBox" fmlaLink="$F$45" lockText="1" noThreeD="1"/>
</file>

<file path=xl/ctrlProps/ctrlProp212.xml><?xml version="1.0" encoding="utf-8"?>
<formControlPr xmlns="http://schemas.microsoft.com/office/spreadsheetml/2009/9/main" objectType="CheckBox" fmlaLink="$F$46" lockText="1" noThreeD="1"/>
</file>

<file path=xl/ctrlProps/ctrlProp213.xml><?xml version="1.0" encoding="utf-8"?>
<formControlPr xmlns="http://schemas.microsoft.com/office/spreadsheetml/2009/9/main" objectType="CheckBox" fmlaLink="$F$47" lockText="1" noThreeD="1"/>
</file>

<file path=xl/ctrlProps/ctrlProp214.xml><?xml version="1.0" encoding="utf-8"?>
<formControlPr xmlns="http://schemas.microsoft.com/office/spreadsheetml/2009/9/main" objectType="CheckBox" fmlaLink="$F$48" lockText="1" noThreeD="1"/>
</file>

<file path=xl/ctrlProps/ctrlProp215.xml><?xml version="1.0" encoding="utf-8"?>
<formControlPr xmlns="http://schemas.microsoft.com/office/spreadsheetml/2009/9/main" objectType="CheckBox" fmlaLink="$F$49" lockText="1" noThreeD="1"/>
</file>

<file path=xl/ctrlProps/ctrlProp216.xml><?xml version="1.0" encoding="utf-8"?>
<formControlPr xmlns="http://schemas.microsoft.com/office/spreadsheetml/2009/9/main" objectType="CheckBox" fmlaLink="$E$7" lockText="1" noThreeD="1"/>
</file>

<file path=xl/ctrlProps/ctrlProp217.xml><?xml version="1.0" encoding="utf-8"?>
<formControlPr xmlns="http://schemas.microsoft.com/office/spreadsheetml/2009/9/main" objectType="CheckBox" checked="Checked" fmlaLink="$E$8" lockText="1" noThreeD="1"/>
</file>

<file path=xl/ctrlProps/ctrlProp218.xml><?xml version="1.0" encoding="utf-8"?>
<formControlPr xmlns="http://schemas.microsoft.com/office/spreadsheetml/2009/9/main" objectType="CheckBox" fmlaLink="$E$9" lockText="1" noThreeD="1"/>
</file>

<file path=xl/ctrlProps/ctrlProp219.xml><?xml version="1.0" encoding="utf-8"?>
<formControlPr xmlns="http://schemas.microsoft.com/office/spreadsheetml/2009/9/main" objectType="CheckBox" fmlaLink="$E$10" lockText="1" noThreeD="1"/>
</file>

<file path=xl/ctrlProps/ctrlProp220.xml><?xml version="1.0" encoding="utf-8"?>
<formControlPr xmlns="http://schemas.microsoft.com/office/spreadsheetml/2009/9/main" objectType="CheckBox" fmlaLink="$E$11" lockText="1" noThreeD="1"/>
</file>

<file path=xl/ctrlProps/ctrlProp221.xml><?xml version="1.0" encoding="utf-8"?>
<formControlPr xmlns="http://schemas.microsoft.com/office/spreadsheetml/2009/9/main" objectType="CheckBox" fmlaLink="$E$12" lockText="1" noThreeD="1"/>
</file>

<file path=xl/ctrlProps/ctrlProp222.xml><?xml version="1.0" encoding="utf-8"?>
<formControlPr xmlns="http://schemas.microsoft.com/office/spreadsheetml/2009/9/main" objectType="CheckBox" fmlaLink="$E$13" lockText="1" noThreeD="1"/>
</file>

<file path=xl/ctrlProps/ctrlProp223.xml><?xml version="1.0" encoding="utf-8"?>
<formControlPr xmlns="http://schemas.microsoft.com/office/spreadsheetml/2009/9/main" objectType="CheckBox" fmlaLink="$E$14" lockText="1" noThreeD="1"/>
</file>

<file path=xl/ctrlProps/ctrlProp224.xml><?xml version="1.0" encoding="utf-8"?>
<formControlPr xmlns="http://schemas.microsoft.com/office/spreadsheetml/2009/9/main" objectType="CheckBox" fmlaLink="$E$15" lockText="1" noThreeD="1"/>
</file>

<file path=xl/ctrlProps/ctrlProp225.xml><?xml version="1.0" encoding="utf-8"?>
<formControlPr xmlns="http://schemas.microsoft.com/office/spreadsheetml/2009/9/main" objectType="CheckBox" fmlaLink="$E$16" lockText="1" noThreeD="1"/>
</file>

<file path=xl/ctrlProps/ctrlProp226.xml><?xml version="1.0" encoding="utf-8"?>
<formControlPr xmlns="http://schemas.microsoft.com/office/spreadsheetml/2009/9/main" objectType="CheckBox" checked="Checked" fmlaLink="$E$17" lockText="1" noThreeD="1"/>
</file>

<file path=xl/ctrlProps/ctrlProp227.xml><?xml version="1.0" encoding="utf-8"?>
<formControlPr xmlns="http://schemas.microsoft.com/office/spreadsheetml/2009/9/main" objectType="CheckBox" fmlaLink="$E$18" lockText="1" noThreeD="1"/>
</file>

<file path=xl/ctrlProps/ctrlProp228.xml><?xml version="1.0" encoding="utf-8"?>
<formControlPr xmlns="http://schemas.microsoft.com/office/spreadsheetml/2009/9/main" objectType="CheckBox" fmlaLink="$E$19" lockText="1" noThreeD="1"/>
</file>

<file path=xl/ctrlProps/ctrlProp229.xml><?xml version="1.0" encoding="utf-8"?>
<formControlPr xmlns="http://schemas.microsoft.com/office/spreadsheetml/2009/9/main" objectType="CheckBox" fmlaLink="$E$20" lockText="1" noThreeD="1"/>
</file>

<file path=xl/ctrlProps/ctrlProp230.xml><?xml version="1.0" encoding="utf-8"?>
<formControlPr xmlns="http://schemas.microsoft.com/office/spreadsheetml/2009/9/main" objectType="CheckBox" fmlaLink="$E$21" lockText="1" noThreeD="1"/>
</file>

<file path=xl/ctrlProps/ctrlProp231.xml><?xml version="1.0" encoding="utf-8"?>
<formControlPr xmlns="http://schemas.microsoft.com/office/spreadsheetml/2009/9/main" objectType="CheckBox" fmlaLink="$E$22" lockText="1" noThreeD="1"/>
</file>

<file path=xl/ctrlProps/ctrlProp232.xml><?xml version="1.0" encoding="utf-8"?>
<formControlPr xmlns="http://schemas.microsoft.com/office/spreadsheetml/2009/9/main" objectType="CheckBox" fmlaLink="$E$23" lockText="1" noThreeD="1"/>
</file>

<file path=xl/ctrlProps/ctrlProp233.xml><?xml version="1.0" encoding="utf-8"?>
<formControlPr xmlns="http://schemas.microsoft.com/office/spreadsheetml/2009/9/main" objectType="CheckBox" checked="Checked" fmlaLink="$E$24" lockText="1" noThreeD="1"/>
</file>

<file path=xl/ctrlProps/ctrlProp234.xml><?xml version="1.0" encoding="utf-8"?>
<formControlPr xmlns="http://schemas.microsoft.com/office/spreadsheetml/2009/9/main" objectType="CheckBox" fmlaLink="$E$25" lockText="1" noThreeD="1"/>
</file>

<file path=xl/ctrlProps/ctrlProp235.xml><?xml version="1.0" encoding="utf-8"?>
<formControlPr xmlns="http://schemas.microsoft.com/office/spreadsheetml/2009/9/main" objectType="CheckBox" fmlaLink="$E$26" lockText="1" noThreeD="1"/>
</file>

<file path=xl/ctrlProps/ctrlProp236.xml><?xml version="1.0" encoding="utf-8"?>
<formControlPr xmlns="http://schemas.microsoft.com/office/spreadsheetml/2009/9/main" objectType="CheckBox" fmlaLink="$E$27" lockText="1" noThreeD="1"/>
</file>

<file path=xl/ctrlProps/ctrlProp237.xml><?xml version="1.0" encoding="utf-8"?>
<formControlPr xmlns="http://schemas.microsoft.com/office/spreadsheetml/2009/9/main" objectType="CheckBox" fmlaLink="$E$28" lockText="1" noThreeD="1"/>
</file>

<file path=xl/ctrlProps/ctrlProp238.xml><?xml version="1.0" encoding="utf-8"?>
<formControlPr xmlns="http://schemas.microsoft.com/office/spreadsheetml/2009/9/main" objectType="CheckBox" fmlaLink="$E$29" lockText="1" noThreeD="1"/>
</file>

<file path=xl/ctrlProps/ctrlProp239.xml><?xml version="1.0" encoding="utf-8"?>
<formControlPr xmlns="http://schemas.microsoft.com/office/spreadsheetml/2009/9/main" objectType="CheckBox" fmlaLink="$E$30" lockText="1" noThreeD="1"/>
</file>

<file path=xl/ctrlProps/ctrlProp240.xml><?xml version="1.0" encoding="utf-8"?>
<formControlPr xmlns="http://schemas.microsoft.com/office/spreadsheetml/2009/9/main" objectType="CheckBox" fmlaLink="$E$31" lockText="1" noThreeD="1"/>
</file>

<file path=xl/ctrlProps/ctrlProp241.xml><?xml version="1.0" encoding="utf-8"?>
<formControlPr xmlns="http://schemas.microsoft.com/office/spreadsheetml/2009/9/main" objectType="CheckBox" fmlaLink="$E$32" lockText="1" noThreeD="1"/>
</file>

<file path=xl/ctrlProps/ctrlProp242.xml><?xml version="1.0" encoding="utf-8"?>
<formControlPr xmlns="http://schemas.microsoft.com/office/spreadsheetml/2009/9/main" objectType="CheckBox" fmlaLink="$E$33" lockText="1" noThreeD="1"/>
</file>

<file path=xl/ctrlProps/ctrlProp243.xml><?xml version="1.0" encoding="utf-8"?>
<formControlPr xmlns="http://schemas.microsoft.com/office/spreadsheetml/2009/9/main" objectType="CheckBox" fmlaLink="$E$34" lockText="1" noThreeD="1"/>
</file>

<file path=xl/ctrlProps/ctrlProp244.xml><?xml version="1.0" encoding="utf-8"?>
<formControlPr xmlns="http://schemas.microsoft.com/office/spreadsheetml/2009/9/main" objectType="CheckBox" fmlaLink="$E$35" lockText="1" noThreeD="1"/>
</file>

<file path=xl/ctrlProps/ctrlProp245.xml><?xml version="1.0" encoding="utf-8"?>
<formControlPr xmlns="http://schemas.microsoft.com/office/spreadsheetml/2009/9/main" objectType="CheckBox" fmlaLink="$E$36" lockText="1" noThreeD="1"/>
</file>

<file path=xl/ctrlProps/ctrlProp246.xml><?xml version="1.0" encoding="utf-8"?>
<formControlPr xmlns="http://schemas.microsoft.com/office/spreadsheetml/2009/9/main" objectType="CheckBox" checked="Checked" fmlaLink="$E$37" lockText="1" noThreeD="1"/>
</file>

<file path=xl/ctrlProps/ctrlProp247.xml><?xml version="1.0" encoding="utf-8"?>
<formControlPr xmlns="http://schemas.microsoft.com/office/spreadsheetml/2009/9/main" objectType="CheckBox" fmlaLink="$E$38" lockText="1" noThreeD="1"/>
</file>

<file path=xl/ctrlProps/ctrlProp248.xml><?xml version="1.0" encoding="utf-8"?>
<formControlPr xmlns="http://schemas.microsoft.com/office/spreadsheetml/2009/9/main" objectType="CheckBox" checked="Checked" fmlaLink="$E$39" lockText="1" noThreeD="1"/>
</file>

<file path=xl/ctrlProps/ctrlProp249.xml><?xml version="1.0" encoding="utf-8"?>
<formControlPr xmlns="http://schemas.microsoft.com/office/spreadsheetml/2009/9/main" objectType="CheckBox" fmlaLink="$E$40" lockText="1" noThreeD="1"/>
</file>

<file path=xl/ctrlProps/ctrlProp250.xml><?xml version="1.0" encoding="utf-8"?>
<formControlPr xmlns="http://schemas.microsoft.com/office/spreadsheetml/2009/9/main" objectType="CheckBox" fmlaLink="$E$41" lockText="1" noThreeD="1"/>
</file>

<file path=xl/ctrlProps/ctrlProp251.xml><?xml version="1.0" encoding="utf-8"?>
<formControlPr xmlns="http://schemas.microsoft.com/office/spreadsheetml/2009/9/main" objectType="CheckBox" fmlaLink="$E$42" lockText="1" noThreeD="1"/>
</file>

<file path=xl/ctrlProps/ctrlProp252.xml><?xml version="1.0" encoding="utf-8"?>
<formControlPr xmlns="http://schemas.microsoft.com/office/spreadsheetml/2009/9/main" objectType="CheckBox" fmlaLink="$E$43" lockText="1" noThreeD="1"/>
</file>

<file path=xl/ctrlProps/ctrlProp253.xml><?xml version="1.0" encoding="utf-8"?>
<formControlPr xmlns="http://schemas.microsoft.com/office/spreadsheetml/2009/9/main" objectType="CheckBox" fmlaLink="$E$44" lockText="1" noThreeD="1"/>
</file>

<file path=xl/ctrlProps/ctrlProp254.xml><?xml version="1.0" encoding="utf-8"?>
<formControlPr xmlns="http://schemas.microsoft.com/office/spreadsheetml/2009/9/main" objectType="CheckBox" fmlaLink="$E$45" lockText="1" noThreeD="1"/>
</file>

<file path=xl/ctrlProps/ctrlProp255.xml><?xml version="1.0" encoding="utf-8"?>
<formControlPr xmlns="http://schemas.microsoft.com/office/spreadsheetml/2009/9/main" objectType="CheckBox" fmlaLink="$E$46" lockText="1" noThreeD="1"/>
</file>

<file path=xl/ctrlProps/ctrlProp256.xml><?xml version="1.0" encoding="utf-8"?>
<formControlPr xmlns="http://schemas.microsoft.com/office/spreadsheetml/2009/9/main" objectType="CheckBox" fmlaLink="$E$47" lockText="1" noThreeD="1"/>
</file>

<file path=xl/ctrlProps/ctrlProp257.xml><?xml version="1.0" encoding="utf-8"?>
<formControlPr xmlns="http://schemas.microsoft.com/office/spreadsheetml/2009/9/main" objectType="CheckBox" fmlaLink="$E$48" lockText="1" noThreeD="1"/>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xdr:row>
          <xdr:rowOff>19050</xdr:rowOff>
        </xdr:from>
        <xdr:to>
          <xdr:col>6</xdr:col>
          <xdr:colOff>247650</xdr:colOff>
          <xdr:row>6</xdr:row>
          <xdr:rowOff>180975</xdr:rowOff>
        </xdr:to>
        <xdr:sp macro="" textlink="">
          <xdr:nvSpPr>
            <xdr:cNvPr id="109569" name="Check Box 1" hidden="1">
              <a:extLst>
                <a:ext uri="{63B3BB69-23CF-44E3-9099-C40C66FF867C}">
                  <a14:compatExt spid="_x0000_s109569"/>
                </a:ext>
                <a:ext uri="{FF2B5EF4-FFF2-40B4-BE49-F238E27FC236}">
                  <a16:creationId xmlns:a16="http://schemas.microsoft.com/office/drawing/2014/main" id="{00000000-0008-0000-0000-000001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9525</xdr:rowOff>
        </xdr:from>
        <xdr:to>
          <xdr:col>6</xdr:col>
          <xdr:colOff>247650</xdr:colOff>
          <xdr:row>7</xdr:row>
          <xdr:rowOff>152400</xdr:rowOff>
        </xdr:to>
        <xdr:sp macro="" textlink="">
          <xdr:nvSpPr>
            <xdr:cNvPr id="109570" name="Check Box 2" hidden="1">
              <a:extLst>
                <a:ext uri="{63B3BB69-23CF-44E3-9099-C40C66FF867C}">
                  <a14:compatExt spid="_x0000_s109570"/>
                </a:ext>
                <a:ext uri="{FF2B5EF4-FFF2-40B4-BE49-F238E27FC236}">
                  <a16:creationId xmlns:a16="http://schemas.microsoft.com/office/drawing/2014/main" id="{00000000-0008-0000-0000-000002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9525</xdr:rowOff>
        </xdr:from>
        <xdr:to>
          <xdr:col>6</xdr:col>
          <xdr:colOff>247650</xdr:colOff>
          <xdr:row>8</xdr:row>
          <xdr:rowOff>152400</xdr:rowOff>
        </xdr:to>
        <xdr:sp macro="" textlink="">
          <xdr:nvSpPr>
            <xdr:cNvPr id="109571" name="Check Box 3" hidden="1">
              <a:extLst>
                <a:ext uri="{63B3BB69-23CF-44E3-9099-C40C66FF867C}">
                  <a14:compatExt spid="_x0000_s109571"/>
                </a:ext>
                <a:ext uri="{FF2B5EF4-FFF2-40B4-BE49-F238E27FC236}">
                  <a16:creationId xmlns:a16="http://schemas.microsoft.com/office/drawing/2014/main" id="{00000000-0008-0000-0000-000003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9525</xdr:rowOff>
        </xdr:from>
        <xdr:to>
          <xdr:col>6</xdr:col>
          <xdr:colOff>257175</xdr:colOff>
          <xdr:row>9</xdr:row>
          <xdr:rowOff>152400</xdr:rowOff>
        </xdr:to>
        <xdr:sp macro="" textlink="">
          <xdr:nvSpPr>
            <xdr:cNvPr id="109572" name="Check Box 4" hidden="1">
              <a:extLst>
                <a:ext uri="{63B3BB69-23CF-44E3-9099-C40C66FF867C}">
                  <a14:compatExt spid="_x0000_s109572"/>
                </a:ext>
                <a:ext uri="{FF2B5EF4-FFF2-40B4-BE49-F238E27FC236}">
                  <a16:creationId xmlns:a16="http://schemas.microsoft.com/office/drawing/2014/main" id="{00000000-0008-0000-0000-000004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19050</xdr:rowOff>
        </xdr:from>
        <xdr:to>
          <xdr:col>6</xdr:col>
          <xdr:colOff>247650</xdr:colOff>
          <xdr:row>10</xdr:row>
          <xdr:rowOff>180975</xdr:rowOff>
        </xdr:to>
        <xdr:sp macro="" textlink="">
          <xdr:nvSpPr>
            <xdr:cNvPr id="109573" name="Check Box 5" hidden="1">
              <a:extLst>
                <a:ext uri="{63B3BB69-23CF-44E3-9099-C40C66FF867C}">
                  <a14:compatExt spid="_x0000_s109573"/>
                </a:ext>
                <a:ext uri="{FF2B5EF4-FFF2-40B4-BE49-F238E27FC236}">
                  <a16:creationId xmlns:a16="http://schemas.microsoft.com/office/drawing/2014/main" id="{00000000-0008-0000-0000-000005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9525</xdr:rowOff>
        </xdr:from>
        <xdr:to>
          <xdr:col>6</xdr:col>
          <xdr:colOff>257175</xdr:colOff>
          <xdr:row>11</xdr:row>
          <xdr:rowOff>152400</xdr:rowOff>
        </xdr:to>
        <xdr:sp macro="" textlink="">
          <xdr:nvSpPr>
            <xdr:cNvPr id="109574" name="Check Box 6" hidden="1">
              <a:extLst>
                <a:ext uri="{63B3BB69-23CF-44E3-9099-C40C66FF867C}">
                  <a14:compatExt spid="_x0000_s109574"/>
                </a:ext>
                <a:ext uri="{FF2B5EF4-FFF2-40B4-BE49-F238E27FC236}">
                  <a16:creationId xmlns:a16="http://schemas.microsoft.com/office/drawing/2014/main" id="{00000000-0008-0000-0000-000006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9525</xdr:rowOff>
        </xdr:from>
        <xdr:to>
          <xdr:col>6</xdr:col>
          <xdr:colOff>247650</xdr:colOff>
          <xdr:row>12</xdr:row>
          <xdr:rowOff>152400</xdr:rowOff>
        </xdr:to>
        <xdr:sp macro="" textlink="">
          <xdr:nvSpPr>
            <xdr:cNvPr id="109575" name="Check Box 7" hidden="1">
              <a:extLst>
                <a:ext uri="{63B3BB69-23CF-44E3-9099-C40C66FF867C}">
                  <a14:compatExt spid="_x0000_s109575"/>
                </a:ext>
                <a:ext uri="{FF2B5EF4-FFF2-40B4-BE49-F238E27FC236}">
                  <a16:creationId xmlns:a16="http://schemas.microsoft.com/office/drawing/2014/main" id="{00000000-0008-0000-0000-000007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19050</xdr:rowOff>
        </xdr:from>
        <xdr:to>
          <xdr:col>6</xdr:col>
          <xdr:colOff>247650</xdr:colOff>
          <xdr:row>14</xdr:row>
          <xdr:rowOff>0</xdr:rowOff>
        </xdr:to>
        <xdr:sp macro="" textlink="">
          <xdr:nvSpPr>
            <xdr:cNvPr id="109576" name="Check Box 8" hidden="1">
              <a:extLst>
                <a:ext uri="{63B3BB69-23CF-44E3-9099-C40C66FF867C}">
                  <a14:compatExt spid="_x0000_s109576"/>
                </a:ext>
                <a:ext uri="{FF2B5EF4-FFF2-40B4-BE49-F238E27FC236}">
                  <a16:creationId xmlns:a16="http://schemas.microsoft.com/office/drawing/2014/main" id="{00000000-0008-0000-0000-000008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19050</xdr:rowOff>
        </xdr:from>
        <xdr:to>
          <xdr:col>6</xdr:col>
          <xdr:colOff>247650</xdr:colOff>
          <xdr:row>15</xdr:row>
          <xdr:rowOff>0</xdr:rowOff>
        </xdr:to>
        <xdr:sp macro="" textlink="">
          <xdr:nvSpPr>
            <xdr:cNvPr id="109577" name="Check Box 9" hidden="1">
              <a:extLst>
                <a:ext uri="{63B3BB69-23CF-44E3-9099-C40C66FF867C}">
                  <a14:compatExt spid="_x0000_s109577"/>
                </a:ext>
                <a:ext uri="{FF2B5EF4-FFF2-40B4-BE49-F238E27FC236}">
                  <a16:creationId xmlns:a16="http://schemas.microsoft.com/office/drawing/2014/main" id="{00000000-0008-0000-0000-000009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9525</xdr:rowOff>
        </xdr:from>
        <xdr:to>
          <xdr:col>6</xdr:col>
          <xdr:colOff>247650</xdr:colOff>
          <xdr:row>15</xdr:row>
          <xdr:rowOff>152400</xdr:rowOff>
        </xdr:to>
        <xdr:sp macro="" textlink="">
          <xdr:nvSpPr>
            <xdr:cNvPr id="109578" name="Check Box 10" hidden="1">
              <a:extLst>
                <a:ext uri="{63B3BB69-23CF-44E3-9099-C40C66FF867C}">
                  <a14:compatExt spid="_x0000_s109578"/>
                </a:ext>
                <a:ext uri="{FF2B5EF4-FFF2-40B4-BE49-F238E27FC236}">
                  <a16:creationId xmlns:a16="http://schemas.microsoft.com/office/drawing/2014/main" id="{00000000-0008-0000-0000-00000A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19050</xdr:rowOff>
        </xdr:from>
        <xdr:to>
          <xdr:col>6</xdr:col>
          <xdr:colOff>247650</xdr:colOff>
          <xdr:row>16</xdr:row>
          <xdr:rowOff>180975</xdr:rowOff>
        </xdr:to>
        <xdr:sp macro="" textlink="">
          <xdr:nvSpPr>
            <xdr:cNvPr id="109579" name="Check Box 11" hidden="1">
              <a:extLst>
                <a:ext uri="{63B3BB69-23CF-44E3-9099-C40C66FF867C}">
                  <a14:compatExt spid="_x0000_s109579"/>
                </a:ext>
                <a:ext uri="{FF2B5EF4-FFF2-40B4-BE49-F238E27FC236}">
                  <a16:creationId xmlns:a16="http://schemas.microsoft.com/office/drawing/2014/main" id="{00000000-0008-0000-0000-00000B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19050</xdr:rowOff>
        </xdr:from>
        <xdr:to>
          <xdr:col>6</xdr:col>
          <xdr:colOff>247650</xdr:colOff>
          <xdr:row>17</xdr:row>
          <xdr:rowOff>180975</xdr:rowOff>
        </xdr:to>
        <xdr:sp macro="" textlink="">
          <xdr:nvSpPr>
            <xdr:cNvPr id="109580" name="Check Box 12" hidden="1">
              <a:extLst>
                <a:ext uri="{63B3BB69-23CF-44E3-9099-C40C66FF867C}">
                  <a14:compatExt spid="_x0000_s109580"/>
                </a:ext>
                <a:ext uri="{FF2B5EF4-FFF2-40B4-BE49-F238E27FC236}">
                  <a16:creationId xmlns:a16="http://schemas.microsoft.com/office/drawing/2014/main" id="{00000000-0008-0000-0000-00000C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19050</xdr:rowOff>
        </xdr:from>
        <xdr:to>
          <xdr:col>6</xdr:col>
          <xdr:colOff>247650</xdr:colOff>
          <xdr:row>18</xdr:row>
          <xdr:rowOff>180975</xdr:rowOff>
        </xdr:to>
        <xdr:sp macro="" textlink="">
          <xdr:nvSpPr>
            <xdr:cNvPr id="109581" name="Check Box 13" hidden="1">
              <a:extLst>
                <a:ext uri="{63B3BB69-23CF-44E3-9099-C40C66FF867C}">
                  <a14:compatExt spid="_x0000_s109581"/>
                </a:ext>
                <a:ext uri="{FF2B5EF4-FFF2-40B4-BE49-F238E27FC236}">
                  <a16:creationId xmlns:a16="http://schemas.microsoft.com/office/drawing/2014/main" id="{00000000-0008-0000-0000-00000D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19050</xdr:rowOff>
        </xdr:from>
        <xdr:to>
          <xdr:col>6</xdr:col>
          <xdr:colOff>247650</xdr:colOff>
          <xdr:row>19</xdr:row>
          <xdr:rowOff>180975</xdr:rowOff>
        </xdr:to>
        <xdr:sp macro="" textlink="">
          <xdr:nvSpPr>
            <xdr:cNvPr id="109582" name="Check Box 14" hidden="1">
              <a:extLst>
                <a:ext uri="{63B3BB69-23CF-44E3-9099-C40C66FF867C}">
                  <a14:compatExt spid="_x0000_s109582"/>
                </a:ext>
                <a:ext uri="{FF2B5EF4-FFF2-40B4-BE49-F238E27FC236}">
                  <a16:creationId xmlns:a16="http://schemas.microsoft.com/office/drawing/2014/main" id="{00000000-0008-0000-0000-00000E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9525</xdr:rowOff>
        </xdr:from>
        <xdr:to>
          <xdr:col>6</xdr:col>
          <xdr:colOff>247650</xdr:colOff>
          <xdr:row>20</xdr:row>
          <xdr:rowOff>152400</xdr:rowOff>
        </xdr:to>
        <xdr:sp macro="" textlink="">
          <xdr:nvSpPr>
            <xdr:cNvPr id="109583" name="Check Box 15" hidden="1">
              <a:extLst>
                <a:ext uri="{63B3BB69-23CF-44E3-9099-C40C66FF867C}">
                  <a14:compatExt spid="_x0000_s109583"/>
                </a:ext>
                <a:ext uri="{FF2B5EF4-FFF2-40B4-BE49-F238E27FC236}">
                  <a16:creationId xmlns:a16="http://schemas.microsoft.com/office/drawing/2014/main" id="{00000000-0008-0000-0000-00000F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19050</xdr:rowOff>
        </xdr:from>
        <xdr:to>
          <xdr:col>6</xdr:col>
          <xdr:colOff>247650</xdr:colOff>
          <xdr:row>21</xdr:row>
          <xdr:rowOff>180975</xdr:rowOff>
        </xdr:to>
        <xdr:sp macro="" textlink="">
          <xdr:nvSpPr>
            <xdr:cNvPr id="109584" name="Check Box 16" hidden="1">
              <a:extLst>
                <a:ext uri="{63B3BB69-23CF-44E3-9099-C40C66FF867C}">
                  <a14:compatExt spid="_x0000_s109584"/>
                </a:ext>
                <a:ext uri="{FF2B5EF4-FFF2-40B4-BE49-F238E27FC236}">
                  <a16:creationId xmlns:a16="http://schemas.microsoft.com/office/drawing/2014/main" id="{00000000-0008-0000-0000-000010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19050</xdr:rowOff>
        </xdr:from>
        <xdr:to>
          <xdr:col>6</xdr:col>
          <xdr:colOff>247650</xdr:colOff>
          <xdr:row>23</xdr:row>
          <xdr:rowOff>0</xdr:rowOff>
        </xdr:to>
        <xdr:sp macro="" textlink="">
          <xdr:nvSpPr>
            <xdr:cNvPr id="109585" name="Check Box 17" hidden="1">
              <a:extLst>
                <a:ext uri="{63B3BB69-23CF-44E3-9099-C40C66FF867C}">
                  <a14:compatExt spid="_x0000_s109585"/>
                </a:ext>
                <a:ext uri="{FF2B5EF4-FFF2-40B4-BE49-F238E27FC236}">
                  <a16:creationId xmlns:a16="http://schemas.microsoft.com/office/drawing/2014/main" id="{00000000-0008-0000-0000-000011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19050</xdr:rowOff>
        </xdr:from>
        <xdr:to>
          <xdr:col>6</xdr:col>
          <xdr:colOff>257175</xdr:colOff>
          <xdr:row>23</xdr:row>
          <xdr:rowOff>180975</xdr:rowOff>
        </xdr:to>
        <xdr:sp macro="" textlink="">
          <xdr:nvSpPr>
            <xdr:cNvPr id="109586" name="Check Box 18" hidden="1">
              <a:extLst>
                <a:ext uri="{63B3BB69-23CF-44E3-9099-C40C66FF867C}">
                  <a14:compatExt spid="_x0000_s109586"/>
                </a:ext>
                <a:ext uri="{FF2B5EF4-FFF2-40B4-BE49-F238E27FC236}">
                  <a16:creationId xmlns:a16="http://schemas.microsoft.com/office/drawing/2014/main" id="{00000000-0008-0000-0000-000012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19050</xdr:rowOff>
        </xdr:from>
        <xdr:to>
          <xdr:col>6</xdr:col>
          <xdr:colOff>247650</xdr:colOff>
          <xdr:row>25</xdr:row>
          <xdr:rowOff>161925</xdr:rowOff>
        </xdr:to>
        <xdr:sp macro="" textlink="">
          <xdr:nvSpPr>
            <xdr:cNvPr id="109587" name="Check Box 19" hidden="1">
              <a:extLst>
                <a:ext uri="{63B3BB69-23CF-44E3-9099-C40C66FF867C}">
                  <a14:compatExt spid="_x0000_s109587"/>
                </a:ext>
                <a:ext uri="{FF2B5EF4-FFF2-40B4-BE49-F238E27FC236}">
                  <a16:creationId xmlns:a16="http://schemas.microsoft.com/office/drawing/2014/main" id="{00000000-0008-0000-0000-000013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19050</xdr:rowOff>
        </xdr:from>
        <xdr:to>
          <xdr:col>6</xdr:col>
          <xdr:colOff>257175</xdr:colOff>
          <xdr:row>25</xdr:row>
          <xdr:rowOff>180975</xdr:rowOff>
        </xdr:to>
        <xdr:sp macro="" textlink="">
          <xdr:nvSpPr>
            <xdr:cNvPr id="109588" name="Check Box 20" hidden="1">
              <a:extLst>
                <a:ext uri="{63B3BB69-23CF-44E3-9099-C40C66FF867C}">
                  <a14:compatExt spid="_x0000_s109588"/>
                </a:ext>
                <a:ext uri="{FF2B5EF4-FFF2-40B4-BE49-F238E27FC236}">
                  <a16:creationId xmlns:a16="http://schemas.microsoft.com/office/drawing/2014/main" id="{00000000-0008-0000-0000-000014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19050</xdr:rowOff>
        </xdr:from>
        <xdr:to>
          <xdr:col>6</xdr:col>
          <xdr:colOff>247650</xdr:colOff>
          <xdr:row>27</xdr:row>
          <xdr:rowOff>0</xdr:rowOff>
        </xdr:to>
        <xdr:sp macro="" textlink="">
          <xdr:nvSpPr>
            <xdr:cNvPr id="109589" name="Check Box 21" hidden="1">
              <a:extLst>
                <a:ext uri="{63B3BB69-23CF-44E3-9099-C40C66FF867C}">
                  <a14:compatExt spid="_x0000_s109589"/>
                </a:ext>
                <a:ext uri="{FF2B5EF4-FFF2-40B4-BE49-F238E27FC236}">
                  <a16:creationId xmlns:a16="http://schemas.microsoft.com/office/drawing/2014/main" id="{00000000-0008-0000-0000-000015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19050</xdr:rowOff>
        </xdr:from>
        <xdr:to>
          <xdr:col>6</xdr:col>
          <xdr:colOff>247650</xdr:colOff>
          <xdr:row>28</xdr:row>
          <xdr:rowOff>0</xdr:rowOff>
        </xdr:to>
        <xdr:sp macro="" textlink="">
          <xdr:nvSpPr>
            <xdr:cNvPr id="109590" name="Check Box 22" hidden="1">
              <a:extLst>
                <a:ext uri="{63B3BB69-23CF-44E3-9099-C40C66FF867C}">
                  <a14:compatExt spid="_x0000_s109590"/>
                </a:ext>
                <a:ext uri="{FF2B5EF4-FFF2-40B4-BE49-F238E27FC236}">
                  <a16:creationId xmlns:a16="http://schemas.microsoft.com/office/drawing/2014/main" id="{00000000-0008-0000-0000-000016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9525</xdr:rowOff>
        </xdr:from>
        <xdr:to>
          <xdr:col>6</xdr:col>
          <xdr:colOff>257175</xdr:colOff>
          <xdr:row>31</xdr:row>
          <xdr:rowOff>142875</xdr:rowOff>
        </xdr:to>
        <xdr:sp macro="" textlink="">
          <xdr:nvSpPr>
            <xdr:cNvPr id="109591" name="Check Box 23" hidden="1">
              <a:extLst>
                <a:ext uri="{63B3BB69-23CF-44E3-9099-C40C66FF867C}">
                  <a14:compatExt spid="_x0000_s109591"/>
                </a:ext>
                <a:ext uri="{FF2B5EF4-FFF2-40B4-BE49-F238E27FC236}">
                  <a16:creationId xmlns:a16="http://schemas.microsoft.com/office/drawing/2014/main" id="{00000000-0008-0000-0000-000017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19050</xdr:rowOff>
        </xdr:from>
        <xdr:to>
          <xdr:col>6</xdr:col>
          <xdr:colOff>257175</xdr:colOff>
          <xdr:row>31</xdr:row>
          <xdr:rowOff>161925</xdr:rowOff>
        </xdr:to>
        <xdr:sp macro="" textlink="">
          <xdr:nvSpPr>
            <xdr:cNvPr id="109592" name="Check Box 24" hidden="1">
              <a:extLst>
                <a:ext uri="{63B3BB69-23CF-44E3-9099-C40C66FF867C}">
                  <a14:compatExt spid="_x0000_s109592"/>
                </a:ext>
                <a:ext uri="{FF2B5EF4-FFF2-40B4-BE49-F238E27FC236}">
                  <a16:creationId xmlns:a16="http://schemas.microsoft.com/office/drawing/2014/main" id="{00000000-0008-0000-0000-000018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19050</xdr:rowOff>
        </xdr:from>
        <xdr:to>
          <xdr:col>6</xdr:col>
          <xdr:colOff>247650</xdr:colOff>
          <xdr:row>31</xdr:row>
          <xdr:rowOff>161925</xdr:rowOff>
        </xdr:to>
        <xdr:sp macro="" textlink="">
          <xdr:nvSpPr>
            <xdr:cNvPr id="109593" name="Check Box 25" hidden="1">
              <a:extLst>
                <a:ext uri="{63B3BB69-23CF-44E3-9099-C40C66FF867C}">
                  <a14:compatExt spid="_x0000_s109593"/>
                </a:ext>
                <a:ext uri="{FF2B5EF4-FFF2-40B4-BE49-F238E27FC236}">
                  <a16:creationId xmlns:a16="http://schemas.microsoft.com/office/drawing/2014/main" id="{00000000-0008-0000-0000-000019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28575</xdr:rowOff>
        </xdr:from>
        <xdr:to>
          <xdr:col>6</xdr:col>
          <xdr:colOff>247650</xdr:colOff>
          <xdr:row>32</xdr:row>
          <xdr:rowOff>0</xdr:rowOff>
        </xdr:to>
        <xdr:sp macro="" textlink="">
          <xdr:nvSpPr>
            <xdr:cNvPr id="109594" name="Check Box 26" hidden="1">
              <a:extLst>
                <a:ext uri="{63B3BB69-23CF-44E3-9099-C40C66FF867C}">
                  <a14:compatExt spid="_x0000_s109594"/>
                </a:ext>
                <a:ext uri="{FF2B5EF4-FFF2-40B4-BE49-F238E27FC236}">
                  <a16:creationId xmlns:a16="http://schemas.microsoft.com/office/drawing/2014/main" id="{00000000-0008-0000-0000-00001A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19050</xdr:rowOff>
        </xdr:from>
        <xdr:to>
          <xdr:col>6</xdr:col>
          <xdr:colOff>247650</xdr:colOff>
          <xdr:row>33</xdr:row>
          <xdr:rowOff>0</xdr:rowOff>
        </xdr:to>
        <xdr:sp macro="" textlink="">
          <xdr:nvSpPr>
            <xdr:cNvPr id="109595" name="Check Box 27" hidden="1">
              <a:extLst>
                <a:ext uri="{63B3BB69-23CF-44E3-9099-C40C66FF867C}">
                  <a14:compatExt spid="_x0000_s109595"/>
                </a:ext>
                <a:ext uri="{FF2B5EF4-FFF2-40B4-BE49-F238E27FC236}">
                  <a16:creationId xmlns:a16="http://schemas.microsoft.com/office/drawing/2014/main" id="{00000000-0008-0000-0000-00001B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19050</xdr:rowOff>
        </xdr:from>
        <xdr:to>
          <xdr:col>6</xdr:col>
          <xdr:colOff>247650</xdr:colOff>
          <xdr:row>33</xdr:row>
          <xdr:rowOff>180975</xdr:rowOff>
        </xdr:to>
        <xdr:sp macro="" textlink="">
          <xdr:nvSpPr>
            <xdr:cNvPr id="109596" name="Check Box 28" hidden="1">
              <a:extLst>
                <a:ext uri="{63B3BB69-23CF-44E3-9099-C40C66FF867C}">
                  <a14:compatExt spid="_x0000_s109596"/>
                </a:ext>
                <a:ext uri="{FF2B5EF4-FFF2-40B4-BE49-F238E27FC236}">
                  <a16:creationId xmlns:a16="http://schemas.microsoft.com/office/drawing/2014/main" id="{00000000-0008-0000-0000-00001C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19050</xdr:rowOff>
        </xdr:from>
        <xdr:to>
          <xdr:col>6</xdr:col>
          <xdr:colOff>247650</xdr:colOff>
          <xdr:row>34</xdr:row>
          <xdr:rowOff>180975</xdr:rowOff>
        </xdr:to>
        <xdr:sp macro="" textlink="">
          <xdr:nvSpPr>
            <xdr:cNvPr id="109597" name="Check Box 29" hidden="1">
              <a:extLst>
                <a:ext uri="{63B3BB69-23CF-44E3-9099-C40C66FF867C}">
                  <a14:compatExt spid="_x0000_s109597"/>
                </a:ext>
                <a:ext uri="{FF2B5EF4-FFF2-40B4-BE49-F238E27FC236}">
                  <a16:creationId xmlns:a16="http://schemas.microsoft.com/office/drawing/2014/main" id="{00000000-0008-0000-0000-00001D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19050</xdr:rowOff>
        </xdr:from>
        <xdr:to>
          <xdr:col>6</xdr:col>
          <xdr:colOff>247650</xdr:colOff>
          <xdr:row>36</xdr:row>
          <xdr:rowOff>0</xdr:rowOff>
        </xdr:to>
        <xdr:sp macro="" textlink="">
          <xdr:nvSpPr>
            <xdr:cNvPr id="109598" name="Check Box 30" hidden="1">
              <a:extLst>
                <a:ext uri="{63B3BB69-23CF-44E3-9099-C40C66FF867C}">
                  <a14:compatExt spid="_x0000_s109598"/>
                </a:ext>
                <a:ext uri="{FF2B5EF4-FFF2-40B4-BE49-F238E27FC236}">
                  <a16:creationId xmlns:a16="http://schemas.microsoft.com/office/drawing/2014/main" id="{00000000-0008-0000-0000-00001E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19050</xdr:rowOff>
        </xdr:from>
        <xdr:to>
          <xdr:col>6</xdr:col>
          <xdr:colOff>247650</xdr:colOff>
          <xdr:row>36</xdr:row>
          <xdr:rowOff>180975</xdr:rowOff>
        </xdr:to>
        <xdr:sp macro="" textlink="">
          <xdr:nvSpPr>
            <xdr:cNvPr id="109599" name="Check Box 31" hidden="1">
              <a:extLst>
                <a:ext uri="{63B3BB69-23CF-44E3-9099-C40C66FF867C}">
                  <a14:compatExt spid="_x0000_s109599"/>
                </a:ext>
                <a:ext uri="{FF2B5EF4-FFF2-40B4-BE49-F238E27FC236}">
                  <a16:creationId xmlns:a16="http://schemas.microsoft.com/office/drawing/2014/main" id="{00000000-0008-0000-0000-00001F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19050</xdr:rowOff>
        </xdr:from>
        <xdr:to>
          <xdr:col>6</xdr:col>
          <xdr:colOff>247650</xdr:colOff>
          <xdr:row>38</xdr:row>
          <xdr:rowOff>0</xdr:rowOff>
        </xdr:to>
        <xdr:sp macro="" textlink="">
          <xdr:nvSpPr>
            <xdr:cNvPr id="109600" name="Check Box 32" hidden="1">
              <a:extLst>
                <a:ext uri="{63B3BB69-23CF-44E3-9099-C40C66FF867C}">
                  <a14:compatExt spid="_x0000_s109600"/>
                </a:ext>
                <a:ext uri="{FF2B5EF4-FFF2-40B4-BE49-F238E27FC236}">
                  <a16:creationId xmlns:a16="http://schemas.microsoft.com/office/drawing/2014/main" id="{00000000-0008-0000-0000-000020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9525</xdr:rowOff>
        </xdr:from>
        <xdr:to>
          <xdr:col>6</xdr:col>
          <xdr:colOff>247650</xdr:colOff>
          <xdr:row>38</xdr:row>
          <xdr:rowOff>152400</xdr:rowOff>
        </xdr:to>
        <xdr:sp macro="" textlink="">
          <xdr:nvSpPr>
            <xdr:cNvPr id="109601" name="Check Box 33" hidden="1">
              <a:extLst>
                <a:ext uri="{63B3BB69-23CF-44E3-9099-C40C66FF867C}">
                  <a14:compatExt spid="_x0000_s109601"/>
                </a:ext>
                <a:ext uri="{FF2B5EF4-FFF2-40B4-BE49-F238E27FC236}">
                  <a16:creationId xmlns:a16="http://schemas.microsoft.com/office/drawing/2014/main" id="{00000000-0008-0000-0000-000021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19050</xdr:rowOff>
        </xdr:from>
        <xdr:to>
          <xdr:col>6</xdr:col>
          <xdr:colOff>257175</xdr:colOff>
          <xdr:row>39</xdr:row>
          <xdr:rowOff>152400</xdr:rowOff>
        </xdr:to>
        <xdr:sp macro="" textlink="">
          <xdr:nvSpPr>
            <xdr:cNvPr id="109602" name="Check Box 34" hidden="1">
              <a:extLst>
                <a:ext uri="{63B3BB69-23CF-44E3-9099-C40C66FF867C}">
                  <a14:compatExt spid="_x0000_s109602"/>
                </a:ext>
                <a:ext uri="{FF2B5EF4-FFF2-40B4-BE49-F238E27FC236}">
                  <a16:creationId xmlns:a16="http://schemas.microsoft.com/office/drawing/2014/main" id="{00000000-0008-0000-0000-000022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19050</xdr:rowOff>
        </xdr:from>
        <xdr:to>
          <xdr:col>6</xdr:col>
          <xdr:colOff>257175</xdr:colOff>
          <xdr:row>41</xdr:row>
          <xdr:rowOff>0</xdr:rowOff>
        </xdr:to>
        <xdr:sp macro="" textlink="">
          <xdr:nvSpPr>
            <xdr:cNvPr id="109603" name="Check Box 35" hidden="1">
              <a:extLst>
                <a:ext uri="{63B3BB69-23CF-44E3-9099-C40C66FF867C}">
                  <a14:compatExt spid="_x0000_s109603"/>
                </a:ext>
                <a:ext uri="{FF2B5EF4-FFF2-40B4-BE49-F238E27FC236}">
                  <a16:creationId xmlns:a16="http://schemas.microsoft.com/office/drawing/2014/main" id="{00000000-0008-0000-0000-000023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xdr:rowOff>
        </xdr:from>
        <xdr:to>
          <xdr:col>6</xdr:col>
          <xdr:colOff>257175</xdr:colOff>
          <xdr:row>42</xdr:row>
          <xdr:rowOff>0</xdr:rowOff>
        </xdr:to>
        <xdr:sp macro="" textlink="">
          <xdr:nvSpPr>
            <xdr:cNvPr id="109604" name="Check Box 36" hidden="1">
              <a:extLst>
                <a:ext uri="{63B3BB69-23CF-44E3-9099-C40C66FF867C}">
                  <a14:compatExt spid="_x0000_s109604"/>
                </a:ext>
                <a:ext uri="{FF2B5EF4-FFF2-40B4-BE49-F238E27FC236}">
                  <a16:creationId xmlns:a16="http://schemas.microsoft.com/office/drawing/2014/main" id="{00000000-0008-0000-0000-000024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9525</xdr:rowOff>
        </xdr:from>
        <xdr:to>
          <xdr:col>6</xdr:col>
          <xdr:colOff>257175</xdr:colOff>
          <xdr:row>43</xdr:row>
          <xdr:rowOff>0</xdr:rowOff>
        </xdr:to>
        <xdr:sp macro="" textlink="">
          <xdr:nvSpPr>
            <xdr:cNvPr id="109605" name="Check Box 37" hidden="1">
              <a:extLst>
                <a:ext uri="{63B3BB69-23CF-44E3-9099-C40C66FF867C}">
                  <a14:compatExt spid="_x0000_s109605"/>
                </a:ext>
                <a:ext uri="{FF2B5EF4-FFF2-40B4-BE49-F238E27FC236}">
                  <a16:creationId xmlns:a16="http://schemas.microsoft.com/office/drawing/2014/main" id="{00000000-0008-0000-0000-000025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xdr:rowOff>
        </xdr:from>
        <xdr:to>
          <xdr:col>6</xdr:col>
          <xdr:colOff>257175</xdr:colOff>
          <xdr:row>44</xdr:row>
          <xdr:rowOff>0</xdr:rowOff>
        </xdr:to>
        <xdr:sp macro="" textlink="">
          <xdr:nvSpPr>
            <xdr:cNvPr id="109606" name="Check Box 38" hidden="1">
              <a:extLst>
                <a:ext uri="{63B3BB69-23CF-44E3-9099-C40C66FF867C}">
                  <a14:compatExt spid="_x0000_s109606"/>
                </a:ext>
                <a:ext uri="{FF2B5EF4-FFF2-40B4-BE49-F238E27FC236}">
                  <a16:creationId xmlns:a16="http://schemas.microsoft.com/office/drawing/2014/main" id="{00000000-0008-0000-0000-000026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9525</xdr:rowOff>
        </xdr:from>
        <xdr:to>
          <xdr:col>6</xdr:col>
          <xdr:colOff>257175</xdr:colOff>
          <xdr:row>45</xdr:row>
          <xdr:rowOff>0</xdr:rowOff>
        </xdr:to>
        <xdr:sp macro="" textlink="">
          <xdr:nvSpPr>
            <xdr:cNvPr id="109607" name="Check Box 39" hidden="1">
              <a:extLst>
                <a:ext uri="{63B3BB69-23CF-44E3-9099-C40C66FF867C}">
                  <a14:compatExt spid="_x0000_s109607"/>
                </a:ext>
                <a:ext uri="{FF2B5EF4-FFF2-40B4-BE49-F238E27FC236}">
                  <a16:creationId xmlns:a16="http://schemas.microsoft.com/office/drawing/2014/main" id="{00000000-0008-0000-0000-000027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19050</xdr:rowOff>
        </xdr:from>
        <xdr:to>
          <xdr:col>6</xdr:col>
          <xdr:colOff>257175</xdr:colOff>
          <xdr:row>46</xdr:row>
          <xdr:rowOff>0</xdr:rowOff>
        </xdr:to>
        <xdr:sp macro="" textlink="">
          <xdr:nvSpPr>
            <xdr:cNvPr id="109608" name="Check Box 40" hidden="1">
              <a:extLst>
                <a:ext uri="{63B3BB69-23CF-44E3-9099-C40C66FF867C}">
                  <a14:compatExt spid="_x0000_s109608"/>
                </a:ext>
                <a:ext uri="{FF2B5EF4-FFF2-40B4-BE49-F238E27FC236}">
                  <a16:creationId xmlns:a16="http://schemas.microsoft.com/office/drawing/2014/main" id="{00000000-0008-0000-0000-000028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9525</xdr:rowOff>
        </xdr:from>
        <xdr:to>
          <xdr:col>6</xdr:col>
          <xdr:colOff>257175</xdr:colOff>
          <xdr:row>46</xdr:row>
          <xdr:rowOff>152400</xdr:rowOff>
        </xdr:to>
        <xdr:sp macro="" textlink="">
          <xdr:nvSpPr>
            <xdr:cNvPr id="109609" name="Check Box 41" hidden="1">
              <a:extLst>
                <a:ext uri="{63B3BB69-23CF-44E3-9099-C40C66FF867C}">
                  <a14:compatExt spid="_x0000_s109609"/>
                </a:ext>
                <a:ext uri="{FF2B5EF4-FFF2-40B4-BE49-F238E27FC236}">
                  <a16:creationId xmlns:a16="http://schemas.microsoft.com/office/drawing/2014/main" id="{00000000-0008-0000-0000-000029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9525</xdr:rowOff>
        </xdr:from>
        <xdr:to>
          <xdr:col>6</xdr:col>
          <xdr:colOff>257175</xdr:colOff>
          <xdr:row>47</xdr:row>
          <xdr:rowOff>152400</xdr:rowOff>
        </xdr:to>
        <xdr:sp macro="" textlink="">
          <xdr:nvSpPr>
            <xdr:cNvPr id="109610" name="Check Box 42" hidden="1">
              <a:extLst>
                <a:ext uri="{63B3BB69-23CF-44E3-9099-C40C66FF867C}">
                  <a14:compatExt spid="_x0000_s109610"/>
                </a:ext>
                <a:ext uri="{FF2B5EF4-FFF2-40B4-BE49-F238E27FC236}">
                  <a16:creationId xmlns:a16="http://schemas.microsoft.com/office/drawing/2014/main" id="{00000000-0008-0000-0000-00002A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6</xdr:col>
          <xdr:colOff>257175</xdr:colOff>
          <xdr:row>48</xdr:row>
          <xdr:rowOff>152400</xdr:rowOff>
        </xdr:to>
        <xdr:sp macro="" textlink="">
          <xdr:nvSpPr>
            <xdr:cNvPr id="109611" name="Check Box 43" hidden="1">
              <a:extLst>
                <a:ext uri="{63B3BB69-23CF-44E3-9099-C40C66FF867C}">
                  <a14:compatExt spid="_x0000_s109611"/>
                </a:ext>
                <a:ext uri="{FF2B5EF4-FFF2-40B4-BE49-F238E27FC236}">
                  <a16:creationId xmlns:a16="http://schemas.microsoft.com/office/drawing/2014/main" id="{00000000-0008-0000-0000-00002BA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xdr:row>
          <xdr:rowOff>19050</xdr:rowOff>
        </xdr:from>
        <xdr:to>
          <xdr:col>6</xdr:col>
          <xdr:colOff>247650</xdr:colOff>
          <xdr:row>6</xdr:row>
          <xdr:rowOff>171450</xdr:rowOff>
        </xdr:to>
        <xdr:sp macro="" textlink="">
          <xdr:nvSpPr>
            <xdr:cNvPr id="66561" name="Check Box 1" hidden="1">
              <a:extLst>
                <a:ext uri="{63B3BB69-23CF-44E3-9099-C40C66FF867C}">
                  <a14:compatExt spid="_x0000_s66561"/>
                </a:ext>
                <a:ext uri="{FF2B5EF4-FFF2-40B4-BE49-F238E27FC236}">
                  <a16:creationId xmlns:a16="http://schemas.microsoft.com/office/drawing/2014/main" id="{00000000-0008-0000-0400-000001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9525</xdr:rowOff>
        </xdr:from>
        <xdr:to>
          <xdr:col>6</xdr:col>
          <xdr:colOff>247650</xdr:colOff>
          <xdr:row>7</xdr:row>
          <xdr:rowOff>161925</xdr:rowOff>
        </xdr:to>
        <xdr:sp macro="" textlink="">
          <xdr:nvSpPr>
            <xdr:cNvPr id="66562" name="Check Box 2" hidden="1">
              <a:extLst>
                <a:ext uri="{63B3BB69-23CF-44E3-9099-C40C66FF867C}">
                  <a14:compatExt spid="_x0000_s66562"/>
                </a:ext>
                <a:ext uri="{FF2B5EF4-FFF2-40B4-BE49-F238E27FC236}">
                  <a16:creationId xmlns:a16="http://schemas.microsoft.com/office/drawing/2014/main" id="{00000000-0008-0000-0400-000002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9525</xdr:rowOff>
        </xdr:from>
        <xdr:to>
          <xdr:col>6</xdr:col>
          <xdr:colOff>247650</xdr:colOff>
          <xdr:row>8</xdr:row>
          <xdr:rowOff>161925</xdr:rowOff>
        </xdr:to>
        <xdr:sp macro="" textlink="">
          <xdr:nvSpPr>
            <xdr:cNvPr id="66563" name="Check Box 3" hidden="1">
              <a:extLst>
                <a:ext uri="{63B3BB69-23CF-44E3-9099-C40C66FF867C}">
                  <a14:compatExt spid="_x0000_s66563"/>
                </a:ext>
                <a:ext uri="{FF2B5EF4-FFF2-40B4-BE49-F238E27FC236}">
                  <a16:creationId xmlns:a16="http://schemas.microsoft.com/office/drawing/2014/main" id="{00000000-0008-0000-0400-000003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9525</xdr:rowOff>
        </xdr:from>
        <xdr:to>
          <xdr:col>6</xdr:col>
          <xdr:colOff>257175</xdr:colOff>
          <xdr:row>9</xdr:row>
          <xdr:rowOff>161925</xdr:rowOff>
        </xdr:to>
        <xdr:sp macro="" textlink="">
          <xdr:nvSpPr>
            <xdr:cNvPr id="66564" name="Check Box 4" hidden="1">
              <a:extLst>
                <a:ext uri="{63B3BB69-23CF-44E3-9099-C40C66FF867C}">
                  <a14:compatExt spid="_x0000_s66564"/>
                </a:ext>
                <a:ext uri="{FF2B5EF4-FFF2-40B4-BE49-F238E27FC236}">
                  <a16:creationId xmlns:a16="http://schemas.microsoft.com/office/drawing/2014/main" id="{00000000-0008-0000-0400-000004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19050</xdr:rowOff>
        </xdr:from>
        <xdr:to>
          <xdr:col>6</xdr:col>
          <xdr:colOff>247650</xdr:colOff>
          <xdr:row>10</xdr:row>
          <xdr:rowOff>171450</xdr:rowOff>
        </xdr:to>
        <xdr:sp macro="" textlink="">
          <xdr:nvSpPr>
            <xdr:cNvPr id="66565" name="Check Box 5" hidden="1">
              <a:extLst>
                <a:ext uri="{63B3BB69-23CF-44E3-9099-C40C66FF867C}">
                  <a14:compatExt spid="_x0000_s66565"/>
                </a:ext>
                <a:ext uri="{FF2B5EF4-FFF2-40B4-BE49-F238E27FC236}">
                  <a16:creationId xmlns:a16="http://schemas.microsoft.com/office/drawing/2014/main" id="{00000000-0008-0000-0400-000005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9525</xdr:rowOff>
        </xdr:from>
        <xdr:to>
          <xdr:col>6</xdr:col>
          <xdr:colOff>257175</xdr:colOff>
          <xdr:row>11</xdr:row>
          <xdr:rowOff>161925</xdr:rowOff>
        </xdr:to>
        <xdr:sp macro="" textlink="">
          <xdr:nvSpPr>
            <xdr:cNvPr id="66566" name="Check Box 6" hidden="1">
              <a:extLst>
                <a:ext uri="{63B3BB69-23CF-44E3-9099-C40C66FF867C}">
                  <a14:compatExt spid="_x0000_s66566"/>
                </a:ext>
                <a:ext uri="{FF2B5EF4-FFF2-40B4-BE49-F238E27FC236}">
                  <a16:creationId xmlns:a16="http://schemas.microsoft.com/office/drawing/2014/main" id="{00000000-0008-0000-0400-000006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9525</xdr:rowOff>
        </xdr:from>
        <xdr:to>
          <xdr:col>6</xdr:col>
          <xdr:colOff>247650</xdr:colOff>
          <xdr:row>12</xdr:row>
          <xdr:rowOff>161925</xdr:rowOff>
        </xdr:to>
        <xdr:sp macro="" textlink="">
          <xdr:nvSpPr>
            <xdr:cNvPr id="66567" name="Check Box 7" hidden="1">
              <a:extLst>
                <a:ext uri="{63B3BB69-23CF-44E3-9099-C40C66FF867C}">
                  <a14:compatExt spid="_x0000_s66567"/>
                </a:ext>
                <a:ext uri="{FF2B5EF4-FFF2-40B4-BE49-F238E27FC236}">
                  <a16:creationId xmlns:a16="http://schemas.microsoft.com/office/drawing/2014/main" id="{00000000-0008-0000-0400-000007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19050</xdr:rowOff>
        </xdr:from>
        <xdr:to>
          <xdr:col>6</xdr:col>
          <xdr:colOff>247650</xdr:colOff>
          <xdr:row>13</xdr:row>
          <xdr:rowOff>171450</xdr:rowOff>
        </xdr:to>
        <xdr:sp macro="" textlink="">
          <xdr:nvSpPr>
            <xdr:cNvPr id="66568" name="Check Box 8" hidden="1">
              <a:extLst>
                <a:ext uri="{63B3BB69-23CF-44E3-9099-C40C66FF867C}">
                  <a14:compatExt spid="_x0000_s66568"/>
                </a:ext>
                <a:ext uri="{FF2B5EF4-FFF2-40B4-BE49-F238E27FC236}">
                  <a16:creationId xmlns:a16="http://schemas.microsoft.com/office/drawing/2014/main" id="{00000000-0008-0000-0400-000008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19050</xdr:rowOff>
        </xdr:from>
        <xdr:to>
          <xdr:col>6</xdr:col>
          <xdr:colOff>247650</xdr:colOff>
          <xdr:row>14</xdr:row>
          <xdr:rowOff>171450</xdr:rowOff>
        </xdr:to>
        <xdr:sp macro="" textlink="">
          <xdr:nvSpPr>
            <xdr:cNvPr id="66569" name="Check Box 9" hidden="1">
              <a:extLst>
                <a:ext uri="{63B3BB69-23CF-44E3-9099-C40C66FF867C}">
                  <a14:compatExt spid="_x0000_s66569"/>
                </a:ext>
                <a:ext uri="{FF2B5EF4-FFF2-40B4-BE49-F238E27FC236}">
                  <a16:creationId xmlns:a16="http://schemas.microsoft.com/office/drawing/2014/main" id="{00000000-0008-0000-0400-000009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9525</xdr:rowOff>
        </xdr:from>
        <xdr:to>
          <xdr:col>6</xdr:col>
          <xdr:colOff>247650</xdr:colOff>
          <xdr:row>15</xdr:row>
          <xdr:rowOff>161925</xdr:rowOff>
        </xdr:to>
        <xdr:sp macro="" textlink="">
          <xdr:nvSpPr>
            <xdr:cNvPr id="66570" name="Check Box 10" hidden="1">
              <a:extLst>
                <a:ext uri="{63B3BB69-23CF-44E3-9099-C40C66FF867C}">
                  <a14:compatExt spid="_x0000_s66570"/>
                </a:ext>
                <a:ext uri="{FF2B5EF4-FFF2-40B4-BE49-F238E27FC236}">
                  <a16:creationId xmlns:a16="http://schemas.microsoft.com/office/drawing/2014/main" id="{00000000-0008-0000-0400-00000A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19050</xdr:rowOff>
        </xdr:from>
        <xdr:to>
          <xdr:col>6</xdr:col>
          <xdr:colOff>247650</xdr:colOff>
          <xdr:row>16</xdr:row>
          <xdr:rowOff>171450</xdr:rowOff>
        </xdr:to>
        <xdr:sp macro="" textlink="">
          <xdr:nvSpPr>
            <xdr:cNvPr id="66571" name="Check Box 11" hidden="1">
              <a:extLst>
                <a:ext uri="{63B3BB69-23CF-44E3-9099-C40C66FF867C}">
                  <a14:compatExt spid="_x0000_s66571"/>
                </a:ext>
                <a:ext uri="{FF2B5EF4-FFF2-40B4-BE49-F238E27FC236}">
                  <a16:creationId xmlns:a16="http://schemas.microsoft.com/office/drawing/2014/main" id="{00000000-0008-0000-0400-00000B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19050</xdr:rowOff>
        </xdr:from>
        <xdr:to>
          <xdr:col>6</xdr:col>
          <xdr:colOff>247650</xdr:colOff>
          <xdr:row>17</xdr:row>
          <xdr:rowOff>171450</xdr:rowOff>
        </xdr:to>
        <xdr:sp macro="" textlink="">
          <xdr:nvSpPr>
            <xdr:cNvPr id="66572" name="Check Box 12" hidden="1">
              <a:extLst>
                <a:ext uri="{63B3BB69-23CF-44E3-9099-C40C66FF867C}">
                  <a14:compatExt spid="_x0000_s66572"/>
                </a:ext>
                <a:ext uri="{FF2B5EF4-FFF2-40B4-BE49-F238E27FC236}">
                  <a16:creationId xmlns:a16="http://schemas.microsoft.com/office/drawing/2014/main" id="{00000000-0008-0000-0400-00000C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19050</xdr:rowOff>
        </xdr:from>
        <xdr:to>
          <xdr:col>6</xdr:col>
          <xdr:colOff>247650</xdr:colOff>
          <xdr:row>18</xdr:row>
          <xdr:rowOff>171450</xdr:rowOff>
        </xdr:to>
        <xdr:sp macro="" textlink="">
          <xdr:nvSpPr>
            <xdr:cNvPr id="66573" name="Check Box 13" hidden="1">
              <a:extLst>
                <a:ext uri="{63B3BB69-23CF-44E3-9099-C40C66FF867C}">
                  <a14:compatExt spid="_x0000_s66573"/>
                </a:ext>
                <a:ext uri="{FF2B5EF4-FFF2-40B4-BE49-F238E27FC236}">
                  <a16:creationId xmlns:a16="http://schemas.microsoft.com/office/drawing/2014/main" id="{00000000-0008-0000-0400-00000D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19050</xdr:rowOff>
        </xdr:from>
        <xdr:to>
          <xdr:col>6</xdr:col>
          <xdr:colOff>247650</xdr:colOff>
          <xdr:row>19</xdr:row>
          <xdr:rowOff>171450</xdr:rowOff>
        </xdr:to>
        <xdr:sp macro="" textlink="">
          <xdr:nvSpPr>
            <xdr:cNvPr id="66574" name="Check Box 14" hidden="1">
              <a:extLst>
                <a:ext uri="{63B3BB69-23CF-44E3-9099-C40C66FF867C}">
                  <a14:compatExt spid="_x0000_s66574"/>
                </a:ext>
                <a:ext uri="{FF2B5EF4-FFF2-40B4-BE49-F238E27FC236}">
                  <a16:creationId xmlns:a16="http://schemas.microsoft.com/office/drawing/2014/main" id="{00000000-0008-0000-0400-00000E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9525</xdr:rowOff>
        </xdr:from>
        <xdr:to>
          <xdr:col>6</xdr:col>
          <xdr:colOff>247650</xdr:colOff>
          <xdr:row>20</xdr:row>
          <xdr:rowOff>161925</xdr:rowOff>
        </xdr:to>
        <xdr:sp macro="" textlink="">
          <xdr:nvSpPr>
            <xdr:cNvPr id="66575" name="Check Box 15" hidden="1">
              <a:extLst>
                <a:ext uri="{63B3BB69-23CF-44E3-9099-C40C66FF867C}">
                  <a14:compatExt spid="_x0000_s66575"/>
                </a:ext>
                <a:ext uri="{FF2B5EF4-FFF2-40B4-BE49-F238E27FC236}">
                  <a16:creationId xmlns:a16="http://schemas.microsoft.com/office/drawing/2014/main" id="{00000000-0008-0000-0400-00000F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19050</xdr:rowOff>
        </xdr:from>
        <xdr:to>
          <xdr:col>6</xdr:col>
          <xdr:colOff>247650</xdr:colOff>
          <xdr:row>21</xdr:row>
          <xdr:rowOff>171450</xdr:rowOff>
        </xdr:to>
        <xdr:sp macro="" textlink="">
          <xdr:nvSpPr>
            <xdr:cNvPr id="66576" name="Check Box 16" hidden="1">
              <a:extLst>
                <a:ext uri="{63B3BB69-23CF-44E3-9099-C40C66FF867C}">
                  <a14:compatExt spid="_x0000_s66576"/>
                </a:ext>
                <a:ext uri="{FF2B5EF4-FFF2-40B4-BE49-F238E27FC236}">
                  <a16:creationId xmlns:a16="http://schemas.microsoft.com/office/drawing/2014/main" id="{00000000-0008-0000-0400-000010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19050</xdr:rowOff>
        </xdr:from>
        <xdr:to>
          <xdr:col>6</xdr:col>
          <xdr:colOff>247650</xdr:colOff>
          <xdr:row>22</xdr:row>
          <xdr:rowOff>171450</xdr:rowOff>
        </xdr:to>
        <xdr:sp macro="" textlink="">
          <xdr:nvSpPr>
            <xdr:cNvPr id="66577" name="Check Box 17" hidden="1">
              <a:extLst>
                <a:ext uri="{63B3BB69-23CF-44E3-9099-C40C66FF867C}">
                  <a14:compatExt spid="_x0000_s66577"/>
                </a:ext>
                <a:ext uri="{FF2B5EF4-FFF2-40B4-BE49-F238E27FC236}">
                  <a16:creationId xmlns:a16="http://schemas.microsoft.com/office/drawing/2014/main" id="{00000000-0008-0000-0400-000011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19050</xdr:rowOff>
        </xdr:from>
        <xdr:to>
          <xdr:col>6</xdr:col>
          <xdr:colOff>257175</xdr:colOff>
          <xdr:row>23</xdr:row>
          <xdr:rowOff>171450</xdr:rowOff>
        </xdr:to>
        <xdr:sp macro="" textlink="">
          <xdr:nvSpPr>
            <xdr:cNvPr id="66578" name="Check Box 18" hidden="1">
              <a:extLst>
                <a:ext uri="{63B3BB69-23CF-44E3-9099-C40C66FF867C}">
                  <a14:compatExt spid="_x0000_s66578"/>
                </a:ext>
                <a:ext uri="{FF2B5EF4-FFF2-40B4-BE49-F238E27FC236}">
                  <a16:creationId xmlns:a16="http://schemas.microsoft.com/office/drawing/2014/main" id="{00000000-0008-0000-0400-000012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19050</xdr:rowOff>
        </xdr:from>
        <xdr:to>
          <xdr:col>6</xdr:col>
          <xdr:colOff>247650</xdr:colOff>
          <xdr:row>24</xdr:row>
          <xdr:rowOff>171450</xdr:rowOff>
        </xdr:to>
        <xdr:sp macro="" textlink="">
          <xdr:nvSpPr>
            <xdr:cNvPr id="66579" name="Check Box 19" hidden="1">
              <a:extLst>
                <a:ext uri="{63B3BB69-23CF-44E3-9099-C40C66FF867C}">
                  <a14:compatExt spid="_x0000_s66579"/>
                </a:ext>
                <a:ext uri="{FF2B5EF4-FFF2-40B4-BE49-F238E27FC236}">
                  <a16:creationId xmlns:a16="http://schemas.microsoft.com/office/drawing/2014/main" id="{00000000-0008-0000-0400-000013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19050</xdr:rowOff>
        </xdr:from>
        <xdr:to>
          <xdr:col>6</xdr:col>
          <xdr:colOff>257175</xdr:colOff>
          <xdr:row>25</xdr:row>
          <xdr:rowOff>171450</xdr:rowOff>
        </xdr:to>
        <xdr:sp macro="" textlink="">
          <xdr:nvSpPr>
            <xdr:cNvPr id="66580" name="Check Box 20" hidden="1">
              <a:extLst>
                <a:ext uri="{63B3BB69-23CF-44E3-9099-C40C66FF867C}">
                  <a14:compatExt spid="_x0000_s66580"/>
                </a:ext>
                <a:ext uri="{FF2B5EF4-FFF2-40B4-BE49-F238E27FC236}">
                  <a16:creationId xmlns:a16="http://schemas.microsoft.com/office/drawing/2014/main" id="{00000000-0008-0000-0400-000014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19050</xdr:rowOff>
        </xdr:from>
        <xdr:to>
          <xdr:col>6</xdr:col>
          <xdr:colOff>247650</xdr:colOff>
          <xdr:row>26</xdr:row>
          <xdr:rowOff>171450</xdr:rowOff>
        </xdr:to>
        <xdr:sp macro="" textlink="">
          <xdr:nvSpPr>
            <xdr:cNvPr id="66581" name="Check Box 21" hidden="1">
              <a:extLst>
                <a:ext uri="{63B3BB69-23CF-44E3-9099-C40C66FF867C}">
                  <a14:compatExt spid="_x0000_s66581"/>
                </a:ext>
                <a:ext uri="{FF2B5EF4-FFF2-40B4-BE49-F238E27FC236}">
                  <a16:creationId xmlns:a16="http://schemas.microsoft.com/office/drawing/2014/main" id="{00000000-0008-0000-0400-000015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19050</xdr:rowOff>
        </xdr:from>
        <xdr:to>
          <xdr:col>6</xdr:col>
          <xdr:colOff>247650</xdr:colOff>
          <xdr:row>27</xdr:row>
          <xdr:rowOff>171450</xdr:rowOff>
        </xdr:to>
        <xdr:sp macro="" textlink="">
          <xdr:nvSpPr>
            <xdr:cNvPr id="66582" name="Check Box 22" hidden="1">
              <a:extLst>
                <a:ext uri="{63B3BB69-23CF-44E3-9099-C40C66FF867C}">
                  <a14:compatExt spid="_x0000_s66582"/>
                </a:ext>
                <a:ext uri="{FF2B5EF4-FFF2-40B4-BE49-F238E27FC236}">
                  <a16:creationId xmlns:a16="http://schemas.microsoft.com/office/drawing/2014/main" id="{00000000-0008-0000-0400-000016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9525</xdr:rowOff>
        </xdr:from>
        <xdr:to>
          <xdr:col>6</xdr:col>
          <xdr:colOff>257175</xdr:colOff>
          <xdr:row>28</xdr:row>
          <xdr:rowOff>161925</xdr:rowOff>
        </xdr:to>
        <xdr:sp macro="" textlink="">
          <xdr:nvSpPr>
            <xdr:cNvPr id="66583" name="Check Box 23" hidden="1">
              <a:extLst>
                <a:ext uri="{63B3BB69-23CF-44E3-9099-C40C66FF867C}">
                  <a14:compatExt spid="_x0000_s66583"/>
                </a:ext>
                <a:ext uri="{FF2B5EF4-FFF2-40B4-BE49-F238E27FC236}">
                  <a16:creationId xmlns:a16="http://schemas.microsoft.com/office/drawing/2014/main" id="{00000000-0008-0000-0400-000017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19050</xdr:rowOff>
        </xdr:from>
        <xdr:to>
          <xdr:col>6</xdr:col>
          <xdr:colOff>257175</xdr:colOff>
          <xdr:row>29</xdr:row>
          <xdr:rowOff>171450</xdr:rowOff>
        </xdr:to>
        <xdr:sp macro="" textlink="">
          <xdr:nvSpPr>
            <xdr:cNvPr id="66584" name="Check Box 24" hidden="1">
              <a:extLst>
                <a:ext uri="{63B3BB69-23CF-44E3-9099-C40C66FF867C}">
                  <a14:compatExt spid="_x0000_s66584"/>
                </a:ext>
                <a:ext uri="{FF2B5EF4-FFF2-40B4-BE49-F238E27FC236}">
                  <a16:creationId xmlns:a16="http://schemas.microsoft.com/office/drawing/2014/main" id="{00000000-0008-0000-0400-000018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19050</xdr:rowOff>
        </xdr:from>
        <xdr:to>
          <xdr:col>6</xdr:col>
          <xdr:colOff>247650</xdr:colOff>
          <xdr:row>30</xdr:row>
          <xdr:rowOff>171450</xdr:rowOff>
        </xdr:to>
        <xdr:sp macro="" textlink="">
          <xdr:nvSpPr>
            <xdr:cNvPr id="66585" name="Check Box 25" hidden="1">
              <a:extLst>
                <a:ext uri="{63B3BB69-23CF-44E3-9099-C40C66FF867C}">
                  <a14:compatExt spid="_x0000_s66585"/>
                </a:ext>
                <a:ext uri="{FF2B5EF4-FFF2-40B4-BE49-F238E27FC236}">
                  <a16:creationId xmlns:a16="http://schemas.microsoft.com/office/drawing/2014/main" id="{00000000-0008-0000-0400-000019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28575</xdr:rowOff>
        </xdr:from>
        <xdr:to>
          <xdr:col>6</xdr:col>
          <xdr:colOff>247650</xdr:colOff>
          <xdr:row>31</xdr:row>
          <xdr:rowOff>171450</xdr:rowOff>
        </xdr:to>
        <xdr:sp macro="" textlink="">
          <xdr:nvSpPr>
            <xdr:cNvPr id="66586" name="Check Box 26" hidden="1">
              <a:extLst>
                <a:ext uri="{63B3BB69-23CF-44E3-9099-C40C66FF867C}">
                  <a14:compatExt spid="_x0000_s66586"/>
                </a:ext>
                <a:ext uri="{FF2B5EF4-FFF2-40B4-BE49-F238E27FC236}">
                  <a16:creationId xmlns:a16="http://schemas.microsoft.com/office/drawing/2014/main" id="{00000000-0008-0000-0400-00001A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19050</xdr:rowOff>
        </xdr:from>
        <xdr:to>
          <xdr:col>6</xdr:col>
          <xdr:colOff>247650</xdr:colOff>
          <xdr:row>32</xdr:row>
          <xdr:rowOff>171450</xdr:rowOff>
        </xdr:to>
        <xdr:sp macro="" textlink="">
          <xdr:nvSpPr>
            <xdr:cNvPr id="66587" name="Check Box 27" hidden="1">
              <a:extLst>
                <a:ext uri="{63B3BB69-23CF-44E3-9099-C40C66FF867C}">
                  <a14:compatExt spid="_x0000_s66587"/>
                </a:ext>
                <a:ext uri="{FF2B5EF4-FFF2-40B4-BE49-F238E27FC236}">
                  <a16:creationId xmlns:a16="http://schemas.microsoft.com/office/drawing/2014/main" id="{00000000-0008-0000-0400-00001B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19050</xdr:rowOff>
        </xdr:from>
        <xdr:to>
          <xdr:col>6</xdr:col>
          <xdr:colOff>247650</xdr:colOff>
          <xdr:row>33</xdr:row>
          <xdr:rowOff>171450</xdr:rowOff>
        </xdr:to>
        <xdr:sp macro="" textlink="">
          <xdr:nvSpPr>
            <xdr:cNvPr id="66588" name="Check Box 28" hidden="1">
              <a:extLst>
                <a:ext uri="{63B3BB69-23CF-44E3-9099-C40C66FF867C}">
                  <a14:compatExt spid="_x0000_s66588"/>
                </a:ext>
                <a:ext uri="{FF2B5EF4-FFF2-40B4-BE49-F238E27FC236}">
                  <a16:creationId xmlns:a16="http://schemas.microsoft.com/office/drawing/2014/main" id="{00000000-0008-0000-0400-00001C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19050</xdr:rowOff>
        </xdr:from>
        <xdr:to>
          <xdr:col>6</xdr:col>
          <xdr:colOff>247650</xdr:colOff>
          <xdr:row>34</xdr:row>
          <xdr:rowOff>171450</xdr:rowOff>
        </xdr:to>
        <xdr:sp macro="" textlink="">
          <xdr:nvSpPr>
            <xdr:cNvPr id="66589" name="Check Box 29" hidden="1">
              <a:extLst>
                <a:ext uri="{63B3BB69-23CF-44E3-9099-C40C66FF867C}">
                  <a14:compatExt spid="_x0000_s66589"/>
                </a:ext>
                <a:ext uri="{FF2B5EF4-FFF2-40B4-BE49-F238E27FC236}">
                  <a16:creationId xmlns:a16="http://schemas.microsoft.com/office/drawing/2014/main" id="{00000000-0008-0000-0400-00001D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19050</xdr:rowOff>
        </xdr:from>
        <xdr:to>
          <xdr:col>6</xdr:col>
          <xdr:colOff>247650</xdr:colOff>
          <xdr:row>35</xdr:row>
          <xdr:rowOff>171450</xdr:rowOff>
        </xdr:to>
        <xdr:sp macro="" textlink="">
          <xdr:nvSpPr>
            <xdr:cNvPr id="66590" name="Check Box 30" hidden="1">
              <a:extLst>
                <a:ext uri="{63B3BB69-23CF-44E3-9099-C40C66FF867C}">
                  <a14:compatExt spid="_x0000_s66590"/>
                </a:ext>
                <a:ext uri="{FF2B5EF4-FFF2-40B4-BE49-F238E27FC236}">
                  <a16:creationId xmlns:a16="http://schemas.microsoft.com/office/drawing/2014/main" id="{00000000-0008-0000-0400-00001E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19050</xdr:rowOff>
        </xdr:from>
        <xdr:to>
          <xdr:col>6</xdr:col>
          <xdr:colOff>247650</xdr:colOff>
          <xdr:row>36</xdr:row>
          <xdr:rowOff>171450</xdr:rowOff>
        </xdr:to>
        <xdr:sp macro="" textlink="">
          <xdr:nvSpPr>
            <xdr:cNvPr id="66591" name="Check Box 31" hidden="1">
              <a:extLst>
                <a:ext uri="{63B3BB69-23CF-44E3-9099-C40C66FF867C}">
                  <a14:compatExt spid="_x0000_s66591"/>
                </a:ext>
                <a:ext uri="{FF2B5EF4-FFF2-40B4-BE49-F238E27FC236}">
                  <a16:creationId xmlns:a16="http://schemas.microsoft.com/office/drawing/2014/main" id="{00000000-0008-0000-0400-00001F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19050</xdr:rowOff>
        </xdr:from>
        <xdr:to>
          <xdr:col>6</xdr:col>
          <xdr:colOff>247650</xdr:colOff>
          <xdr:row>37</xdr:row>
          <xdr:rowOff>171450</xdr:rowOff>
        </xdr:to>
        <xdr:sp macro="" textlink="">
          <xdr:nvSpPr>
            <xdr:cNvPr id="66592" name="Check Box 32" hidden="1">
              <a:extLst>
                <a:ext uri="{63B3BB69-23CF-44E3-9099-C40C66FF867C}">
                  <a14:compatExt spid="_x0000_s66592"/>
                </a:ext>
                <a:ext uri="{FF2B5EF4-FFF2-40B4-BE49-F238E27FC236}">
                  <a16:creationId xmlns:a16="http://schemas.microsoft.com/office/drawing/2014/main" id="{00000000-0008-0000-0400-000020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9525</xdr:rowOff>
        </xdr:from>
        <xdr:to>
          <xdr:col>6</xdr:col>
          <xdr:colOff>247650</xdr:colOff>
          <xdr:row>38</xdr:row>
          <xdr:rowOff>161925</xdr:rowOff>
        </xdr:to>
        <xdr:sp macro="" textlink="">
          <xdr:nvSpPr>
            <xdr:cNvPr id="66593" name="Check Box 33" hidden="1">
              <a:extLst>
                <a:ext uri="{63B3BB69-23CF-44E3-9099-C40C66FF867C}">
                  <a14:compatExt spid="_x0000_s66593"/>
                </a:ext>
                <a:ext uri="{FF2B5EF4-FFF2-40B4-BE49-F238E27FC236}">
                  <a16:creationId xmlns:a16="http://schemas.microsoft.com/office/drawing/2014/main" id="{00000000-0008-0000-0400-000021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19050</xdr:rowOff>
        </xdr:from>
        <xdr:to>
          <xdr:col>6</xdr:col>
          <xdr:colOff>257175</xdr:colOff>
          <xdr:row>39</xdr:row>
          <xdr:rowOff>161925</xdr:rowOff>
        </xdr:to>
        <xdr:sp macro="" textlink="">
          <xdr:nvSpPr>
            <xdr:cNvPr id="66594" name="Check Box 34" hidden="1">
              <a:extLst>
                <a:ext uri="{63B3BB69-23CF-44E3-9099-C40C66FF867C}">
                  <a14:compatExt spid="_x0000_s66594"/>
                </a:ext>
                <a:ext uri="{FF2B5EF4-FFF2-40B4-BE49-F238E27FC236}">
                  <a16:creationId xmlns:a16="http://schemas.microsoft.com/office/drawing/2014/main" id="{00000000-0008-0000-0400-000022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19050</xdr:rowOff>
        </xdr:from>
        <xdr:to>
          <xdr:col>6</xdr:col>
          <xdr:colOff>257175</xdr:colOff>
          <xdr:row>40</xdr:row>
          <xdr:rowOff>171450</xdr:rowOff>
        </xdr:to>
        <xdr:sp macro="" textlink="">
          <xdr:nvSpPr>
            <xdr:cNvPr id="66595" name="Check Box 35" hidden="1">
              <a:extLst>
                <a:ext uri="{63B3BB69-23CF-44E3-9099-C40C66FF867C}">
                  <a14:compatExt spid="_x0000_s66595"/>
                </a:ext>
                <a:ext uri="{FF2B5EF4-FFF2-40B4-BE49-F238E27FC236}">
                  <a16:creationId xmlns:a16="http://schemas.microsoft.com/office/drawing/2014/main" id="{00000000-0008-0000-0400-000023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xdr:rowOff>
        </xdr:from>
        <xdr:to>
          <xdr:col>6</xdr:col>
          <xdr:colOff>257175</xdr:colOff>
          <xdr:row>41</xdr:row>
          <xdr:rowOff>171450</xdr:rowOff>
        </xdr:to>
        <xdr:sp macro="" textlink="">
          <xdr:nvSpPr>
            <xdr:cNvPr id="66596" name="Check Box 36" hidden="1">
              <a:extLst>
                <a:ext uri="{63B3BB69-23CF-44E3-9099-C40C66FF867C}">
                  <a14:compatExt spid="_x0000_s66596"/>
                </a:ext>
                <a:ext uri="{FF2B5EF4-FFF2-40B4-BE49-F238E27FC236}">
                  <a16:creationId xmlns:a16="http://schemas.microsoft.com/office/drawing/2014/main" id="{00000000-0008-0000-0400-000024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9525</xdr:rowOff>
        </xdr:from>
        <xdr:to>
          <xdr:col>6</xdr:col>
          <xdr:colOff>257175</xdr:colOff>
          <xdr:row>42</xdr:row>
          <xdr:rowOff>171450</xdr:rowOff>
        </xdr:to>
        <xdr:sp macro="" textlink="">
          <xdr:nvSpPr>
            <xdr:cNvPr id="66597" name="Check Box 37" hidden="1">
              <a:extLst>
                <a:ext uri="{63B3BB69-23CF-44E3-9099-C40C66FF867C}">
                  <a14:compatExt spid="_x0000_s66597"/>
                </a:ext>
                <a:ext uri="{FF2B5EF4-FFF2-40B4-BE49-F238E27FC236}">
                  <a16:creationId xmlns:a16="http://schemas.microsoft.com/office/drawing/2014/main" id="{00000000-0008-0000-0400-000025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xdr:rowOff>
        </xdr:from>
        <xdr:to>
          <xdr:col>6</xdr:col>
          <xdr:colOff>257175</xdr:colOff>
          <xdr:row>43</xdr:row>
          <xdr:rowOff>171450</xdr:rowOff>
        </xdr:to>
        <xdr:sp macro="" textlink="">
          <xdr:nvSpPr>
            <xdr:cNvPr id="66598" name="Check Box 38" hidden="1">
              <a:extLst>
                <a:ext uri="{63B3BB69-23CF-44E3-9099-C40C66FF867C}">
                  <a14:compatExt spid="_x0000_s66598"/>
                </a:ext>
                <a:ext uri="{FF2B5EF4-FFF2-40B4-BE49-F238E27FC236}">
                  <a16:creationId xmlns:a16="http://schemas.microsoft.com/office/drawing/2014/main" id="{00000000-0008-0000-0400-000026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9525</xdr:rowOff>
        </xdr:from>
        <xdr:to>
          <xdr:col>6</xdr:col>
          <xdr:colOff>257175</xdr:colOff>
          <xdr:row>44</xdr:row>
          <xdr:rowOff>171450</xdr:rowOff>
        </xdr:to>
        <xdr:sp macro="" textlink="">
          <xdr:nvSpPr>
            <xdr:cNvPr id="66599" name="Check Box 39" hidden="1">
              <a:extLst>
                <a:ext uri="{63B3BB69-23CF-44E3-9099-C40C66FF867C}">
                  <a14:compatExt spid="_x0000_s66599"/>
                </a:ext>
                <a:ext uri="{FF2B5EF4-FFF2-40B4-BE49-F238E27FC236}">
                  <a16:creationId xmlns:a16="http://schemas.microsoft.com/office/drawing/2014/main" id="{00000000-0008-0000-0400-000027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19050</xdr:rowOff>
        </xdr:from>
        <xdr:to>
          <xdr:col>6</xdr:col>
          <xdr:colOff>257175</xdr:colOff>
          <xdr:row>45</xdr:row>
          <xdr:rowOff>171450</xdr:rowOff>
        </xdr:to>
        <xdr:sp macro="" textlink="">
          <xdr:nvSpPr>
            <xdr:cNvPr id="66600" name="Check Box 40" hidden="1">
              <a:extLst>
                <a:ext uri="{63B3BB69-23CF-44E3-9099-C40C66FF867C}">
                  <a14:compatExt spid="_x0000_s66600"/>
                </a:ext>
                <a:ext uri="{FF2B5EF4-FFF2-40B4-BE49-F238E27FC236}">
                  <a16:creationId xmlns:a16="http://schemas.microsoft.com/office/drawing/2014/main" id="{00000000-0008-0000-0400-000028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9525</xdr:rowOff>
        </xdr:from>
        <xdr:to>
          <xdr:col>6</xdr:col>
          <xdr:colOff>257175</xdr:colOff>
          <xdr:row>46</xdr:row>
          <xdr:rowOff>161925</xdr:rowOff>
        </xdr:to>
        <xdr:sp macro="" textlink="">
          <xdr:nvSpPr>
            <xdr:cNvPr id="66601" name="Check Box 41" hidden="1">
              <a:extLst>
                <a:ext uri="{63B3BB69-23CF-44E3-9099-C40C66FF867C}">
                  <a14:compatExt spid="_x0000_s66601"/>
                </a:ext>
                <a:ext uri="{FF2B5EF4-FFF2-40B4-BE49-F238E27FC236}">
                  <a16:creationId xmlns:a16="http://schemas.microsoft.com/office/drawing/2014/main" id="{00000000-0008-0000-0400-000029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9525</xdr:rowOff>
        </xdr:from>
        <xdr:to>
          <xdr:col>6</xdr:col>
          <xdr:colOff>257175</xdr:colOff>
          <xdr:row>47</xdr:row>
          <xdr:rowOff>161925</xdr:rowOff>
        </xdr:to>
        <xdr:sp macro="" textlink="">
          <xdr:nvSpPr>
            <xdr:cNvPr id="66602" name="Check Box 42" hidden="1">
              <a:extLst>
                <a:ext uri="{63B3BB69-23CF-44E3-9099-C40C66FF867C}">
                  <a14:compatExt spid="_x0000_s66602"/>
                </a:ext>
                <a:ext uri="{FF2B5EF4-FFF2-40B4-BE49-F238E27FC236}">
                  <a16:creationId xmlns:a16="http://schemas.microsoft.com/office/drawing/2014/main" id="{00000000-0008-0000-0400-00002A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6</xdr:col>
          <xdr:colOff>257175</xdr:colOff>
          <xdr:row>48</xdr:row>
          <xdr:rowOff>161925</xdr:rowOff>
        </xdr:to>
        <xdr:sp macro="" textlink="">
          <xdr:nvSpPr>
            <xdr:cNvPr id="66603" name="Check Box 43" hidden="1">
              <a:extLst>
                <a:ext uri="{63B3BB69-23CF-44E3-9099-C40C66FF867C}">
                  <a14:compatExt spid="_x0000_s66603"/>
                </a:ext>
                <a:ext uri="{FF2B5EF4-FFF2-40B4-BE49-F238E27FC236}">
                  <a16:creationId xmlns:a16="http://schemas.microsoft.com/office/drawing/2014/main" id="{00000000-0008-0000-0400-00002B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xdr:row>
          <xdr:rowOff>19050</xdr:rowOff>
        </xdr:from>
        <xdr:to>
          <xdr:col>1</xdr:col>
          <xdr:colOff>47625</xdr:colOff>
          <xdr:row>6</xdr:row>
          <xdr:rowOff>171450</xdr:rowOff>
        </xdr:to>
        <xdr:sp macro="" textlink="">
          <xdr:nvSpPr>
            <xdr:cNvPr id="48129" name="Check Box 1" hidden="1">
              <a:extLst>
                <a:ext uri="{63B3BB69-23CF-44E3-9099-C40C66FF867C}">
                  <a14:compatExt spid="_x0000_s48129"/>
                </a:ext>
                <a:ext uri="{FF2B5EF4-FFF2-40B4-BE49-F238E27FC236}">
                  <a16:creationId xmlns:a16="http://schemas.microsoft.com/office/drawing/2014/main" id="{00000000-0008-0000-0500-000001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9525</xdr:rowOff>
        </xdr:from>
        <xdr:to>
          <xdr:col>1</xdr:col>
          <xdr:colOff>47625</xdr:colOff>
          <xdr:row>7</xdr:row>
          <xdr:rowOff>161925</xdr:rowOff>
        </xdr:to>
        <xdr:sp macro="" textlink="">
          <xdr:nvSpPr>
            <xdr:cNvPr id="48130" name="Check Box 2" hidden="1">
              <a:extLst>
                <a:ext uri="{63B3BB69-23CF-44E3-9099-C40C66FF867C}">
                  <a14:compatExt spid="_x0000_s48130"/>
                </a:ext>
                <a:ext uri="{FF2B5EF4-FFF2-40B4-BE49-F238E27FC236}">
                  <a16:creationId xmlns:a16="http://schemas.microsoft.com/office/drawing/2014/main" id="{00000000-0008-0000-0500-000002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9525</xdr:rowOff>
        </xdr:from>
        <xdr:to>
          <xdr:col>1</xdr:col>
          <xdr:colOff>47625</xdr:colOff>
          <xdr:row>8</xdr:row>
          <xdr:rowOff>161925</xdr:rowOff>
        </xdr:to>
        <xdr:sp macro="" textlink="">
          <xdr:nvSpPr>
            <xdr:cNvPr id="48131" name="Check Box 3" hidden="1">
              <a:extLst>
                <a:ext uri="{63B3BB69-23CF-44E3-9099-C40C66FF867C}">
                  <a14:compatExt spid="_x0000_s48131"/>
                </a:ext>
                <a:ext uri="{FF2B5EF4-FFF2-40B4-BE49-F238E27FC236}">
                  <a16:creationId xmlns:a16="http://schemas.microsoft.com/office/drawing/2014/main" id="{00000000-0008-0000-0500-000003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9525</xdr:rowOff>
        </xdr:from>
        <xdr:to>
          <xdr:col>1</xdr:col>
          <xdr:colOff>57150</xdr:colOff>
          <xdr:row>9</xdr:row>
          <xdr:rowOff>161925</xdr:rowOff>
        </xdr:to>
        <xdr:sp macro="" textlink="">
          <xdr:nvSpPr>
            <xdr:cNvPr id="48132" name="Check Box 4" hidden="1">
              <a:extLst>
                <a:ext uri="{63B3BB69-23CF-44E3-9099-C40C66FF867C}">
                  <a14:compatExt spid="_x0000_s48132"/>
                </a:ext>
                <a:ext uri="{FF2B5EF4-FFF2-40B4-BE49-F238E27FC236}">
                  <a16:creationId xmlns:a16="http://schemas.microsoft.com/office/drawing/2014/main" id="{00000000-0008-0000-0500-000004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19050</xdr:rowOff>
        </xdr:from>
        <xdr:to>
          <xdr:col>1</xdr:col>
          <xdr:colOff>47625</xdr:colOff>
          <xdr:row>10</xdr:row>
          <xdr:rowOff>171450</xdr:rowOff>
        </xdr:to>
        <xdr:sp macro="" textlink="">
          <xdr:nvSpPr>
            <xdr:cNvPr id="48133" name="Check Box 5" hidden="1">
              <a:extLst>
                <a:ext uri="{63B3BB69-23CF-44E3-9099-C40C66FF867C}">
                  <a14:compatExt spid="_x0000_s48133"/>
                </a:ext>
                <a:ext uri="{FF2B5EF4-FFF2-40B4-BE49-F238E27FC236}">
                  <a16:creationId xmlns:a16="http://schemas.microsoft.com/office/drawing/2014/main" id="{00000000-0008-0000-0500-000005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9525</xdr:rowOff>
        </xdr:from>
        <xdr:to>
          <xdr:col>1</xdr:col>
          <xdr:colOff>57150</xdr:colOff>
          <xdr:row>11</xdr:row>
          <xdr:rowOff>161925</xdr:rowOff>
        </xdr:to>
        <xdr:sp macro="" textlink="">
          <xdr:nvSpPr>
            <xdr:cNvPr id="48134" name="Check Box 6" hidden="1">
              <a:extLst>
                <a:ext uri="{63B3BB69-23CF-44E3-9099-C40C66FF867C}">
                  <a14:compatExt spid="_x0000_s48134"/>
                </a:ext>
                <a:ext uri="{FF2B5EF4-FFF2-40B4-BE49-F238E27FC236}">
                  <a16:creationId xmlns:a16="http://schemas.microsoft.com/office/drawing/2014/main" id="{00000000-0008-0000-0500-000006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9525</xdr:rowOff>
        </xdr:from>
        <xdr:to>
          <xdr:col>1</xdr:col>
          <xdr:colOff>47625</xdr:colOff>
          <xdr:row>12</xdr:row>
          <xdr:rowOff>161925</xdr:rowOff>
        </xdr:to>
        <xdr:sp macro="" textlink="">
          <xdr:nvSpPr>
            <xdr:cNvPr id="48135" name="Check Box 7" hidden="1">
              <a:extLst>
                <a:ext uri="{63B3BB69-23CF-44E3-9099-C40C66FF867C}">
                  <a14:compatExt spid="_x0000_s48135"/>
                </a:ext>
                <a:ext uri="{FF2B5EF4-FFF2-40B4-BE49-F238E27FC236}">
                  <a16:creationId xmlns:a16="http://schemas.microsoft.com/office/drawing/2014/main" id="{00000000-0008-0000-0500-000007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19050</xdr:rowOff>
        </xdr:from>
        <xdr:to>
          <xdr:col>1</xdr:col>
          <xdr:colOff>47625</xdr:colOff>
          <xdr:row>13</xdr:row>
          <xdr:rowOff>171450</xdr:rowOff>
        </xdr:to>
        <xdr:sp macro="" textlink="">
          <xdr:nvSpPr>
            <xdr:cNvPr id="48136" name="Check Box 8" hidden="1">
              <a:extLst>
                <a:ext uri="{63B3BB69-23CF-44E3-9099-C40C66FF867C}">
                  <a14:compatExt spid="_x0000_s48136"/>
                </a:ext>
                <a:ext uri="{FF2B5EF4-FFF2-40B4-BE49-F238E27FC236}">
                  <a16:creationId xmlns:a16="http://schemas.microsoft.com/office/drawing/2014/main" id="{00000000-0008-0000-0500-000008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19050</xdr:rowOff>
        </xdr:from>
        <xdr:to>
          <xdr:col>1</xdr:col>
          <xdr:colOff>47625</xdr:colOff>
          <xdr:row>14</xdr:row>
          <xdr:rowOff>171450</xdr:rowOff>
        </xdr:to>
        <xdr:sp macro="" textlink="">
          <xdr:nvSpPr>
            <xdr:cNvPr id="48137" name="Check Box 9" hidden="1">
              <a:extLst>
                <a:ext uri="{63B3BB69-23CF-44E3-9099-C40C66FF867C}">
                  <a14:compatExt spid="_x0000_s48137"/>
                </a:ext>
                <a:ext uri="{FF2B5EF4-FFF2-40B4-BE49-F238E27FC236}">
                  <a16:creationId xmlns:a16="http://schemas.microsoft.com/office/drawing/2014/main" id="{00000000-0008-0000-0500-000009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9525</xdr:rowOff>
        </xdr:from>
        <xdr:to>
          <xdr:col>1</xdr:col>
          <xdr:colOff>47625</xdr:colOff>
          <xdr:row>15</xdr:row>
          <xdr:rowOff>161925</xdr:rowOff>
        </xdr:to>
        <xdr:sp macro="" textlink="">
          <xdr:nvSpPr>
            <xdr:cNvPr id="48138" name="Check Box 10" hidden="1">
              <a:extLst>
                <a:ext uri="{63B3BB69-23CF-44E3-9099-C40C66FF867C}">
                  <a14:compatExt spid="_x0000_s48138"/>
                </a:ext>
                <a:ext uri="{FF2B5EF4-FFF2-40B4-BE49-F238E27FC236}">
                  <a16:creationId xmlns:a16="http://schemas.microsoft.com/office/drawing/2014/main" id="{00000000-0008-0000-0500-00000A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19050</xdr:rowOff>
        </xdr:from>
        <xdr:to>
          <xdr:col>1</xdr:col>
          <xdr:colOff>47625</xdr:colOff>
          <xdr:row>16</xdr:row>
          <xdr:rowOff>171450</xdr:rowOff>
        </xdr:to>
        <xdr:sp macro="" textlink="">
          <xdr:nvSpPr>
            <xdr:cNvPr id="48139" name="Check Box 11" hidden="1">
              <a:extLst>
                <a:ext uri="{63B3BB69-23CF-44E3-9099-C40C66FF867C}">
                  <a14:compatExt spid="_x0000_s48139"/>
                </a:ext>
                <a:ext uri="{FF2B5EF4-FFF2-40B4-BE49-F238E27FC236}">
                  <a16:creationId xmlns:a16="http://schemas.microsoft.com/office/drawing/2014/main" id="{00000000-0008-0000-0500-00000B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19050</xdr:rowOff>
        </xdr:from>
        <xdr:to>
          <xdr:col>1</xdr:col>
          <xdr:colOff>47625</xdr:colOff>
          <xdr:row>17</xdr:row>
          <xdr:rowOff>171450</xdr:rowOff>
        </xdr:to>
        <xdr:sp macro="" textlink="">
          <xdr:nvSpPr>
            <xdr:cNvPr id="48140" name="Check Box 12" hidden="1">
              <a:extLst>
                <a:ext uri="{63B3BB69-23CF-44E3-9099-C40C66FF867C}">
                  <a14:compatExt spid="_x0000_s48140"/>
                </a:ext>
                <a:ext uri="{FF2B5EF4-FFF2-40B4-BE49-F238E27FC236}">
                  <a16:creationId xmlns:a16="http://schemas.microsoft.com/office/drawing/2014/main" id="{00000000-0008-0000-0500-00000C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19050</xdr:rowOff>
        </xdr:from>
        <xdr:to>
          <xdr:col>1</xdr:col>
          <xdr:colOff>47625</xdr:colOff>
          <xdr:row>18</xdr:row>
          <xdr:rowOff>171450</xdr:rowOff>
        </xdr:to>
        <xdr:sp macro="" textlink="">
          <xdr:nvSpPr>
            <xdr:cNvPr id="48141" name="Check Box 13" hidden="1">
              <a:extLst>
                <a:ext uri="{63B3BB69-23CF-44E3-9099-C40C66FF867C}">
                  <a14:compatExt spid="_x0000_s48141"/>
                </a:ext>
                <a:ext uri="{FF2B5EF4-FFF2-40B4-BE49-F238E27FC236}">
                  <a16:creationId xmlns:a16="http://schemas.microsoft.com/office/drawing/2014/main" id="{00000000-0008-0000-0500-00000D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19050</xdr:rowOff>
        </xdr:from>
        <xdr:to>
          <xdr:col>1</xdr:col>
          <xdr:colOff>47625</xdr:colOff>
          <xdr:row>19</xdr:row>
          <xdr:rowOff>171450</xdr:rowOff>
        </xdr:to>
        <xdr:sp macro="" textlink="">
          <xdr:nvSpPr>
            <xdr:cNvPr id="48142" name="Check Box 14" hidden="1">
              <a:extLst>
                <a:ext uri="{63B3BB69-23CF-44E3-9099-C40C66FF867C}">
                  <a14:compatExt spid="_x0000_s48142"/>
                </a:ext>
                <a:ext uri="{FF2B5EF4-FFF2-40B4-BE49-F238E27FC236}">
                  <a16:creationId xmlns:a16="http://schemas.microsoft.com/office/drawing/2014/main" id="{00000000-0008-0000-0500-00000E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9525</xdr:rowOff>
        </xdr:from>
        <xdr:to>
          <xdr:col>1</xdr:col>
          <xdr:colOff>47625</xdr:colOff>
          <xdr:row>20</xdr:row>
          <xdr:rowOff>161925</xdr:rowOff>
        </xdr:to>
        <xdr:sp macro="" textlink="">
          <xdr:nvSpPr>
            <xdr:cNvPr id="48143" name="Check Box 15" hidden="1">
              <a:extLst>
                <a:ext uri="{63B3BB69-23CF-44E3-9099-C40C66FF867C}">
                  <a14:compatExt spid="_x0000_s48143"/>
                </a:ext>
                <a:ext uri="{FF2B5EF4-FFF2-40B4-BE49-F238E27FC236}">
                  <a16:creationId xmlns:a16="http://schemas.microsoft.com/office/drawing/2014/main" id="{00000000-0008-0000-0500-00000F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19050</xdr:rowOff>
        </xdr:from>
        <xdr:to>
          <xdr:col>1</xdr:col>
          <xdr:colOff>47625</xdr:colOff>
          <xdr:row>22</xdr:row>
          <xdr:rowOff>0</xdr:rowOff>
        </xdr:to>
        <xdr:sp macro="" textlink="">
          <xdr:nvSpPr>
            <xdr:cNvPr id="48144" name="Check Box 16" hidden="1">
              <a:extLst>
                <a:ext uri="{63B3BB69-23CF-44E3-9099-C40C66FF867C}">
                  <a14:compatExt spid="_x0000_s48144"/>
                </a:ext>
                <a:ext uri="{FF2B5EF4-FFF2-40B4-BE49-F238E27FC236}">
                  <a16:creationId xmlns:a16="http://schemas.microsoft.com/office/drawing/2014/main" id="{00000000-0008-0000-0500-000010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19050</xdr:rowOff>
        </xdr:from>
        <xdr:to>
          <xdr:col>1</xdr:col>
          <xdr:colOff>47625</xdr:colOff>
          <xdr:row>23</xdr:row>
          <xdr:rowOff>0</xdr:rowOff>
        </xdr:to>
        <xdr:sp macro="" textlink="">
          <xdr:nvSpPr>
            <xdr:cNvPr id="48145" name="Check Box 17" hidden="1">
              <a:extLst>
                <a:ext uri="{63B3BB69-23CF-44E3-9099-C40C66FF867C}">
                  <a14:compatExt spid="_x0000_s48145"/>
                </a:ext>
                <a:ext uri="{FF2B5EF4-FFF2-40B4-BE49-F238E27FC236}">
                  <a16:creationId xmlns:a16="http://schemas.microsoft.com/office/drawing/2014/main" id="{00000000-0008-0000-0500-000011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19050</xdr:rowOff>
        </xdr:from>
        <xdr:to>
          <xdr:col>1</xdr:col>
          <xdr:colOff>66675</xdr:colOff>
          <xdr:row>24</xdr:row>
          <xdr:rowOff>0</xdr:rowOff>
        </xdr:to>
        <xdr:sp macro="" textlink="">
          <xdr:nvSpPr>
            <xdr:cNvPr id="48146" name="Check Box 18" hidden="1">
              <a:extLst>
                <a:ext uri="{63B3BB69-23CF-44E3-9099-C40C66FF867C}">
                  <a14:compatExt spid="_x0000_s48146"/>
                </a:ext>
                <a:ext uri="{FF2B5EF4-FFF2-40B4-BE49-F238E27FC236}">
                  <a16:creationId xmlns:a16="http://schemas.microsoft.com/office/drawing/2014/main" id="{00000000-0008-0000-0500-000012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19050</xdr:rowOff>
        </xdr:from>
        <xdr:to>
          <xdr:col>1</xdr:col>
          <xdr:colOff>47625</xdr:colOff>
          <xdr:row>25</xdr:row>
          <xdr:rowOff>0</xdr:rowOff>
        </xdr:to>
        <xdr:sp macro="" textlink="">
          <xdr:nvSpPr>
            <xdr:cNvPr id="48147" name="Check Box 19" hidden="1">
              <a:extLst>
                <a:ext uri="{63B3BB69-23CF-44E3-9099-C40C66FF867C}">
                  <a14:compatExt spid="_x0000_s48147"/>
                </a:ext>
                <a:ext uri="{FF2B5EF4-FFF2-40B4-BE49-F238E27FC236}">
                  <a16:creationId xmlns:a16="http://schemas.microsoft.com/office/drawing/2014/main" id="{00000000-0008-0000-0500-000013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19050</xdr:rowOff>
        </xdr:from>
        <xdr:to>
          <xdr:col>1</xdr:col>
          <xdr:colOff>66675</xdr:colOff>
          <xdr:row>26</xdr:row>
          <xdr:rowOff>0</xdr:rowOff>
        </xdr:to>
        <xdr:sp macro="" textlink="">
          <xdr:nvSpPr>
            <xdr:cNvPr id="48148" name="Check Box 20" hidden="1">
              <a:extLst>
                <a:ext uri="{63B3BB69-23CF-44E3-9099-C40C66FF867C}">
                  <a14:compatExt spid="_x0000_s48148"/>
                </a:ext>
                <a:ext uri="{FF2B5EF4-FFF2-40B4-BE49-F238E27FC236}">
                  <a16:creationId xmlns:a16="http://schemas.microsoft.com/office/drawing/2014/main" id="{00000000-0008-0000-0500-000014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19050</xdr:rowOff>
        </xdr:from>
        <xdr:to>
          <xdr:col>1</xdr:col>
          <xdr:colOff>47625</xdr:colOff>
          <xdr:row>26</xdr:row>
          <xdr:rowOff>171450</xdr:rowOff>
        </xdr:to>
        <xdr:sp macro="" textlink="">
          <xdr:nvSpPr>
            <xdr:cNvPr id="48149" name="Check Box 21" hidden="1">
              <a:extLst>
                <a:ext uri="{63B3BB69-23CF-44E3-9099-C40C66FF867C}">
                  <a14:compatExt spid="_x0000_s48149"/>
                </a:ext>
                <a:ext uri="{FF2B5EF4-FFF2-40B4-BE49-F238E27FC236}">
                  <a16:creationId xmlns:a16="http://schemas.microsoft.com/office/drawing/2014/main" id="{00000000-0008-0000-0500-000015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19050</xdr:rowOff>
        </xdr:from>
        <xdr:to>
          <xdr:col>1</xdr:col>
          <xdr:colOff>47625</xdr:colOff>
          <xdr:row>27</xdr:row>
          <xdr:rowOff>171450</xdr:rowOff>
        </xdr:to>
        <xdr:sp macro="" textlink="">
          <xdr:nvSpPr>
            <xdr:cNvPr id="48150" name="Check Box 22" hidden="1">
              <a:extLst>
                <a:ext uri="{63B3BB69-23CF-44E3-9099-C40C66FF867C}">
                  <a14:compatExt spid="_x0000_s48150"/>
                </a:ext>
                <a:ext uri="{FF2B5EF4-FFF2-40B4-BE49-F238E27FC236}">
                  <a16:creationId xmlns:a16="http://schemas.microsoft.com/office/drawing/2014/main" id="{00000000-0008-0000-0500-000016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9525</xdr:rowOff>
        </xdr:from>
        <xdr:to>
          <xdr:col>1</xdr:col>
          <xdr:colOff>57150</xdr:colOff>
          <xdr:row>28</xdr:row>
          <xdr:rowOff>161925</xdr:rowOff>
        </xdr:to>
        <xdr:sp macro="" textlink="">
          <xdr:nvSpPr>
            <xdr:cNvPr id="48151" name="Check Box 23" hidden="1">
              <a:extLst>
                <a:ext uri="{63B3BB69-23CF-44E3-9099-C40C66FF867C}">
                  <a14:compatExt spid="_x0000_s48151"/>
                </a:ext>
                <a:ext uri="{FF2B5EF4-FFF2-40B4-BE49-F238E27FC236}">
                  <a16:creationId xmlns:a16="http://schemas.microsoft.com/office/drawing/2014/main" id="{00000000-0008-0000-0500-000017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19050</xdr:rowOff>
        </xdr:from>
        <xdr:to>
          <xdr:col>1</xdr:col>
          <xdr:colOff>57150</xdr:colOff>
          <xdr:row>29</xdr:row>
          <xdr:rowOff>171450</xdr:rowOff>
        </xdr:to>
        <xdr:sp macro="" textlink="">
          <xdr:nvSpPr>
            <xdr:cNvPr id="48152" name="Check Box 24" hidden="1">
              <a:extLst>
                <a:ext uri="{63B3BB69-23CF-44E3-9099-C40C66FF867C}">
                  <a14:compatExt spid="_x0000_s48152"/>
                </a:ext>
                <a:ext uri="{FF2B5EF4-FFF2-40B4-BE49-F238E27FC236}">
                  <a16:creationId xmlns:a16="http://schemas.microsoft.com/office/drawing/2014/main" id="{00000000-0008-0000-0500-000018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19050</xdr:rowOff>
        </xdr:from>
        <xdr:to>
          <xdr:col>1</xdr:col>
          <xdr:colOff>47625</xdr:colOff>
          <xdr:row>30</xdr:row>
          <xdr:rowOff>171450</xdr:rowOff>
        </xdr:to>
        <xdr:sp macro="" textlink="">
          <xdr:nvSpPr>
            <xdr:cNvPr id="48153" name="Check Box 25" hidden="1">
              <a:extLst>
                <a:ext uri="{63B3BB69-23CF-44E3-9099-C40C66FF867C}">
                  <a14:compatExt spid="_x0000_s48153"/>
                </a:ext>
                <a:ext uri="{FF2B5EF4-FFF2-40B4-BE49-F238E27FC236}">
                  <a16:creationId xmlns:a16="http://schemas.microsoft.com/office/drawing/2014/main" id="{00000000-0008-0000-0500-000019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28575</xdr:rowOff>
        </xdr:from>
        <xdr:to>
          <xdr:col>1</xdr:col>
          <xdr:colOff>47625</xdr:colOff>
          <xdr:row>31</xdr:row>
          <xdr:rowOff>171450</xdr:rowOff>
        </xdr:to>
        <xdr:sp macro="" textlink="">
          <xdr:nvSpPr>
            <xdr:cNvPr id="48154" name="Check Box 26" hidden="1">
              <a:extLst>
                <a:ext uri="{63B3BB69-23CF-44E3-9099-C40C66FF867C}">
                  <a14:compatExt spid="_x0000_s48154"/>
                </a:ext>
                <a:ext uri="{FF2B5EF4-FFF2-40B4-BE49-F238E27FC236}">
                  <a16:creationId xmlns:a16="http://schemas.microsoft.com/office/drawing/2014/main" id="{00000000-0008-0000-0500-00001A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19050</xdr:rowOff>
        </xdr:from>
        <xdr:to>
          <xdr:col>1</xdr:col>
          <xdr:colOff>47625</xdr:colOff>
          <xdr:row>32</xdr:row>
          <xdr:rowOff>171450</xdr:rowOff>
        </xdr:to>
        <xdr:sp macro="" textlink="">
          <xdr:nvSpPr>
            <xdr:cNvPr id="48155" name="Check Box 27" hidden="1">
              <a:extLst>
                <a:ext uri="{63B3BB69-23CF-44E3-9099-C40C66FF867C}">
                  <a14:compatExt spid="_x0000_s48155"/>
                </a:ext>
                <a:ext uri="{FF2B5EF4-FFF2-40B4-BE49-F238E27FC236}">
                  <a16:creationId xmlns:a16="http://schemas.microsoft.com/office/drawing/2014/main" id="{00000000-0008-0000-0500-00001B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19050</xdr:rowOff>
        </xdr:from>
        <xdr:to>
          <xdr:col>1</xdr:col>
          <xdr:colOff>47625</xdr:colOff>
          <xdr:row>33</xdr:row>
          <xdr:rowOff>171450</xdr:rowOff>
        </xdr:to>
        <xdr:sp macro="" textlink="">
          <xdr:nvSpPr>
            <xdr:cNvPr id="48156" name="Check Box 28" hidden="1">
              <a:extLst>
                <a:ext uri="{63B3BB69-23CF-44E3-9099-C40C66FF867C}">
                  <a14:compatExt spid="_x0000_s48156"/>
                </a:ext>
                <a:ext uri="{FF2B5EF4-FFF2-40B4-BE49-F238E27FC236}">
                  <a16:creationId xmlns:a16="http://schemas.microsoft.com/office/drawing/2014/main" id="{00000000-0008-0000-0500-00001C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19050</xdr:rowOff>
        </xdr:from>
        <xdr:to>
          <xdr:col>1</xdr:col>
          <xdr:colOff>47625</xdr:colOff>
          <xdr:row>34</xdr:row>
          <xdr:rowOff>171450</xdr:rowOff>
        </xdr:to>
        <xdr:sp macro="" textlink="">
          <xdr:nvSpPr>
            <xdr:cNvPr id="48157" name="Check Box 29" hidden="1">
              <a:extLst>
                <a:ext uri="{63B3BB69-23CF-44E3-9099-C40C66FF867C}">
                  <a14:compatExt spid="_x0000_s48157"/>
                </a:ext>
                <a:ext uri="{FF2B5EF4-FFF2-40B4-BE49-F238E27FC236}">
                  <a16:creationId xmlns:a16="http://schemas.microsoft.com/office/drawing/2014/main" id="{00000000-0008-0000-0500-00001D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19050</xdr:rowOff>
        </xdr:from>
        <xdr:to>
          <xdr:col>1</xdr:col>
          <xdr:colOff>47625</xdr:colOff>
          <xdr:row>35</xdr:row>
          <xdr:rowOff>171450</xdr:rowOff>
        </xdr:to>
        <xdr:sp macro="" textlink="">
          <xdr:nvSpPr>
            <xdr:cNvPr id="48158" name="Check Box 30" hidden="1">
              <a:extLst>
                <a:ext uri="{63B3BB69-23CF-44E3-9099-C40C66FF867C}">
                  <a14:compatExt spid="_x0000_s48158"/>
                </a:ext>
                <a:ext uri="{FF2B5EF4-FFF2-40B4-BE49-F238E27FC236}">
                  <a16:creationId xmlns:a16="http://schemas.microsoft.com/office/drawing/2014/main" id="{00000000-0008-0000-0500-00001E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19050</xdr:rowOff>
        </xdr:from>
        <xdr:to>
          <xdr:col>1</xdr:col>
          <xdr:colOff>47625</xdr:colOff>
          <xdr:row>36</xdr:row>
          <xdr:rowOff>171450</xdr:rowOff>
        </xdr:to>
        <xdr:sp macro="" textlink="">
          <xdr:nvSpPr>
            <xdr:cNvPr id="48159" name="Check Box 31" hidden="1">
              <a:extLst>
                <a:ext uri="{63B3BB69-23CF-44E3-9099-C40C66FF867C}">
                  <a14:compatExt spid="_x0000_s48159"/>
                </a:ext>
                <a:ext uri="{FF2B5EF4-FFF2-40B4-BE49-F238E27FC236}">
                  <a16:creationId xmlns:a16="http://schemas.microsoft.com/office/drawing/2014/main" id="{00000000-0008-0000-0500-00001F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19050</xdr:rowOff>
        </xdr:from>
        <xdr:to>
          <xdr:col>1</xdr:col>
          <xdr:colOff>47625</xdr:colOff>
          <xdr:row>37</xdr:row>
          <xdr:rowOff>171450</xdr:rowOff>
        </xdr:to>
        <xdr:sp macro="" textlink="">
          <xdr:nvSpPr>
            <xdr:cNvPr id="48160" name="Check Box 32" hidden="1">
              <a:extLst>
                <a:ext uri="{63B3BB69-23CF-44E3-9099-C40C66FF867C}">
                  <a14:compatExt spid="_x0000_s48160"/>
                </a:ext>
                <a:ext uri="{FF2B5EF4-FFF2-40B4-BE49-F238E27FC236}">
                  <a16:creationId xmlns:a16="http://schemas.microsoft.com/office/drawing/2014/main" id="{00000000-0008-0000-0500-000020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9525</xdr:rowOff>
        </xdr:from>
        <xdr:to>
          <xdr:col>1</xdr:col>
          <xdr:colOff>47625</xdr:colOff>
          <xdr:row>38</xdr:row>
          <xdr:rowOff>161925</xdr:rowOff>
        </xdr:to>
        <xdr:sp macro="" textlink="">
          <xdr:nvSpPr>
            <xdr:cNvPr id="48161" name="Check Box 33" hidden="1">
              <a:extLst>
                <a:ext uri="{63B3BB69-23CF-44E3-9099-C40C66FF867C}">
                  <a14:compatExt spid="_x0000_s48161"/>
                </a:ext>
                <a:ext uri="{FF2B5EF4-FFF2-40B4-BE49-F238E27FC236}">
                  <a16:creationId xmlns:a16="http://schemas.microsoft.com/office/drawing/2014/main" id="{00000000-0008-0000-0500-000021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19050</xdr:rowOff>
        </xdr:from>
        <xdr:to>
          <xdr:col>1</xdr:col>
          <xdr:colOff>57150</xdr:colOff>
          <xdr:row>39</xdr:row>
          <xdr:rowOff>161925</xdr:rowOff>
        </xdr:to>
        <xdr:sp macro="" textlink="">
          <xdr:nvSpPr>
            <xdr:cNvPr id="48162" name="Check Box 34" hidden="1">
              <a:extLst>
                <a:ext uri="{63B3BB69-23CF-44E3-9099-C40C66FF867C}">
                  <a14:compatExt spid="_x0000_s48162"/>
                </a:ext>
                <a:ext uri="{FF2B5EF4-FFF2-40B4-BE49-F238E27FC236}">
                  <a16:creationId xmlns:a16="http://schemas.microsoft.com/office/drawing/2014/main" id="{00000000-0008-0000-0500-000022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19050</xdr:rowOff>
        </xdr:from>
        <xdr:to>
          <xdr:col>1</xdr:col>
          <xdr:colOff>57150</xdr:colOff>
          <xdr:row>40</xdr:row>
          <xdr:rowOff>171450</xdr:rowOff>
        </xdr:to>
        <xdr:sp macro="" textlink="">
          <xdr:nvSpPr>
            <xdr:cNvPr id="48163" name="Check Box 35" hidden="1">
              <a:extLst>
                <a:ext uri="{63B3BB69-23CF-44E3-9099-C40C66FF867C}">
                  <a14:compatExt spid="_x0000_s48163"/>
                </a:ext>
                <a:ext uri="{FF2B5EF4-FFF2-40B4-BE49-F238E27FC236}">
                  <a16:creationId xmlns:a16="http://schemas.microsoft.com/office/drawing/2014/main" id="{00000000-0008-0000-0500-000023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xdr:rowOff>
        </xdr:from>
        <xdr:to>
          <xdr:col>1</xdr:col>
          <xdr:colOff>57150</xdr:colOff>
          <xdr:row>41</xdr:row>
          <xdr:rowOff>171450</xdr:rowOff>
        </xdr:to>
        <xdr:sp macro="" textlink="">
          <xdr:nvSpPr>
            <xdr:cNvPr id="48164" name="Check Box 36" hidden="1">
              <a:extLst>
                <a:ext uri="{63B3BB69-23CF-44E3-9099-C40C66FF867C}">
                  <a14:compatExt spid="_x0000_s48164"/>
                </a:ext>
                <a:ext uri="{FF2B5EF4-FFF2-40B4-BE49-F238E27FC236}">
                  <a16:creationId xmlns:a16="http://schemas.microsoft.com/office/drawing/2014/main" id="{00000000-0008-0000-0500-000024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9525</xdr:rowOff>
        </xdr:from>
        <xdr:to>
          <xdr:col>1</xdr:col>
          <xdr:colOff>57150</xdr:colOff>
          <xdr:row>42</xdr:row>
          <xdr:rowOff>171450</xdr:rowOff>
        </xdr:to>
        <xdr:sp macro="" textlink="">
          <xdr:nvSpPr>
            <xdr:cNvPr id="48165" name="Check Box 37" hidden="1">
              <a:extLst>
                <a:ext uri="{63B3BB69-23CF-44E3-9099-C40C66FF867C}">
                  <a14:compatExt spid="_x0000_s48165"/>
                </a:ext>
                <a:ext uri="{FF2B5EF4-FFF2-40B4-BE49-F238E27FC236}">
                  <a16:creationId xmlns:a16="http://schemas.microsoft.com/office/drawing/2014/main" id="{00000000-0008-0000-0500-000025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xdr:rowOff>
        </xdr:from>
        <xdr:to>
          <xdr:col>1</xdr:col>
          <xdr:colOff>57150</xdr:colOff>
          <xdr:row>43</xdr:row>
          <xdr:rowOff>171450</xdr:rowOff>
        </xdr:to>
        <xdr:sp macro="" textlink="">
          <xdr:nvSpPr>
            <xdr:cNvPr id="48166" name="Check Box 38" hidden="1">
              <a:extLst>
                <a:ext uri="{63B3BB69-23CF-44E3-9099-C40C66FF867C}">
                  <a14:compatExt spid="_x0000_s48166"/>
                </a:ext>
                <a:ext uri="{FF2B5EF4-FFF2-40B4-BE49-F238E27FC236}">
                  <a16:creationId xmlns:a16="http://schemas.microsoft.com/office/drawing/2014/main" id="{00000000-0008-0000-0500-000026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9525</xdr:rowOff>
        </xdr:from>
        <xdr:to>
          <xdr:col>1</xdr:col>
          <xdr:colOff>57150</xdr:colOff>
          <xdr:row>44</xdr:row>
          <xdr:rowOff>171450</xdr:rowOff>
        </xdr:to>
        <xdr:sp macro="" textlink="">
          <xdr:nvSpPr>
            <xdr:cNvPr id="48167" name="Check Box 39" hidden="1">
              <a:extLst>
                <a:ext uri="{63B3BB69-23CF-44E3-9099-C40C66FF867C}">
                  <a14:compatExt spid="_x0000_s48167"/>
                </a:ext>
                <a:ext uri="{FF2B5EF4-FFF2-40B4-BE49-F238E27FC236}">
                  <a16:creationId xmlns:a16="http://schemas.microsoft.com/office/drawing/2014/main" id="{00000000-0008-0000-0500-000027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19050</xdr:rowOff>
        </xdr:from>
        <xdr:to>
          <xdr:col>1</xdr:col>
          <xdr:colOff>57150</xdr:colOff>
          <xdr:row>45</xdr:row>
          <xdr:rowOff>171450</xdr:rowOff>
        </xdr:to>
        <xdr:sp macro="" textlink="">
          <xdr:nvSpPr>
            <xdr:cNvPr id="48168" name="Check Box 40" hidden="1">
              <a:extLst>
                <a:ext uri="{63B3BB69-23CF-44E3-9099-C40C66FF867C}">
                  <a14:compatExt spid="_x0000_s48168"/>
                </a:ext>
                <a:ext uri="{FF2B5EF4-FFF2-40B4-BE49-F238E27FC236}">
                  <a16:creationId xmlns:a16="http://schemas.microsoft.com/office/drawing/2014/main" id="{00000000-0008-0000-0500-000028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9525</xdr:rowOff>
        </xdr:from>
        <xdr:to>
          <xdr:col>1</xdr:col>
          <xdr:colOff>57150</xdr:colOff>
          <xdr:row>46</xdr:row>
          <xdr:rowOff>161925</xdr:rowOff>
        </xdr:to>
        <xdr:sp macro="" textlink="">
          <xdr:nvSpPr>
            <xdr:cNvPr id="48169" name="Check Box 41" hidden="1">
              <a:extLst>
                <a:ext uri="{63B3BB69-23CF-44E3-9099-C40C66FF867C}">
                  <a14:compatExt spid="_x0000_s48169"/>
                </a:ext>
                <a:ext uri="{FF2B5EF4-FFF2-40B4-BE49-F238E27FC236}">
                  <a16:creationId xmlns:a16="http://schemas.microsoft.com/office/drawing/2014/main" id="{00000000-0008-0000-0500-000029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9525</xdr:rowOff>
        </xdr:from>
        <xdr:to>
          <xdr:col>1</xdr:col>
          <xdr:colOff>57150</xdr:colOff>
          <xdr:row>47</xdr:row>
          <xdr:rowOff>161925</xdr:rowOff>
        </xdr:to>
        <xdr:sp macro="" textlink="">
          <xdr:nvSpPr>
            <xdr:cNvPr id="48170" name="Check Box 42" hidden="1">
              <a:extLst>
                <a:ext uri="{63B3BB69-23CF-44E3-9099-C40C66FF867C}">
                  <a14:compatExt spid="_x0000_s48170"/>
                </a:ext>
                <a:ext uri="{FF2B5EF4-FFF2-40B4-BE49-F238E27FC236}">
                  <a16:creationId xmlns:a16="http://schemas.microsoft.com/office/drawing/2014/main" id="{00000000-0008-0000-0500-00002A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1</xdr:col>
          <xdr:colOff>57150</xdr:colOff>
          <xdr:row>48</xdr:row>
          <xdr:rowOff>161925</xdr:rowOff>
        </xdr:to>
        <xdr:sp macro="" textlink="">
          <xdr:nvSpPr>
            <xdr:cNvPr id="48171" name="Check Box 43" hidden="1">
              <a:extLst>
                <a:ext uri="{63B3BB69-23CF-44E3-9099-C40C66FF867C}">
                  <a14:compatExt spid="_x0000_s48171"/>
                </a:ext>
                <a:ext uri="{FF2B5EF4-FFF2-40B4-BE49-F238E27FC236}">
                  <a16:creationId xmlns:a16="http://schemas.microsoft.com/office/drawing/2014/main" id="{00000000-0008-0000-0500-00002BB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6</xdr:row>
          <xdr:rowOff>19050</xdr:rowOff>
        </xdr:from>
        <xdr:to>
          <xdr:col>1</xdr:col>
          <xdr:colOff>314325</xdr:colOff>
          <xdr:row>6</xdr:row>
          <xdr:rowOff>171450</xdr:rowOff>
        </xdr:to>
        <xdr:sp macro="" textlink="">
          <xdr:nvSpPr>
            <xdr:cNvPr id="28676" name="Check Box 4" hidden="1">
              <a:extLst>
                <a:ext uri="{63B3BB69-23CF-44E3-9099-C40C66FF867C}">
                  <a14:compatExt spid="_x0000_s28676"/>
                </a:ext>
                <a:ext uri="{FF2B5EF4-FFF2-40B4-BE49-F238E27FC236}">
                  <a16:creationId xmlns:a16="http://schemas.microsoft.com/office/drawing/2014/main" id="{00000000-0008-0000-0600-00000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7</xdr:row>
          <xdr:rowOff>9525</xdr:rowOff>
        </xdr:from>
        <xdr:to>
          <xdr:col>1</xdr:col>
          <xdr:colOff>304800</xdr:colOff>
          <xdr:row>7</xdr:row>
          <xdr:rowOff>161925</xdr:rowOff>
        </xdr:to>
        <xdr:sp macro="" textlink="">
          <xdr:nvSpPr>
            <xdr:cNvPr id="28678" name="Check Box 6" hidden="1">
              <a:extLst>
                <a:ext uri="{63B3BB69-23CF-44E3-9099-C40C66FF867C}">
                  <a14:compatExt spid="_x0000_s28678"/>
                </a:ext>
                <a:ext uri="{FF2B5EF4-FFF2-40B4-BE49-F238E27FC236}">
                  <a16:creationId xmlns:a16="http://schemas.microsoft.com/office/drawing/2014/main" id="{00000000-0008-0000-0600-00000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8</xdr:row>
          <xdr:rowOff>9525</xdr:rowOff>
        </xdr:from>
        <xdr:to>
          <xdr:col>1</xdr:col>
          <xdr:colOff>304800</xdr:colOff>
          <xdr:row>8</xdr:row>
          <xdr:rowOff>161925</xdr:rowOff>
        </xdr:to>
        <xdr:sp macro="" textlink="">
          <xdr:nvSpPr>
            <xdr:cNvPr id="28679" name="Check Box 7" hidden="1">
              <a:extLst>
                <a:ext uri="{63B3BB69-23CF-44E3-9099-C40C66FF867C}">
                  <a14:compatExt spid="_x0000_s28679"/>
                </a:ext>
                <a:ext uri="{FF2B5EF4-FFF2-40B4-BE49-F238E27FC236}">
                  <a16:creationId xmlns:a16="http://schemas.microsoft.com/office/drawing/2014/main" id="{00000000-0008-0000-0600-00000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9</xdr:row>
          <xdr:rowOff>9525</xdr:rowOff>
        </xdr:from>
        <xdr:to>
          <xdr:col>1</xdr:col>
          <xdr:colOff>304800</xdr:colOff>
          <xdr:row>9</xdr:row>
          <xdr:rowOff>161925</xdr:rowOff>
        </xdr:to>
        <xdr:sp macro="" textlink="">
          <xdr:nvSpPr>
            <xdr:cNvPr id="28680" name="Check Box 8" hidden="1">
              <a:extLst>
                <a:ext uri="{63B3BB69-23CF-44E3-9099-C40C66FF867C}">
                  <a14:compatExt spid="_x0000_s28680"/>
                </a:ext>
                <a:ext uri="{FF2B5EF4-FFF2-40B4-BE49-F238E27FC236}">
                  <a16:creationId xmlns:a16="http://schemas.microsoft.com/office/drawing/2014/main" id="{00000000-0008-0000-0600-00000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10</xdr:row>
          <xdr:rowOff>9525</xdr:rowOff>
        </xdr:from>
        <xdr:to>
          <xdr:col>1</xdr:col>
          <xdr:colOff>304800</xdr:colOff>
          <xdr:row>10</xdr:row>
          <xdr:rowOff>161925</xdr:rowOff>
        </xdr:to>
        <xdr:sp macro="" textlink="">
          <xdr:nvSpPr>
            <xdr:cNvPr id="28681" name="Check Box 9" hidden="1">
              <a:extLst>
                <a:ext uri="{63B3BB69-23CF-44E3-9099-C40C66FF867C}">
                  <a14:compatExt spid="_x0000_s28681"/>
                </a:ext>
                <a:ext uri="{FF2B5EF4-FFF2-40B4-BE49-F238E27FC236}">
                  <a16:creationId xmlns:a16="http://schemas.microsoft.com/office/drawing/2014/main" id="{00000000-0008-0000-0600-00000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11</xdr:row>
          <xdr:rowOff>9525</xdr:rowOff>
        </xdr:from>
        <xdr:to>
          <xdr:col>1</xdr:col>
          <xdr:colOff>304800</xdr:colOff>
          <xdr:row>11</xdr:row>
          <xdr:rowOff>161925</xdr:rowOff>
        </xdr:to>
        <xdr:sp macro="" textlink="">
          <xdr:nvSpPr>
            <xdr:cNvPr id="28682" name="Check Box 10" hidden="1">
              <a:extLst>
                <a:ext uri="{63B3BB69-23CF-44E3-9099-C40C66FF867C}">
                  <a14:compatExt spid="_x0000_s28682"/>
                </a:ext>
                <a:ext uri="{FF2B5EF4-FFF2-40B4-BE49-F238E27FC236}">
                  <a16:creationId xmlns:a16="http://schemas.microsoft.com/office/drawing/2014/main" id="{00000000-0008-0000-0600-00000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12</xdr:row>
          <xdr:rowOff>9525</xdr:rowOff>
        </xdr:from>
        <xdr:to>
          <xdr:col>1</xdr:col>
          <xdr:colOff>304800</xdr:colOff>
          <xdr:row>12</xdr:row>
          <xdr:rowOff>161925</xdr:rowOff>
        </xdr:to>
        <xdr:sp macro="" textlink="">
          <xdr:nvSpPr>
            <xdr:cNvPr id="28683" name="Check Box 11" hidden="1">
              <a:extLst>
                <a:ext uri="{63B3BB69-23CF-44E3-9099-C40C66FF867C}">
                  <a14:compatExt spid="_x0000_s28683"/>
                </a:ext>
                <a:ext uri="{FF2B5EF4-FFF2-40B4-BE49-F238E27FC236}">
                  <a16:creationId xmlns:a16="http://schemas.microsoft.com/office/drawing/2014/main" id="{00000000-0008-0000-0600-00000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13</xdr:row>
          <xdr:rowOff>9525</xdr:rowOff>
        </xdr:from>
        <xdr:to>
          <xdr:col>1</xdr:col>
          <xdr:colOff>304800</xdr:colOff>
          <xdr:row>13</xdr:row>
          <xdr:rowOff>161925</xdr:rowOff>
        </xdr:to>
        <xdr:sp macro="" textlink="">
          <xdr:nvSpPr>
            <xdr:cNvPr id="28684" name="Check Box 12" hidden="1">
              <a:extLst>
                <a:ext uri="{63B3BB69-23CF-44E3-9099-C40C66FF867C}">
                  <a14:compatExt spid="_x0000_s28684"/>
                </a:ext>
                <a:ext uri="{FF2B5EF4-FFF2-40B4-BE49-F238E27FC236}">
                  <a16:creationId xmlns:a16="http://schemas.microsoft.com/office/drawing/2014/main" id="{00000000-0008-0000-0600-00000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14</xdr:row>
          <xdr:rowOff>28575</xdr:rowOff>
        </xdr:from>
        <xdr:to>
          <xdr:col>1</xdr:col>
          <xdr:colOff>304800</xdr:colOff>
          <xdr:row>15</xdr:row>
          <xdr:rowOff>0</xdr:rowOff>
        </xdr:to>
        <xdr:sp macro="" textlink="">
          <xdr:nvSpPr>
            <xdr:cNvPr id="28685" name="Check Box 13" hidden="1">
              <a:extLst>
                <a:ext uri="{63B3BB69-23CF-44E3-9099-C40C66FF867C}">
                  <a14:compatExt spid="_x0000_s28685"/>
                </a:ext>
                <a:ext uri="{FF2B5EF4-FFF2-40B4-BE49-F238E27FC236}">
                  <a16:creationId xmlns:a16="http://schemas.microsoft.com/office/drawing/2014/main" id="{00000000-0008-0000-0600-00000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15</xdr:row>
          <xdr:rowOff>9525</xdr:rowOff>
        </xdr:from>
        <xdr:to>
          <xdr:col>1</xdr:col>
          <xdr:colOff>304800</xdr:colOff>
          <xdr:row>15</xdr:row>
          <xdr:rowOff>161925</xdr:rowOff>
        </xdr:to>
        <xdr:sp macro="" textlink="">
          <xdr:nvSpPr>
            <xdr:cNvPr id="28686" name="Check Box 14" hidden="1">
              <a:extLst>
                <a:ext uri="{63B3BB69-23CF-44E3-9099-C40C66FF867C}">
                  <a14:compatExt spid="_x0000_s28686"/>
                </a:ext>
                <a:ext uri="{FF2B5EF4-FFF2-40B4-BE49-F238E27FC236}">
                  <a16:creationId xmlns:a16="http://schemas.microsoft.com/office/drawing/2014/main" id="{00000000-0008-0000-0600-00000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16</xdr:row>
          <xdr:rowOff>9525</xdr:rowOff>
        </xdr:from>
        <xdr:to>
          <xdr:col>1</xdr:col>
          <xdr:colOff>304800</xdr:colOff>
          <xdr:row>16</xdr:row>
          <xdr:rowOff>161925</xdr:rowOff>
        </xdr:to>
        <xdr:sp macro="" textlink="">
          <xdr:nvSpPr>
            <xdr:cNvPr id="28687" name="Check Box 15" hidden="1">
              <a:extLst>
                <a:ext uri="{63B3BB69-23CF-44E3-9099-C40C66FF867C}">
                  <a14:compatExt spid="_x0000_s28687"/>
                </a:ext>
                <a:ext uri="{FF2B5EF4-FFF2-40B4-BE49-F238E27FC236}">
                  <a16:creationId xmlns:a16="http://schemas.microsoft.com/office/drawing/2014/main" id="{00000000-0008-0000-0600-00000F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17</xdr:row>
          <xdr:rowOff>9525</xdr:rowOff>
        </xdr:from>
        <xdr:to>
          <xdr:col>1</xdr:col>
          <xdr:colOff>314325</xdr:colOff>
          <xdr:row>17</xdr:row>
          <xdr:rowOff>161925</xdr:rowOff>
        </xdr:to>
        <xdr:sp macro="" textlink="">
          <xdr:nvSpPr>
            <xdr:cNvPr id="28688" name="Check Box 16" hidden="1">
              <a:extLst>
                <a:ext uri="{63B3BB69-23CF-44E3-9099-C40C66FF867C}">
                  <a14:compatExt spid="_x0000_s28688"/>
                </a:ext>
                <a:ext uri="{FF2B5EF4-FFF2-40B4-BE49-F238E27FC236}">
                  <a16:creationId xmlns:a16="http://schemas.microsoft.com/office/drawing/2014/main" id="{00000000-0008-0000-0600-000010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18</xdr:row>
          <xdr:rowOff>19050</xdr:rowOff>
        </xdr:from>
        <xdr:to>
          <xdr:col>1</xdr:col>
          <xdr:colOff>304800</xdr:colOff>
          <xdr:row>18</xdr:row>
          <xdr:rowOff>171450</xdr:rowOff>
        </xdr:to>
        <xdr:sp macro="" textlink="">
          <xdr:nvSpPr>
            <xdr:cNvPr id="28689" name="Check Box 17" hidden="1">
              <a:extLst>
                <a:ext uri="{63B3BB69-23CF-44E3-9099-C40C66FF867C}">
                  <a14:compatExt spid="_x0000_s28689"/>
                </a:ext>
                <a:ext uri="{FF2B5EF4-FFF2-40B4-BE49-F238E27FC236}">
                  <a16:creationId xmlns:a16="http://schemas.microsoft.com/office/drawing/2014/main" id="{00000000-0008-0000-0600-00001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19</xdr:row>
          <xdr:rowOff>19050</xdr:rowOff>
        </xdr:from>
        <xdr:to>
          <xdr:col>1</xdr:col>
          <xdr:colOff>304800</xdr:colOff>
          <xdr:row>19</xdr:row>
          <xdr:rowOff>171450</xdr:rowOff>
        </xdr:to>
        <xdr:sp macro="" textlink="">
          <xdr:nvSpPr>
            <xdr:cNvPr id="28690" name="Check Box 18" hidden="1">
              <a:extLst>
                <a:ext uri="{63B3BB69-23CF-44E3-9099-C40C66FF867C}">
                  <a14:compatExt spid="_x0000_s28690"/>
                </a:ext>
                <a:ext uri="{FF2B5EF4-FFF2-40B4-BE49-F238E27FC236}">
                  <a16:creationId xmlns:a16="http://schemas.microsoft.com/office/drawing/2014/main" id="{00000000-0008-0000-0600-00001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20</xdr:row>
          <xdr:rowOff>9525</xdr:rowOff>
        </xdr:from>
        <xdr:to>
          <xdr:col>1</xdr:col>
          <xdr:colOff>304800</xdr:colOff>
          <xdr:row>20</xdr:row>
          <xdr:rowOff>161925</xdr:rowOff>
        </xdr:to>
        <xdr:sp macro="" textlink="">
          <xdr:nvSpPr>
            <xdr:cNvPr id="28691" name="Check Box 19" hidden="1">
              <a:extLst>
                <a:ext uri="{63B3BB69-23CF-44E3-9099-C40C66FF867C}">
                  <a14:compatExt spid="_x0000_s28691"/>
                </a:ext>
                <a:ext uri="{FF2B5EF4-FFF2-40B4-BE49-F238E27FC236}">
                  <a16:creationId xmlns:a16="http://schemas.microsoft.com/office/drawing/2014/main" id="{00000000-0008-0000-0600-00001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21</xdr:row>
          <xdr:rowOff>9525</xdr:rowOff>
        </xdr:from>
        <xdr:to>
          <xdr:col>1</xdr:col>
          <xdr:colOff>314325</xdr:colOff>
          <xdr:row>21</xdr:row>
          <xdr:rowOff>161925</xdr:rowOff>
        </xdr:to>
        <xdr:sp macro="" textlink="">
          <xdr:nvSpPr>
            <xdr:cNvPr id="28692" name="Check Box 20" hidden="1">
              <a:extLst>
                <a:ext uri="{63B3BB69-23CF-44E3-9099-C40C66FF867C}">
                  <a14:compatExt spid="_x0000_s28692"/>
                </a:ext>
                <a:ext uri="{FF2B5EF4-FFF2-40B4-BE49-F238E27FC236}">
                  <a16:creationId xmlns:a16="http://schemas.microsoft.com/office/drawing/2014/main" id="{00000000-0008-0000-0600-00001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22</xdr:row>
          <xdr:rowOff>9525</xdr:rowOff>
        </xdr:from>
        <xdr:to>
          <xdr:col>1</xdr:col>
          <xdr:colOff>304800</xdr:colOff>
          <xdr:row>22</xdr:row>
          <xdr:rowOff>161925</xdr:rowOff>
        </xdr:to>
        <xdr:sp macro="" textlink="">
          <xdr:nvSpPr>
            <xdr:cNvPr id="28693" name="Check Box 21" hidden="1">
              <a:extLst>
                <a:ext uri="{63B3BB69-23CF-44E3-9099-C40C66FF867C}">
                  <a14:compatExt spid="_x0000_s28693"/>
                </a:ext>
                <a:ext uri="{FF2B5EF4-FFF2-40B4-BE49-F238E27FC236}">
                  <a16:creationId xmlns:a16="http://schemas.microsoft.com/office/drawing/2014/main" id="{00000000-0008-0000-0600-00001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23</xdr:row>
          <xdr:rowOff>28575</xdr:rowOff>
        </xdr:from>
        <xdr:to>
          <xdr:col>1</xdr:col>
          <xdr:colOff>304800</xdr:colOff>
          <xdr:row>24</xdr:row>
          <xdr:rowOff>0</xdr:rowOff>
        </xdr:to>
        <xdr:sp macro="" textlink="">
          <xdr:nvSpPr>
            <xdr:cNvPr id="28694" name="Check Box 22" hidden="1">
              <a:extLst>
                <a:ext uri="{63B3BB69-23CF-44E3-9099-C40C66FF867C}">
                  <a14:compatExt spid="_x0000_s28694"/>
                </a:ext>
                <a:ext uri="{FF2B5EF4-FFF2-40B4-BE49-F238E27FC236}">
                  <a16:creationId xmlns:a16="http://schemas.microsoft.com/office/drawing/2014/main" id="{00000000-0008-0000-0600-00001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24</xdr:row>
          <xdr:rowOff>28575</xdr:rowOff>
        </xdr:from>
        <xdr:to>
          <xdr:col>1</xdr:col>
          <xdr:colOff>276225</xdr:colOff>
          <xdr:row>25</xdr:row>
          <xdr:rowOff>0</xdr:rowOff>
        </xdr:to>
        <xdr:sp macro="" textlink="">
          <xdr:nvSpPr>
            <xdr:cNvPr id="28695" name="Check Box 23" hidden="1">
              <a:extLst>
                <a:ext uri="{63B3BB69-23CF-44E3-9099-C40C66FF867C}">
                  <a14:compatExt spid="_x0000_s28695"/>
                </a:ext>
                <a:ext uri="{FF2B5EF4-FFF2-40B4-BE49-F238E27FC236}">
                  <a16:creationId xmlns:a16="http://schemas.microsoft.com/office/drawing/2014/main" id="{00000000-0008-0000-0600-00001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25</xdr:row>
          <xdr:rowOff>9525</xdr:rowOff>
        </xdr:from>
        <xdr:to>
          <xdr:col>1</xdr:col>
          <xdr:colOff>304800</xdr:colOff>
          <xdr:row>25</xdr:row>
          <xdr:rowOff>161925</xdr:rowOff>
        </xdr:to>
        <xdr:sp macro="" textlink="">
          <xdr:nvSpPr>
            <xdr:cNvPr id="28696" name="Check Box 24" hidden="1">
              <a:extLst>
                <a:ext uri="{63B3BB69-23CF-44E3-9099-C40C66FF867C}">
                  <a14:compatExt spid="_x0000_s28696"/>
                </a:ext>
                <a:ext uri="{FF2B5EF4-FFF2-40B4-BE49-F238E27FC236}">
                  <a16:creationId xmlns:a16="http://schemas.microsoft.com/office/drawing/2014/main" id="{00000000-0008-0000-0600-00001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26</xdr:row>
          <xdr:rowOff>19050</xdr:rowOff>
        </xdr:from>
        <xdr:to>
          <xdr:col>1</xdr:col>
          <xdr:colOff>314325</xdr:colOff>
          <xdr:row>26</xdr:row>
          <xdr:rowOff>171450</xdr:rowOff>
        </xdr:to>
        <xdr:sp macro="" textlink="">
          <xdr:nvSpPr>
            <xdr:cNvPr id="28697" name="Check Box 25" hidden="1">
              <a:extLst>
                <a:ext uri="{63B3BB69-23CF-44E3-9099-C40C66FF867C}">
                  <a14:compatExt spid="_x0000_s28697"/>
                </a:ext>
                <a:ext uri="{FF2B5EF4-FFF2-40B4-BE49-F238E27FC236}">
                  <a16:creationId xmlns:a16="http://schemas.microsoft.com/office/drawing/2014/main" id="{00000000-0008-0000-0600-00001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27</xdr:row>
          <xdr:rowOff>28575</xdr:rowOff>
        </xdr:from>
        <xdr:to>
          <xdr:col>1</xdr:col>
          <xdr:colOff>304800</xdr:colOff>
          <xdr:row>28</xdr:row>
          <xdr:rowOff>0</xdr:rowOff>
        </xdr:to>
        <xdr:sp macro="" textlink="">
          <xdr:nvSpPr>
            <xdr:cNvPr id="28698" name="Check Box 26" hidden="1">
              <a:extLst>
                <a:ext uri="{63B3BB69-23CF-44E3-9099-C40C66FF867C}">
                  <a14:compatExt spid="_x0000_s28698"/>
                </a:ext>
                <a:ext uri="{FF2B5EF4-FFF2-40B4-BE49-F238E27FC236}">
                  <a16:creationId xmlns:a16="http://schemas.microsoft.com/office/drawing/2014/main" id="{00000000-0008-0000-0600-00001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28</xdr:row>
          <xdr:rowOff>0</xdr:rowOff>
        </xdr:from>
        <xdr:to>
          <xdr:col>1</xdr:col>
          <xdr:colOff>342900</xdr:colOff>
          <xdr:row>28</xdr:row>
          <xdr:rowOff>152400</xdr:rowOff>
        </xdr:to>
        <xdr:sp macro="" textlink="">
          <xdr:nvSpPr>
            <xdr:cNvPr id="28699" name="Check Box 27" hidden="1">
              <a:extLst>
                <a:ext uri="{63B3BB69-23CF-44E3-9099-C40C66FF867C}">
                  <a14:compatExt spid="_x0000_s28699"/>
                </a:ext>
                <a:ext uri="{FF2B5EF4-FFF2-40B4-BE49-F238E27FC236}">
                  <a16:creationId xmlns:a16="http://schemas.microsoft.com/office/drawing/2014/main" id="{00000000-0008-0000-0600-00001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29</xdr:row>
          <xdr:rowOff>9525</xdr:rowOff>
        </xdr:from>
        <xdr:to>
          <xdr:col>1</xdr:col>
          <xdr:colOff>342900</xdr:colOff>
          <xdr:row>29</xdr:row>
          <xdr:rowOff>161925</xdr:rowOff>
        </xdr:to>
        <xdr:sp macro="" textlink="">
          <xdr:nvSpPr>
            <xdr:cNvPr id="28700" name="Check Box 28" hidden="1">
              <a:extLst>
                <a:ext uri="{63B3BB69-23CF-44E3-9099-C40C66FF867C}">
                  <a14:compatExt spid="_x0000_s28700"/>
                </a:ext>
                <a:ext uri="{FF2B5EF4-FFF2-40B4-BE49-F238E27FC236}">
                  <a16:creationId xmlns:a16="http://schemas.microsoft.com/office/drawing/2014/main" id="{00000000-0008-0000-0600-00001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30</xdr:row>
          <xdr:rowOff>9525</xdr:rowOff>
        </xdr:from>
        <xdr:to>
          <xdr:col>1</xdr:col>
          <xdr:colOff>314325</xdr:colOff>
          <xdr:row>30</xdr:row>
          <xdr:rowOff>161925</xdr:rowOff>
        </xdr:to>
        <xdr:sp macro="" textlink="">
          <xdr:nvSpPr>
            <xdr:cNvPr id="28701" name="Check Box 29" hidden="1">
              <a:extLst>
                <a:ext uri="{63B3BB69-23CF-44E3-9099-C40C66FF867C}">
                  <a14:compatExt spid="_x0000_s28701"/>
                </a:ext>
                <a:ext uri="{FF2B5EF4-FFF2-40B4-BE49-F238E27FC236}">
                  <a16:creationId xmlns:a16="http://schemas.microsoft.com/office/drawing/2014/main" id="{00000000-0008-0000-0600-00001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31</xdr:row>
          <xdr:rowOff>0</xdr:rowOff>
        </xdr:from>
        <xdr:to>
          <xdr:col>1</xdr:col>
          <xdr:colOff>314325</xdr:colOff>
          <xdr:row>31</xdr:row>
          <xdr:rowOff>142875</xdr:rowOff>
        </xdr:to>
        <xdr:sp macro="" textlink="">
          <xdr:nvSpPr>
            <xdr:cNvPr id="28702" name="Check Box 30" hidden="1">
              <a:extLst>
                <a:ext uri="{63B3BB69-23CF-44E3-9099-C40C66FF867C}">
                  <a14:compatExt spid="_x0000_s28702"/>
                </a:ext>
                <a:ext uri="{FF2B5EF4-FFF2-40B4-BE49-F238E27FC236}">
                  <a16:creationId xmlns:a16="http://schemas.microsoft.com/office/drawing/2014/main" id="{00000000-0008-0000-0600-00001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32</xdr:row>
          <xdr:rowOff>9525</xdr:rowOff>
        </xdr:from>
        <xdr:to>
          <xdr:col>1</xdr:col>
          <xdr:colOff>266700</xdr:colOff>
          <xdr:row>32</xdr:row>
          <xdr:rowOff>161925</xdr:rowOff>
        </xdr:to>
        <xdr:sp macro="" textlink="">
          <xdr:nvSpPr>
            <xdr:cNvPr id="28703" name="Check Box 31" hidden="1">
              <a:extLst>
                <a:ext uri="{63B3BB69-23CF-44E3-9099-C40C66FF867C}">
                  <a14:compatExt spid="_x0000_s28703"/>
                </a:ext>
                <a:ext uri="{FF2B5EF4-FFF2-40B4-BE49-F238E27FC236}">
                  <a16:creationId xmlns:a16="http://schemas.microsoft.com/office/drawing/2014/main" id="{00000000-0008-0000-0600-00001F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19050</xdr:rowOff>
        </xdr:from>
        <xdr:to>
          <xdr:col>1</xdr:col>
          <xdr:colOff>285750</xdr:colOff>
          <xdr:row>33</xdr:row>
          <xdr:rowOff>171450</xdr:rowOff>
        </xdr:to>
        <xdr:sp macro="" textlink="">
          <xdr:nvSpPr>
            <xdr:cNvPr id="28704" name="Check Box 32" hidden="1">
              <a:extLst>
                <a:ext uri="{63B3BB69-23CF-44E3-9099-C40C66FF867C}">
                  <a14:compatExt spid="_x0000_s28704"/>
                </a:ext>
                <a:ext uri="{FF2B5EF4-FFF2-40B4-BE49-F238E27FC236}">
                  <a16:creationId xmlns:a16="http://schemas.microsoft.com/office/drawing/2014/main" id="{00000000-0008-0000-0600-000020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34</xdr:row>
          <xdr:rowOff>19050</xdr:rowOff>
        </xdr:from>
        <xdr:to>
          <xdr:col>1</xdr:col>
          <xdr:colOff>266700</xdr:colOff>
          <xdr:row>34</xdr:row>
          <xdr:rowOff>171450</xdr:rowOff>
        </xdr:to>
        <xdr:sp macro="" textlink="">
          <xdr:nvSpPr>
            <xdr:cNvPr id="28705" name="Check Box 33" hidden="1">
              <a:extLst>
                <a:ext uri="{63B3BB69-23CF-44E3-9099-C40C66FF867C}">
                  <a14:compatExt spid="_x0000_s28705"/>
                </a:ext>
                <a:ext uri="{FF2B5EF4-FFF2-40B4-BE49-F238E27FC236}">
                  <a16:creationId xmlns:a16="http://schemas.microsoft.com/office/drawing/2014/main" id="{00000000-0008-0000-0600-000021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28575</xdr:rowOff>
        </xdr:from>
        <xdr:to>
          <xdr:col>1</xdr:col>
          <xdr:colOff>247650</xdr:colOff>
          <xdr:row>36</xdr:row>
          <xdr:rowOff>0</xdr:rowOff>
        </xdr:to>
        <xdr:sp macro="" textlink="">
          <xdr:nvSpPr>
            <xdr:cNvPr id="28706" name="Check Box 34" hidden="1">
              <a:extLst>
                <a:ext uri="{63B3BB69-23CF-44E3-9099-C40C66FF867C}">
                  <a14:compatExt spid="_x0000_s28706"/>
                </a:ext>
                <a:ext uri="{FF2B5EF4-FFF2-40B4-BE49-F238E27FC236}">
                  <a16:creationId xmlns:a16="http://schemas.microsoft.com/office/drawing/2014/main" id="{00000000-0008-0000-0600-000022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36</xdr:row>
          <xdr:rowOff>47625</xdr:rowOff>
        </xdr:from>
        <xdr:to>
          <xdr:col>1</xdr:col>
          <xdr:colOff>200025</xdr:colOff>
          <xdr:row>37</xdr:row>
          <xdr:rowOff>19050</xdr:rowOff>
        </xdr:to>
        <xdr:sp macro="" textlink="">
          <xdr:nvSpPr>
            <xdr:cNvPr id="28707" name="Check Box 35" hidden="1">
              <a:extLst>
                <a:ext uri="{63B3BB69-23CF-44E3-9099-C40C66FF867C}">
                  <a14:compatExt spid="_x0000_s28707"/>
                </a:ext>
                <a:ext uri="{FF2B5EF4-FFF2-40B4-BE49-F238E27FC236}">
                  <a16:creationId xmlns:a16="http://schemas.microsoft.com/office/drawing/2014/main" id="{00000000-0008-0000-0600-000023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37</xdr:row>
          <xdr:rowOff>28575</xdr:rowOff>
        </xdr:from>
        <xdr:to>
          <xdr:col>1</xdr:col>
          <xdr:colOff>219075</xdr:colOff>
          <xdr:row>38</xdr:row>
          <xdr:rowOff>0</xdr:rowOff>
        </xdr:to>
        <xdr:sp macro="" textlink="">
          <xdr:nvSpPr>
            <xdr:cNvPr id="28708" name="Check Box 36" hidden="1">
              <a:extLst>
                <a:ext uri="{63B3BB69-23CF-44E3-9099-C40C66FF867C}">
                  <a14:compatExt spid="_x0000_s28708"/>
                </a:ext>
                <a:ext uri="{FF2B5EF4-FFF2-40B4-BE49-F238E27FC236}">
                  <a16:creationId xmlns:a16="http://schemas.microsoft.com/office/drawing/2014/main" id="{00000000-0008-0000-0600-000024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38</xdr:row>
          <xdr:rowOff>9525</xdr:rowOff>
        </xdr:from>
        <xdr:to>
          <xdr:col>1</xdr:col>
          <xdr:colOff>276225</xdr:colOff>
          <xdr:row>38</xdr:row>
          <xdr:rowOff>161925</xdr:rowOff>
        </xdr:to>
        <xdr:sp macro="" textlink="">
          <xdr:nvSpPr>
            <xdr:cNvPr id="28709" name="Check Box 37" hidden="1">
              <a:extLst>
                <a:ext uri="{63B3BB69-23CF-44E3-9099-C40C66FF867C}">
                  <a14:compatExt spid="_x0000_s28709"/>
                </a:ext>
                <a:ext uri="{FF2B5EF4-FFF2-40B4-BE49-F238E27FC236}">
                  <a16:creationId xmlns:a16="http://schemas.microsoft.com/office/drawing/2014/main" id="{00000000-0008-0000-0600-000025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39</xdr:row>
          <xdr:rowOff>0</xdr:rowOff>
        </xdr:from>
        <xdr:to>
          <xdr:col>1</xdr:col>
          <xdr:colOff>304800</xdr:colOff>
          <xdr:row>39</xdr:row>
          <xdr:rowOff>142875</xdr:rowOff>
        </xdr:to>
        <xdr:sp macro="" textlink="">
          <xdr:nvSpPr>
            <xdr:cNvPr id="28710" name="Check Box 38" hidden="1">
              <a:extLst>
                <a:ext uri="{63B3BB69-23CF-44E3-9099-C40C66FF867C}">
                  <a14:compatExt spid="_x0000_s28710"/>
                </a:ext>
                <a:ext uri="{FF2B5EF4-FFF2-40B4-BE49-F238E27FC236}">
                  <a16:creationId xmlns:a16="http://schemas.microsoft.com/office/drawing/2014/main" id="{00000000-0008-0000-0600-00002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19050</xdr:rowOff>
        </xdr:from>
        <xdr:to>
          <xdr:col>1</xdr:col>
          <xdr:colOff>142875</xdr:colOff>
          <xdr:row>40</xdr:row>
          <xdr:rowOff>171450</xdr:rowOff>
        </xdr:to>
        <xdr:sp macro="" textlink="">
          <xdr:nvSpPr>
            <xdr:cNvPr id="28711" name="Check Box 39" hidden="1">
              <a:extLst>
                <a:ext uri="{63B3BB69-23CF-44E3-9099-C40C66FF867C}">
                  <a14:compatExt spid="_x0000_s28711"/>
                </a:ext>
                <a:ext uri="{FF2B5EF4-FFF2-40B4-BE49-F238E27FC236}">
                  <a16:creationId xmlns:a16="http://schemas.microsoft.com/office/drawing/2014/main" id="{00000000-0008-0000-0600-000027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xdr:rowOff>
        </xdr:from>
        <xdr:to>
          <xdr:col>1</xdr:col>
          <xdr:colOff>142875</xdr:colOff>
          <xdr:row>41</xdr:row>
          <xdr:rowOff>171450</xdr:rowOff>
        </xdr:to>
        <xdr:sp macro="" textlink="">
          <xdr:nvSpPr>
            <xdr:cNvPr id="28712" name="Check Box 40" hidden="1">
              <a:extLst>
                <a:ext uri="{63B3BB69-23CF-44E3-9099-C40C66FF867C}">
                  <a14:compatExt spid="_x0000_s28712"/>
                </a:ext>
                <a:ext uri="{FF2B5EF4-FFF2-40B4-BE49-F238E27FC236}">
                  <a16:creationId xmlns:a16="http://schemas.microsoft.com/office/drawing/2014/main" id="{00000000-0008-0000-0600-000028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19050</xdr:rowOff>
        </xdr:from>
        <xdr:to>
          <xdr:col>1</xdr:col>
          <xdr:colOff>142875</xdr:colOff>
          <xdr:row>42</xdr:row>
          <xdr:rowOff>171450</xdr:rowOff>
        </xdr:to>
        <xdr:sp macro="" textlink="">
          <xdr:nvSpPr>
            <xdr:cNvPr id="28713" name="Check Box 41" hidden="1">
              <a:extLst>
                <a:ext uri="{63B3BB69-23CF-44E3-9099-C40C66FF867C}">
                  <a14:compatExt spid="_x0000_s28713"/>
                </a:ext>
                <a:ext uri="{FF2B5EF4-FFF2-40B4-BE49-F238E27FC236}">
                  <a16:creationId xmlns:a16="http://schemas.microsoft.com/office/drawing/2014/main" id="{00000000-0008-0000-0600-000029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xdr:rowOff>
        </xdr:from>
        <xdr:to>
          <xdr:col>1</xdr:col>
          <xdr:colOff>142875</xdr:colOff>
          <xdr:row>43</xdr:row>
          <xdr:rowOff>171450</xdr:rowOff>
        </xdr:to>
        <xdr:sp macro="" textlink="">
          <xdr:nvSpPr>
            <xdr:cNvPr id="28714" name="Check Box 42" hidden="1">
              <a:extLst>
                <a:ext uri="{63B3BB69-23CF-44E3-9099-C40C66FF867C}">
                  <a14:compatExt spid="_x0000_s28714"/>
                </a:ext>
                <a:ext uri="{FF2B5EF4-FFF2-40B4-BE49-F238E27FC236}">
                  <a16:creationId xmlns:a16="http://schemas.microsoft.com/office/drawing/2014/main" id="{00000000-0008-0000-0600-00002A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19050</xdr:rowOff>
        </xdr:from>
        <xdr:to>
          <xdr:col>1</xdr:col>
          <xdr:colOff>142875</xdr:colOff>
          <xdr:row>44</xdr:row>
          <xdr:rowOff>171450</xdr:rowOff>
        </xdr:to>
        <xdr:sp macro="" textlink="">
          <xdr:nvSpPr>
            <xdr:cNvPr id="28715" name="Check Box 43" hidden="1">
              <a:extLst>
                <a:ext uri="{63B3BB69-23CF-44E3-9099-C40C66FF867C}">
                  <a14:compatExt spid="_x0000_s28715"/>
                </a:ext>
                <a:ext uri="{FF2B5EF4-FFF2-40B4-BE49-F238E27FC236}">
                  <a16:creationId xmlns:a16="http://schemas.microsoft.com/office/drawing/2014/main" id="{00000000-0008-0000-0600-00002B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19050</xdr:rowOff>
        </xdr:from>
        <xdr:to>
          <xdr:col>1</xdr:col>
          <xdr:colOff>142875</xdr:colOff>
          <xdr:row>45</xdr:row>
          <xdr:rowOff>171450</xdr:rowOff>
        </xdr:to>
        <xdr:sp macro="" textlink="">
          <xdr:nvSpPr>
            <xdr:cNvPr id="28716" name="Check Box 44" hidden="1">
              <a:extLst>
                <a:ext uri="{63B3BB69-23CF-44E3-9099-C40C66FF867C}">
                  <a14:compatExt spid="_x0000_s28716"/>
                </a:ext>
                <a:ext uri="{FF2B5EF4-FFF2-40B4-BE49-F238E27FC236}">
                  <a16:creationId xmlns:a16="http://schemas.microsoft.com/office/drawing/2014/main" id="{00000000-0008-0000-0600-00002C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19050</xdr:rowOff>
        </xdr:from>
        <xdr:to>
          <xdr:col>1</xdr:col>
          <xdr:colOff>142875</xdr:colOff>
          <xdr:row>46</xdr:row>
          <xdr:rowOff>171450</xdr:rowOff>
        </xdr:to>
        <xdr:sp macro="" textlink="">
          <xdr:nvSpPr>
            <xdr:cNvPr id="28717" name="Check Box 45" hidden="1">
              <a:extLst>
                <a:ext uri="{63B3BB69-23CF-44E3-9099-C40C66FF867C}">
                  <a14:compatExt spid="_x0000_s28717"/>
                </a:ext>
                <a:ext uri="{FF2B5EF4-FFF2-40B4-BE49-F238E27FC236}">
                  <a16:creationId xmlns:a16="http://schemas.microsoft.com/office/drawing/2014/main" id="{00000000-0008-0000-0600-00002D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19050</xdr:rowOff>
        </xdr:from>
        <xdr:to>
          <xdr:col>1</xdr:col>
          <xdr:colOff>142875</xdr:colOff>
          <xdr:row>47</xdr:row>
          <xdr:rowOff>171450</xdr:rowOff>
        </xdr:to>
        <xdr:sp macro="" textlink="">
          <xdr:nvSpPr>
            <xdr:cNvPr id="28718" name="Check Box 46" hidden="1">
              <a:extLst>
                <a:ext uri="{63B3BB69-23CF-44E3-9099-C40C66FF867C}">
                  <a14:compatExt spid="_x0000_s28718"/>
                </a:ext>
                <a:ext uri="{FF2B5EF4-FFF2-40B4-BE49-F238E27FC236}">
                  <a16:creationId xmlns:a16="http://schemas.microsoft.com/office/drawing/2014/main" id="{00000000-0008-0000-0600-00002E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19050</xdr:rowOff>
        </xdr:from>
        <xdr:to>
          <xdr:col>1</xdr:col>
          <xdr:colOff>142875</xdr:colOff>
          <xdr:row>48</xdr:row>
          <xdr:rowOff>171450</xdr:rowOff>
        </xdr:to>
        <xdr:sp macro="" textlink="">
          <xdr:nvSpPr>
            <xdr:cNvPr id="28726" name="Check Box 54" hidden="1">
              <a:extLst>
                <a:ext uri="{63B3BB69-23CF-44E3-9099-C40C66FF867C}">
                  <a14:compatExt spid="_x0000_s28726"/>
                </a:ext>
                <a:ext uri="{FF2B5EF4-FFF2-40B4-BE49-F238E27FC236}">
                  <a16:creationId xmlns:a16="http://schemas.microsoft.com/office/drawing/2014/main" id="{00000000-0008-0000-0600-0000367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6</xdr:row>
          <xdr:rowOff>19050</xdr:rowOff>
        </xdr:from>
        <xdr:to>
          <xdr:col>7</xdr:col>
          <xdr:colOff>85725</xdr:colOff>
          <xdr:row>6</xdr:row>
          <xdr:rowOff>171450</xdr:rowOff>
        </xdr:to>
        <xdr:sp macro="" textlink="">
          <xdr:nvSpPr>
            <xdr:cNvPr id="41985" name="Check Box 1" hidden="1">
              <a:extLst>
                <a:ext uri="{63B3BB69-23CF-44E3-9099-C40C66FF867C}">
                  <a14:compatExt spid="_x0000_s41985"/>
                </a:ext>
                <a:ext uri="{FF2B5EF4-FFF2-40B4-BE49-F238E27FC236}">
                  <a16:creationId xmlns:a16="http://schemas.microsoft.com/office/drawing/2014/main" id="{00000000-0008-0000-0700-000001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7</xdr:col>
          <xdr:colOff>85725</xdr:colOff>
          <xdr:row>13</xdr:row>
          <xdr:rowOff>152400</xdr:rowOff>
        </xdr:to>
        <xdr:sp macro="" textlink="">
          <xdr:nvSpPr>
            <xdr:cNvPr id="41986" name="Check Box 2" hidden="1">
              <a:extLst>
                <a:ext uri="{63B3BB69-23CF-44E3-9099-C40C66FF867C}">
                  <a14:compatExt spid="_x0000_s41986"/>
                </a:ext>
                <a:ext uri="{FF2B5EF4-FFF2-40B4-BE49-F238E27FC236}">
                  <a16:creationId xmlns:a16="http://schemas.microsoft.com/office/drawing/2014/main" id="{00000000-0008-0000-0700-000002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7</xdr:col>
          <xdr:colOff>85725</xdr:colOff>
          <xdr:row>13</xdr:row>
          <xdr:rowOff>152400</xdr:rowOff>
        </xdr:to>
        <xdr:sp macro="" textlink="">
          <xdr:nvSpPr>
            <xdr:cNvPr id="41987" name="Check Box 3" hidden="1">
              <a:extLst>
                <a:ext uri="{63B3BB69-23CF-44E3-9099-C40C66FF867C}">
                  <a14:compatExt spid="_x0000_s41987"/>
                </a:ext>
                <a:ext uri="{FF2B5EF4-FFF2-40B4-BE49-F238E27FC236}">
                  <a16:creationId xmlns:a16="http://schemas.microsoft.com/office/drawing/2014/main" id="{00000000-0008-0000-0700-000003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7</xdr:col>
          <xdr:colOff>85725</xdr:colOff>
          <xdr:row>13</xdr:row>
          <xdr:rowOff>152400</xdr:rowOff>
        </xdr:to>
        <xdr:sp macro="" textlink="">
          <xdr:nvSpPr>
            <xdr:cNvPr id="41988" name="Check Box 4" hidden="1">
              <a:extLst>
                <a:ext uri="{63B3BB69-23CF-44E3-9099-C40C66FF867C}">
                  <a14:compatExt spid="_x0000_s41988"/>
                </a:ext>
                <a:ext uri="{FF2B5EF4-FFF2-40B4-BE49-F238E27FC236}">
                  <a16:creationId xmlns:a16="http://schemas.microsoft.com/office/drawing/2014/main" id="{00000000-0008-0000-0700-000004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7</xdr:col>
          <xdr:colOff>85725</xdr:colOff>
          <xdr:row>13</xdr:row>
          <xdr:rowOff>152400</xdr:rowOff>
        </xdr:to>
        <xdr:sp macro="" textlink="">
          <xdr:nvSpPr>
            <xdr:cNvPr id="41989" name="Check Box 5" hidden="1">
              <a:extLst>
                <a:ext uri="{63B3BB69-23CF-44E3-9099-C40C66FF867C}">
                  <a14:compatExt spid="_x0000_s41989"/>
                </a:ext>
                <a:ext uri="{FF2B5EF4-FFF2-40B4-BE49-F238E27FC236}">
                  <a16:creationId xmlns:a16="http://schemas.microsoft.com/office/drawing/2014/main" id="{00000000-0008-0000-0700-000005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7</xdr:col>
          <xdr:colOff>85725</xdr:colOff>
          <xdr:row>13</xdr:row>
          <xdr:rowOff>152400</xdr:rowOff>
        </xdr:to>
        <xdr:sp macro="" textlink="">
          <xdr:nvSpPr>
            <xdr:cNvPr id="41990" name="Check Box 6" hidden="1">
              <a:extLst>
                <a:ext uri="{63B3BB69-23CF-44E3-9099-C40C66FF867C}">
                  <a14:compatExt spid="_x0000_s41990"/>
                </a:ext>
                <a:ext uri="{FF2B5EF4-FFF2-40B4-BE49-F238E27FC236}">
                  <a16:creationId xmlns:a16="http://schemas.microsoft.com/office/drawing/2014/main" id="{00000000-0008-0000-0700-000006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7</xdr:col>
          <xdr:colOff>85725</xdr:colOff>
          <xdr:row>13</xdr:row>
          <xdr:rowOff>152400</xdr:rowOff>
        </xdr:to>
        <xdr:sp macro="" textlink="">
          <xdr:nvSpPr>
            <xdr:cNvPr id="41991" name="Check Box 7" hidden="1">
              <a:extLst>
                <a:ext uri="{63B3BB69-23CF-44E3-9099-C40C66FF867C}">
                  <a14:compatExt spid="_x0000_s41991"/>
                </a:ext>
                <a:ext uri="{FF2B5EF4-FFF2-40B4-BE49-F238E27FC236}">
                  <a16:creationId xmlns:a16="http://schemas.microsoft.com/office/drawing/2014/main" id="{00000000-0008-0000-0700-000007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19050</xdr:rowOff>
        </xdr:from>
        <xdr:to>
          <xdr:col>7</xdr:col>
          <xdr:colOff>85725</xdr:colOff>
          <xdr:row>13</xdr:row>
          <xdr:rowOff>171450</xdr:rowOff>
        </xdr:to>
        <xdr:sp macro="" textlink="">
          <xdr:nvSpPr>
            <xdr:cNvPr id="41992" name="Check Box 8" hidden="1">
              <a:extLst>
                <a:ext uri="{63B3BB69-23CF-44E3-9099-C40C66FF867C}">
                  <a14:compatExt spid="_x0000_s41992"/>
                </a:ext>
                <a:ext uri="{FF2B5EF4-FFF2-40B4-BE49-F238E27FC236}">
                  <a16:creationId xmlns:a16="http://schemas.microsoft.com/office/drawing/2014/main" id="{00000000-0008-0000-0700-000008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1993" name="Check Box 9" hidden="1">
              <a:extLst>
                <a:ext uri="{63B3BB69-23CF-44E3-9099-C40C66FF867C}">
                  <a14:compatExt spid="_x0000_s41993"/>
                </a:ext>
                <a:ext uri="{FF2B5EF4-FFF2-40B4-BE49-F238E27FC236}">
                  <a16:creationId xmlns:a16="http://schemas.microsoft.com/office/drawing/2014/main" id="{00000000-0008-0000-0700-000009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1994" name="Check Box 10" hidden="1">
              <a:extLst>
                <a:ext uri="{63B3BB69-23CF-44E3-9099-C40C66FF867C}">
                  <a14:compatExt spid="_x0000_s41994"/>
                </a:ext>
                <a:ext uri="{FF2B5EF4-FFF2-40B4-BE49-F238E27FC236}">
                  <a16:creationId xmlns:a16="http://schemas.microsoft.com/office/drawing/2014/main" id="{00000000-0008-0000-0700-00000A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1995" name="Check Box 11" hidden="1">
              <a:extLst>
                <a:ext uri="{63B3BB69-23CF-44E3-9099-C40C66FF867C}">
                  <a14:compatExt spid="_x0000_s41995"/>
                </a:ext>
                <a:ext uri="{FF2B5EF4-FFF2-40B4-BE49-F238E27FC236}">
                  <a16:creationId xmlns:a16="http://schemas.microsoft.com/office/drawing/2014/main" id="{00000000-0008-0000-0700-00000B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1996" name="Check Box 12" hidden="1">
              <a:extLst>
                <a:ext uri="{63B3BB69-23CF-44E3-9099-C40C66FF867C}">
                  <a14:compatExt spid="_x0000_s41996"/>
                </a:ext>
                <a:ext uri="{FF2B5EF4-FFF2-40B4-BE49-F238E27FC236}">
                  <a16:creationId xmlns:a16="http://schemas.microsoft.com/office/drawing/2014/main" id="{00000000-0008-0000-0700-00000C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1997" name="Check Box 13" hidden="1">
              <a:extLst>
                <a:ext uri="{63B3BB69-23CF-44E3-9099-C40C66FF867C}">
                  <a14:compatExt spid="_x0000_s41997"/>
                </a:ext>
                <a:ext uri="{FF2B5EF4-FFF2-40B4-BE49-F238E27FC236}">
                  <a16:creationId xmlns:a16="http://schemas.microsoft.com/office/drawing/2014/main" id="{00000000-0008-0000-0700-00000D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1998" name="Check Box 14" hidden="1">
              <a:extLst>
                <a:ext uri="{63B3BB69-23CF-44E3-9099-C40C66FF867C}">
                  <a14:compatExt spid="_x0000_s41998"/>
                </a:ext>
                <a:ext uri="{FF2B5EF4-FFF2-40B4-BE49-F238E27FC236}">
                  <a16:creationId xmlns:a16="http://schemas.microsoft.com/office/drawing/2014/main" id="{00000000-0008-0000-0700-00000E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1999" name="Check Box 15" hidden="1">
              <a:extLst>
                <a:ext uri="{63B3BB69-23CF-44E3-9099-C40C66FF867C}">
                  <a14:compatExt spid="_x0000_s41999"/>
                </a:ext>
                <a:ext uri="{FF2B5EF4-FFF2-40B4-BE49-F238E27FC236}">
                  <a16:creationId xmlns:a16="http://schemas.microsoft.com/office/drawing/2014/main" id="{00000000-0008-0000-0700-00000F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0" name="Check Box 16" hidden="1">
              <a:extLst>
                <a:ext uri="{63B3BB69-23CF-44E3-9099-C40C66FF867C}">
                  <a14:compatExt spid="_x0000_s42000"/>
                </a:ext>
                <a:ext uri="{FF2B5EF4-FFF2-40B4-BE49-F238E27FC236}">
                  <a16:creationId xmlns:a16="http://schemas.microsoft.com/office/drawing/2014/main" id="{00000000-0008-0000-0700-000010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1" name="Check Box 17" hidden="1">
              <a:extLst>
                <a:ext uri="{63B3BB69-23CF-44E3-9099-C40C66FF867C}">
                  <a14:compatExt spid="_x0000_s42001"/>
                </a:ext>
                <a:ext uri="{FF2B5EF4-FFF2-40B4-BE49-F238E27FC236}">
                  <a16:creationId xmlns:a16="http://schemas.microsoft.com/office/drawing/2014/main" id="{00000000-0008-0000-0700-000011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2" name="Check Box 18" hidden="1">
              <a:extLst>
                <a:ext uri="{63B3BB69-23CF-44E3-9099-C40C66FF867C}">
                  <a14:compatExt spid="_x0000_s42002"/>
                </a:ext>
                <a:ext uri="{FF2B5EF4-FFF2-40B4-BE49-F238E27FC236}">
                  <a16:creationId xmlns:a16="http://schemas.microsoft.com/office/drawing/2014/main" id="{00000000-0008-0000-0700-000012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3" name="Check Box 19" hidden="1">
              <a:extLst>
                <a:ext uri="{63B3BB69-23CF-44E3-9099-C40C66FF867C}">
                  <a14:compatExt spid="_x0000_s42003"/>
                </a:ext>
                <a:ext uri="{FF2B5EF4-FFF2-40B4-BE49-F238E27FC236}">
                  <a16:creationId xmlns:a16="http://schemas.microsoft.com/office/drawing/2014/main" id="{00000000-0008-0000-0700-000013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4" name="Check Box 20" hidden="1">
              <a:extLst>
                <a:ext uri="{63B3BB69-23CF-44E3-9099-C40C66FF867C}">
                  <a14:compatExt spid="_x0000_s42004"/>
                </a:ext>
                <a:ext uri="{FF2B5EF4-FFF2-40B4-BE49-F238E27FC236}">
                  <a16:creationId xmlns:a16="http://schemas.microsoft.com/office/drawing/2014/main" id="{00000000-0008-0000-0700-000014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5" name="Check Box 21" hidden="1">
              <a:extLst>
                <a:ext uri="{63B3BB69-23CF-44E3-9099-C40C66FF867C}">
                  <a14:compatExt spid="_x0000_s42005"/>
                </a:ext>
                <a:ext uri="{FF2B5EF4-FFF2-40B4-BE49-F238E27FC236}">
                  <a16:creationId xmlns:a16="http://schemas.microsoft.com/office/drawing/2014/main" id="{00000000-0008-0000-0700-000015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6" name="Check Box 22" hidden="1">
              <a:extLst>
                <a:ext uri="{63B3BB69-23CF-44E3-9099-C40C66FF867C}">
                  <a14:compatExt spid="_x0000_s42006"/>
                </a:ext>
                <a:ext uri="{FF2B5EF4-FFF2-40B4-BE49-F238E27FC236}">
                  <a16:creationId xmlns:a16="http://schemas.microsoft.com/office/drawing/2014/main" id="{00000000-0008-0000-0700-000016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7" name="Check Box 23" hidden="1">
              <a:extLst>
                <a:ext uri="{63B3BB69-23CF-44E3-9099-C40C66FF867C}">
                  <a14:compatExt spid="_x0000_s42007"/>
                </a:ext>
                <a:ext uri="{FF2B5EF4-FFF2-40B4-BE49-F238E27FC236}">
                  <a16:creationId xmlns:a16="http://schemas.microsoft.com/office/drawing/2014/main" id="{00000000-0008-0000-0700-000017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8" name="Check Box 24" hidden="1">
              <a:extLst>
                <a:ext uri="{63B3BB69-23CF-44E3-9099-C40C66FF867C}">
                  <a14:compatExt spid="_x0000_s42008"/>
                </a:ext>
                <a:ext uri="{FF2B5EF4-FFF2-40B4-BE49-F238E27FC236}">
                  <a16:creationId xmlns:a16="http://schemas.microsoft.com/office/drawing/2014/main" id="{00000000-0008-0000-0700-000018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09" name="Check Box 25" hidden="1">
              <a:extLst>
                <a:ext uri="{63B3BB69-23CF-44E3-9099-C40C66FF867C}">
                  <a14:compatExt spid="_x0000_s42009"/>
                </a:ext>
                <a:ext uri="{FF2B5EF4-FFF2-40B4-BE49-F238E27FC236}">
                  <a16:creationId xmlns:a16="http://schemas.microsoft.com/office/drawing/2014/main" id="{00000000-0008-0000-0700-000019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0" name="Check Box 26" hidden="1">
              <a:extLst>
                <a:ext uri="{63B3BB69-23CF-44E3-9099-C40C66FF867C}">
                  <a14:compatExt spid="_x0000_s42010"/>
                </a:ext>
                <a:ext uri="{FF2B5EF4-FFF2-40B4-BE49-F238E27FC236}">
                  <a16:creationId xmlns:a16="http://schemas.microsoft.com/office/drawing/2014/main" id="{00000000-0008-0000-0700-00001A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1" name="Check Box 27" hidden="1">
              <a:extLst>
                <a:ext uri="{63B3BB69-23CF-44E3-9099-C40C66FF867C}">
                  <a14:compatExt spid="_x0000_s42011"/>
                </a:ext>
                <a:ext uri="{FF2B5EF4-FFF2-40B4-BE49-F238E27FC236}">
                  <a16:creationId xmlns:a16="http://schemas.microsoft.com/office/drawing/2014/main" id="{00000000-0008-0000-0700-00001B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2" name="Check Box 28" hidden="1">
              <a:extLst>
                <a:ext uri="{63B3BB69-23CF-44E3-9099-C40C66FF867C}">
                  <a14:compatExt spid="_x0000_s42012"/>
                </a:ext>
                <a:ext uri="{FF2B5EF4-FFF2-40B4-BE49-F238E27FC236}">
                  <a16:creationId xmlns:a16="http://schemas.microsoft.com/office/drawing/2014/main" id="{00000000-0008-0000-0700-00001C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3" name="Check Box 29" hidden="1">
              <a:extLst>
                <a:ext uri="{63B3BB69-23CF-44E3-9099-C40C66FF867C}">
                  <a14:compatExt spid="_x0000_s42013"/>
                </a:ext>
                <a:ext uri="{FF2B5EF4-FFF2-40B4-BE49-F238E27FC236}">
                  <a16:creationId xmlns:a16="http://schemas.microsoft.com/office/drawing/2014/main" id="{00000000-0008-0000-0700-00001D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4" name="Check Box 30" hidden="1">
              <a:extLst>
                <a:ext uri="{63B3BB69-23CF-44E3-9099-C40C66FF867C}">
                  <a14:compatExt spid="_x0000_s42014"/>
                </a:ext>
                <a:ext uri="{FF2B5EF4-FFF2-40B4-BE49-F238E27FC236}">
                  <a16:creationId xmlns:a16="http://schemas.microsoft.com/office/drawing/2014/main" id="{00000000-0008-0000-0700-00001E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5" name="Check Box 31" hidden="1">
              <a:extLst>
                <a:ext uri="{63B3BB69-23CF-44E3-9099-C40C66FF867C}">
                  <a14:compatExt spid="_x0000_s42015"/>
                </a:ext>
                <a:ext uri="{FF2B5EF4-FFF2-40B4-BE49-F238E27FC236}">
                  <a16:creationId xmlns:a16="http://schemas.microsoft.com/office/drawing/2014/main" id="{00000000-0008-0000-0700-00001F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6" name="Check Box 32" hidden="1">
              <a:extLst>
                <a:ext uri="{63B3BB69-23CF-44E3-9099-C40C66FF867C}">
                  <a14:compatExt spid="_x0000_s42016"/>
                </a:ext>
                <a:ext uri="{FF2B5EF4-FFF2-40B4-BE49-F238E27FC236}">
                  <a16:creationId xmlns:a16="http://schemas.microsoft.com/office/drawing/2014/main" id="{00000000-0008-0000-0700-000020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7" name="Check Box 33" hidden="1">
              <a:extLst>
                <a:ext uri="{63B3BB69-23CF-44E3-9099-C40C66FF867C}">
                  <a14:compatExt spid="_x0000_s42017"/>
                </a:ext>
                <a:ext uri="{FF2B5EF4-FFF2-40B4-BE49-F238E27FC236}">
                  <a16:creationId xmlns:a16="http://schemas.microsoft.com/office/drawing/2014/main" id="{00000000-0008-0000-0700-000021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7</xdr:col>
          <xdr:colOff>85725</xdr:colOff>
          <xdr:row>40</xdr:row>
          <xdr:rowOff>152400</xdr:rowOff>
        </xdr:to>
        <xdr:sp macro="" textlink="">
          <xdr:nvSpPr>
            <xdr:cNvPr id="42018" name="Check Box 34" hidden="1">
              <a:extLst>
                <a:ext uri="{63B3BB69-23CF-44E3-9099-C40C66FF867C}">
                  <a14:compatExt spid="_x0000_s42018"/>
                </a:ext>
                <a:ext uri="{FF2B5EF4-FFF2-40B4-BE49-F238E27FC236}">
                  <a16:creationId xmlns:a16="http://schemas.microsoft.com/office/drawing/2014/main" id="{00000000-0008-0000-0700-000022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19050</xdr:rowOff>
        </xdr:from>
        <xdr:to>
          <xdr:col>7</xdr:col>
          <xdr:colOff>85725</xdr:colOff>
          <xdr:row>40</xdr:row>
          <xdr:rowOff>171450</xdr:rowOff>
        </xdr:to>
        <xdr:sp macro="" textlink="">
          <xdr:nvSpPr>
            <xdr:cNvPr id="42019" name="Check Box 35" hidden="1">
              <a:extLst>
                <a:ext uri="{63B3BB69-23CF-44E3-9099-C40C66FF867C}">
                  <a14:compatExt spid="_x0000_s42019"/>
                </a:ext>
                <a:ext uri="{FF2B5EF4-FFF2-40B4-BE49-F238E27FC236}">
                  <a16:creationId xmlns:a16="http://schemas.microsoft.com/office/drawing/2014/main" id="{00000000-0008-0000-0700-000023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19050</xdr:rowOff>
        </xdr:from>
        <xdr:to>
          <xdr:col>7</xdr:col>
          <xdr:colOff>85725</xdr:colOff>
          <xdr:row>41</xdr:row>
          <xdr:rowOff>171450</xdr:rowOff>
        </xdr:to>
        <xdr:sp macro="" textlink="">
          <xdr:nvSpPr>
            <xdr:cNvPr id="42020" name="Check Box 36" hidden="1">
              <a:extLst>
                <a:ext uri="{63B3BB69-23CF-44E3-9099-C40C66FF867C}">
                  <a14:compatExt spid="_x0000_s42020"/>
                </a:ext>
                <a:ext uri="{FF2B5EF4-FFF2-40B4-BE49-F238E27FC236}">
                  <a16:creationId xmlns:a16="http://schemas.microsoft.com/office/drawing/2014/main" id="{00000000-0008-0000-0700-000024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19050</xdr:rowOff>
        </xdr:from>
        <xdr:to>
          <xdr:col>7</xdr:col>
          <xdr:colOff>85725</xdr:colOff>
          <xdr:row>42</xdr:row>
          <xdr:rowOff>171450</xdr:rowOff>
        </xdr:to>
        <xdr:sp macro="" textlink="">
          <xdr:nvSpPr>
            <xdr:cNvPr id="42021" name="Check Box 37" hidden="1">
              <a:extLst>
                <a:ext uri="{63B3BB69-23CF-44E3-9099-C40C66FF867C}">
                  <a14:compatExt spid="_x0000_s42021"/>
                </a:ext>
                <a:ext uri="{FF2B5EF4-FFF2-40B4-BE49-F238E27FC236}">
                  <a16:creationId xmlns:a16="http://schemas.microsoft.com/office/drawing/2014/main" id="{00000000-0008-0000-0700-000025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19050</xdr:rowOff>
        </xdr:from>
        <xdr:to>
          <xdr:col>7</xdr:col>
          <xdr:colOff>85725</xdr:colOff>
          <xdr:row>43</xdr:row>
          <xdr:rowOff>171450</xdr:rowOff>
        </xdr:to>
        <xdr:sp macro="" textlink="">
          <xdr:nvSpPr>
            <xdr:cNvPr id="42022" name="Check Box 38" hidden="1">
              <a:extLst>
                <a:ext uri="{63B3BB69-23CF-44E3-9099-C40C66FF867C}">
                  <a14:compatExt spid="_x0000_s42022"/>
                </a:ext>
                <a:ext uri="{FF2B5EF4-FFF2-40B4-BE49-F238E27FC236}">
                  <a16:creationId xmlns:a16="http://schemas.microsoft.com/office/drawing/2014/main" id="{00000000-0008-0000-0700-000026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19050</xdr:rowOff>
        </xdr:from>
        <xdr:to>
          <xdr:col>7</xdr:col>
          <xdr:colOff>85725</xdr:colOff>
          <xdr:row>44</xdr:row>
          <xdr:rowOff>171450</xdr:rowOff>
        </xdr:to>
        <xdr:sp macro="" textlink="">
          <xdr:nvSpPr>
            <xdr:cNvPr id="42023" name="Check Box 39" hidden="1">
              <a:extLst>
                <a:ext uri="{63B3BB69-23CF-44E3-9099-C40C66FF867C}">
                  <a14:compatExt spid="_x0000_s42023"/>
                </a:ext>
                <a:ext uri="{FF2B5EF4-FFF2-40B4-BE49-F238E27FC236}">
                  <a16:creationId xmlns:a16="http://schemas.microsoft.com/office/drawing/2014/main" id="{00000000-0008-0000-0700-000027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19050</xdr:rowOff>
        </xdr:from>
        <xdr:to>
          <xdr:col>7</xdr:col>
          <xdr:colOff>85725</xdr:colOff>
          <xdr:row>45</xdr:row>
          <xdr:rowOff>171450</xdr:rowOff>
        </xdr:to>
        <xdr:sp macro="" textlink="">
          <xdr:nvSpPr>
            <xdr:cNvPr id="42024" name="Check Box 40" hidden="1">
              <a:extLst>
                <a:ext uri="{63B3BB69-23CF-44E3-9099-C40C66FF867C}">
                  <a14:compatExt spid="_x0000_s42024"/>
                </a:ext>
                <a:ext uri="{FF2B5EF4-FFF2-40B4-BE49-F238E27FC236}">
                  <a16:creationId xmlns:a16="http://schemas.microsoft.com/office/drawing/2014/main" id="{00000000-0008-0000-0700-000028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19050</xdr:rowOff>
        </xdr:from>
        <xdr:to>
          <xdr:col>7</xdr:col>
          <xdr:colOff>85725</xdr:colOff>
          <xdr:row>46</xdr:row>
          <xdr:rowOff>171450</xdr:rowOff>
        </xdr:to>
        <xdr:sp macro="" textlink="">
          <xdr:nvSpPr>
            <xdr:cNvPr id="42025" name="Check Box 41" hidden="1">
              <a:extLst>
                <a:ext uri="{63B3BB69-23CF-44E3-9099-C40C66FF867C}">
                  <a14:compatExt spid="_x0000_s42025"/>
                </a:ext>
                <a:ext uri="{FF2B5EF4-FFF2-40B4-BE49-F238E27FC236}">
                  <a16:creationId xmlns:a16="http://schemas.microsoft.com/office/drawing/2014/main" id="{00000000-0008-0000-0700-000029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19050</xdr:rowOff>
        </xdr:from>
        <xdr:to>
          <xdr:col>7</xdr:col>
          <xdr:colOff>85725</xdr:colOff>
          <xdr:row>47</xdr:row>
          <xdr:rowOff>171450</xdr:rowOff>
        </xdr:to>
        <xdr:sp macro="" textlink="">
          <xdr:nvSpPr>
            <xdr:cNvPr id="42026" name="Check Box 42" hidden="1">
              <a:extLst>
                <a:ext uri="{63B3BB69-23CF-44E3-9099-C40C66FF867C}">
                  <a14:compatExt spid="_x0000_s42026"/>
                </a:ext>
                <a:ext uri="{FF2B5EF4-FFF2-40B4-BE49-F238E27FC236}">
                  <a16:creationId xmlns:a16="http://schemas.microsoft.com/office/drawing/2014/main" id="{00000000-0008-0000-0700-00002A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19050</xdr:rowOff>
        </xdr:from>
        <xdr:to>
          <xdr:col>7</xdr:col>
          <xdr:colOff>85725</xdr:colOff>
          <xdr:row>48</xdr:row>
          <xdr:rowOff>171450</xdr:rowOff>
        </xdr:to>
        <xdr:sp macro="" textlink="">
          <xdr:nvSpPr>
            <xdr:cNvPr id="42027" name="Check Box 43" hidden="1">
              <a:extLst>
                <a:ext uri="{63B3BB69-23CF-44E3-9099-C40C66FF867C}">
                  <a14:compatExt spid="_x0000_s42027"/>
                </a:ext>
                <a:ext uri="{FF2B5EF4-FFF2-40B4-BE49-F238E27FC236}">
                  <a16:creationId xmlns:a16="http://schemas.microsoft.com/office/drawing/2014/main" id="{00000000-0008-0000-0700-00002B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85725</xdr:colOff>
          <xdr:row>6</xdr:row>
          <xdr:rowOff>19050</xdr:rowOff>
        </xdr:from>
        <xdr:to>
          <xdr:col>1</xdr:col>
          <xdr:colOff>323850</xdr:colOff>
          <xdr:row>6</xdr:row>
          <xdr:rowOff>171450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D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7</xdr:row>
          <xdr:rowOff>19050</xdr:rowOff>
        </xdr:from>
        <xdr:to>
          <xdr:col>1</xdr:col>
          <xdr:colOff>323850</xdr:colOff>
          <xdr:row>7</xdr:row>
          <xdr:rowOff>171450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D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8</xdr:row>
          <xdr:rowOff>19050</xdr:rowOff>
        </xdr:from>
        <xdr:to>
          <xdr:col>1</xdr:col>
          <xdr:colOff>323850</xdr:colOff>
          <xdr:row>8</xdr:row>
          <xdr:rowOff>171450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D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9</xdr:row>
          <xdr:rowOff>19050</xdr:rowOff>
        </xdr:from>
        <xdr:to>
          <xdr:col>1</xdr:col>
          <xdr:colOff>323850</xdr:colOff>
          <xdr:row>9</xdr:row>
          <xdr:rowOff>171450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D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10</xdr:row>
          <xdr:rowOff>19050</xdr:rowOff>
        </xdr:from>
        <xdr:to>
          <xdr:col>1</xdr:col>
          <xdr:colOff>323850</xdr:colOff>
          <xdr:row>10</xdr:row>
          <xdr:rowOff>171450</xdr:rowOff>
        </xdr:to>
        <xdr:sp macro="" textlink="">
          <xdr:nvSpPr>
            <xdr:cNvPr id="40965" name="Check Box 5" hidden="1">
              <a:extLst>
                <a:ext uri="{63B3BB69-23CF-44E3-9099-C40C66FF867C}">
                  <a14:compatExt spid="_x0000_s40965"/>
                </a:ext>
                <a:ext uri="{FF2B5EF4-FFF2-40B4-BE49-F238E27FC236}">
                  <a16:creationId xmlns:a16="http://schemas.microsoft.com/office/drawing/2014/main" id="{00000000-0008-0000-0D00-000005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11</xdr:row>
          <xdr:rowOff>19050</xdr:rowOff>
        </xdr:from>
        <xdr:to>
          <xdr:col>1</xdr:col>
          <xdr:colOff>323850</xdr:colOff>
          <xdr:row>11</xdr:row>
          <xdr:rowOff>171450</xdr:rowOff>
        </xdr:to>
        <xdr:sp macro="" textlink="">
          <xdr:nvSpPr>
            <xdr:cNvPr id="40966" name="Check Box 6" hidden="1">
              <a:extLst>
                <a:ext uri="{63B3BB69-23CF-44E3-9099-C40C66FF867C}">
                  <a14:compatExt spid="_x0000_s40966"/>
                </a:ext>
                <a:ext uri="{FF2B5EF4-FFF2-40B4-BE49-F238E27FC236}">
                  <a16:creationId xmlns:a16="http://schemas.microsoft.com/office/drawing/2014/main" id="{00000000-0008-0000-0D00-000006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12</xdr:row>
          <xdr:rowOff>19050</xdr:rowOff>
        </xdr:from>
        <xdr:to>
          <xdr:col>1</xdr:col>
          <xdr:colOff>323850</xdr:colOff>
          <xdr:row>12</xdr:row>
          <xdr:rowOff>171450</xdr:rowOff>
        </xdr:to>
        <xdr:sp macro="" textlink="">
          <xdr:nvSpPr>
            <xdr:cNvPr id="40967" name="Check Box 7" hidden="1">
              <a:extLst>
                <a:ext uri="{63B3BB69-23CF-44E3-9099-C40C66FF867C}">
                  <a14:compatExt spid="_x0000_s40967"/>
                </a:ext>
                <a:ext uri="{FF2B5EF4-FFF2-40B4-BE49-F238E27FC236}">
                  <a16:creationId xmlns:a16="http://schemas.microsoft.com/office/drawing/2014/main" id="{00000000-0008-0000-0D00-000007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13</xdr:row>
          <xdr:rowOff>19050</xdr:rowOff>
        </xdr:from>
        <xdr:to>
          <xdr:col>1</xdr:col>
          <xdr:colOff>323850</xdr:colOff>
          <xdr:row>13</xdr:row>
          <xdr:rowOff>171450</xdr:rowOff>
        </xdr:to>
        <xdr:sp macro="" textlink="">
          <xdr:nvSpPr>
            <xdr:cNvPr id="40968" name="Check Box 8" hidden="1">
              <a:extLst>
                <a:ext uri="{63B3BB69-23CF-44E3-9099-C40C66FF867C}">
                  <a14:compatExt spid="_x0000_s40968"/>
                </a:ext>
                <a:ext uri="{FF2B5EF4-FFF2-40B4-BE49-F238E27FC236}">
                  <a16:creationId xmlns:a16="http://schemas.microsoft.com/office/drawing/2014/main" id="{00000000-0008-0000-0D00-000008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14</xdr:row>
          <xdr:rowOff>19050</xdr:rowOff>
        </xdr:from>
        <xdr:to>
          <xdr:col>1</xdr:col>
          <xdr:colOff>323850</xdr:colOff>
          <xdr:row>14</xdr:row>
          <xdr:rowOff>171450</xdr:rowOff>
        </xdr:to>
        <xdr:sp macro="" textlink="">
          <xdr:nvSpPr>
            <xdr:cNvPr id="40969" name="Check Box 9" hidden="1">
              <a:extLst>
                <a:ext uri="{63B3BB69-23CF-44E3-9099-C40C66FF867C}">
                  <a14:compatExt spid="_x0000_s40969"/>
                </a:ext>
                <a:ext uri="{FF2B5EF4-FFF2-40B4-BE49-F238E27FC236}">
                  <a16:creationId xmlns:a16="http://schemas.microsoft.com/office/drawing/2014/main" id="{00000000-0008-0000-0D00-000009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15</xdr:row>
          <xdr:rowOff>19050</xdr:rowOff>
        </xdr:from>
        <xdr:to>
          <xdr:col>1</xdr:col>
          <xdr:colOff>323850</xdr:colOff>
          <xdr:row>15</xdr:row>
          <xdr:rowOff>171450</xdr:rowOff>
        </xdr:to>
        <xdr:sp macro="" textlink="">
          <xdr:nvSpPr>
            <xdr:cNvPr id="40970" name="Check Box 10" hidden="1">
              <a:extLst>
                <a:ext uri="{63B3BB69-23CF-44E3-9099-C40C66FF867C}">
                  <a14:compatExt spid="_x0000_s40970"/>
                </a:ext>
                <a:ext uri="{FF2B5EF4-FFF2-40B4-BE49-F238E27FC236}">
                  <a16:creationId xmlns:a16="http://schemas.microsoft.com/office/drawing/2014/main" id="{00000000-0008-0000-0D00-00000A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16</xdr:row>
          <xdr:rowOff>19050</xdr:rowOff>
        </xdr:from>
        <xdr:to>
          <xdr:col>1</xdr:col>
          <xdr:colOff>323850</xdr:colOff>
          <xdr:row>16</xdr:row>
          <xdr:rowOff>171450</xdr:rowOff>
        </xdr:to>
        <xdr:sp macro="" textlink="">
          <xdr:nvSpPr>
            <xdr:cNvPr id="40971" name="Check Box 11" hidden="1">
              <a:extLst>
                <a:ext uri="{63B3BB69-23CF-44E3-9099-C40C66FF867C}">
                  <a14:compatExt spid="_x0000_s40971"/>
                </a:ext>
                <a:ext uri="{FF2B5EF4-FFF2-40B4-BE49-F238E27FC236}">
                  <a16:creationId xmlns:a16="http://schemas.microsoft.com/office/drawing/2014/main" id="{00000000-0008-0000-0D00-00000B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17</xdr:row>
          <xdr:rowOff>19050</xdr:rowOff>
        </xdr:from>
        <xdr:to>
          <xdr:col>1</xdr:col>
          <xdr:colOff>323850</xdr:colOff>
          <xdr:row>17</xdr:row>
          <xdr:rowOff>171450</xdr:rowOff>
        </xdr:to>
        <xdr:sp macro="" textlink="">
          <xdr:nvSpPr>
            <xdr:cNvPr id="40972" name="Check Box 12" hidden="1">
              <a:extLst>
                <a:ext uri="{63B3BB69-23CF-44E3-9099-C40C66FF867C}">
                  <a14:compatExt spid="_x0000_s40972"/>
                </a:ext>
                <a:ext uri="{FF2B5EF4-FFF2-40B4-BE49-F238E27FC236}">
                  <a16:creationId xmlns:a16="http://schemas.microsoft.com/office/drawing/2014/main" id="{00000000-0008-0000-0D00-00000C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18</xdr:row>
          <xdr:rowOff>19050</xdr:rowOff>
        </xdr:from>
        <xdr:to>
          <xdr:col>1</xdr:col>
          <xdr:colOff>323850</xdr:colOff>
          <xdr:row>18</xdr:row>
          <xdr:rowOff>171450</xdr:rowOff>
        </xdr:to>
        <xdr:sp macro="" textlink="">
          <xdr:nvSpPr>
            <xdr:cNvPr id="40973" name="Check Box 13" hidden="1">
              <a:extLst>
                <a:ext uri="{63B3BB69-23CF-44E3-9099-C40C66FF867C}">
                  <a14:compatExt spid="_x0000_s40973"/>
                </a:ext>
                <a:ext uri="{FF2B5EF4-FFF2-40B4-BE49-F238E27FC236}">
                  <a16:creationId xmlns:a16="http://schemas.microsoft.com/office/drawing/2014/main" id="{00000000-0008-0000-0D00-00000D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19</xdr:row>
          <xdr:rowOff>19050</xdr:rowOff>
        </xdr:from>
        <xdr:to>
          <xdr:col>1</xdr:col>
          <xdr:colOff>323850</xdr:colOff>
          <xdr:row>19</xdr:row>
          <xdr:rowOff>171450</xdr:rowOff>
        </xdr:to>
        <xdr:sp macro="" textlink="">
          <xdr:nvSpPr>
            <xdr:cNvPr id="40974" name="Check Box 14" hidden="1">
              <a:extLst>
                <a:ext uri="{63B3BB69-23CF-44E3-9099-C40C66FF867C}">
                  <a14:compatExt spid="_x0000_s40974"/>
                </a:ext>
                <a:ext uri="{FF2B5EF4-FFF2-40B4-BE49-F238E27FC236}">
                  <a16:creationId xmlns:a16="http://schemas.microsoft.com/office/drawing/2014/main" id="{00000000-0008-0000-0D00-00000E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20</xdr:row>
          <xdr:rowOff>19050</xdr:rowOff>
        </xdr:from>
        <xdr:to>
          <xdr:col>1</xdr:col>
          <xdr:colOff>323850</xdr:colOff>
          <xdr:row>20</xdr:row>
          <xdr:rowOff>171450</xdr:rowOff>
        </xdr:to>
        <xdr:sp macro="" textlink="">
          <xdr:nvSpPr>
            <xdr:cNvPr id="40975" name="Check Box 15" hidden="1">
              <a:extLst>
                <a:ext uri="{63B3BB69-23CF-44E3-9099-C40C66FF867C}">
                  <a14:compatExt spid="_x0000_s40975"/>
                </a:ext>
                <a:ext uri="{FF2B5EF4-FFF2-40B4-BE49-F238E27FC236}">
                  <a16:creationId xmlns:a16="http://schemas.microsoft.com/office/drawing/2014/main" id="{00000000-0008-0000-0D00-00000F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21</xdr:row>
          <xdr:rowOff>19050</xdr:rowOff>
        </xdr:from>
        <xdr:to>
          <xdr:col>1</xdr:col>
          <xdr:colOff>323850</xdr:colOff>
          <xdr:row>21</xdr:row>
          <xdr:rowOff>171450</xdr:rowOff>
        </xdr:to>
        <xdr:sp macro="" textlink="">
          <xdr:nvSpPr>
            <xdr:cNvPr id="40976" name="Check Box 16" hidden="1">
              <a:extLst>
                <a:ext uri="{63B3BB69-23CF-44E3-9099-C40C66FF867C}">
                  <a14:compatExt spid="_x0000_s40976"/>
                </a:ext>
                <a:ext uri="{FF2B5EF4-FFF2-40B4-BE49-F238E27FC236}">
                  <a16:creationId xmlns:a16="http://schemas.microsoft.com/office/drawing/2014/main" id="{00000000-0008-0000-0D00-000010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22</xdr:row>
          <xdr:rowOff>19050</xdr:rowOff>
        </xdr:from>
        <xdr:to>
          <xdr:col>1</xdr:col>
          <xdr:colOff>323850</xdr:colOff>
          <xdr:row>22</xdr:row>
          <xdr:rowOff>171450</xdr:rowOff>
        </xdr:to>
        <xdr:sp macro="" textlink="">
          <xdr:nvSpPr>
            <xdr:cNvPr id="40977" name="Check Box 17" hidden="1">
              <a:extLst>
                <a:ext uri="{63B3BB69-23CF-44E3-9099-C40C66FF867C}">
                  <a14:compatExt spid="_x0000_s40977"/>
                </a:ext>
                <a:ext uri="{FF2B5EF4-FFF2-40B4-BE49-F238E27FC236}">
                  <a16:creationId xmlns:a16="http://schemas.microsoft.com/office/drawing/2014/main" id="{00000000-0008-0000-0D00-00001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23</xdr:row>
          <xdr:rowOff>19050</xdr:rowOff>
        </xdr:from>
        <xdr:to>
          <xdr:col>1</xdr:col>
          <xdr:colOff>323850</xdr:colOff>
          <xdr:row>23</xdr:row>
          <xdr:rowOff>171450</xdr:rowOff>
        </xdr:to>
        <xdr:sp macro="" textlink="">
          <xdr:nvSpPr>
            <xdr:cNvPr id="40978" name="Check Box 18" hidden="1">
              <a:extLst>
                <a:ext uri="{63B3BB69-23CF-44E3-9099-C40C66FF867C}">
                  <a14:compatExt spid="_x0000_s40978"/>
                </a:ext>
                <a:ext uri="{FF2B5EF4-FFF2-40B4-BE49-F238E27FC236}">
                  <a16:creationId xmlns:a16="http://schemas.microsoft.com/office/drawing/2014/main" id="{00000000-0008-0000-0D00-00001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24</xdr:row>
          <xdr:rowOff>19050</xdr:rowOff>
        </xdr:from>
        <xdr:to>
          <xdr:col>1</xdr:col>
          <xdr:colOff>323850</xdr:colOff>
          <xdr:row>24</xdr:row>
          <xdr:rowOff>171450</xdr:rowOff>
        </xdr:to>
        <xdr:sp macro="" textlink="">
          <xdr:nvSpPr>
            <xdr:cNvPr id="40979" name="Check Box 19" hidden="1">
              <a:extLst>
                <a:ext uri="{63B3BB69-23CF-44E3-9099-C40C66FF867C}">
                  <a14:compatExt spid="_x0000_s40979"/>
                </a:ext>
                <a:ext uri="{FF2B5EF4-FFF2-40B4-BE49-F238E27FC236}">
                  <a16:creationId xmlns:a16="http://schemas.microsoft.com/office/drawing/2014/main" id="{00000000-0008-0000-0D00-00001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25</xdr:row>
          <xdr:rowOff>19050</xdr:rowOff>
        </xdr:from>
        <xdr:to>
          <xdr:col>1</xdr:col>
          <xdr:colOff>323850</xdr:colOff>
          <xdr:row>25</xdr:row>
          <xdr:rowOff>171450</xdr:rowOff>
        </xdr:to>
        <xdr:sp macro="" textlink="">
          <xdr:nvSpPr>
            <xdr:cNvPr id="40980" name="Check Box 20" hidden="1">
              <a:extLst>
                <a:ext uri="{63B3BB69-23CF-44E3-9099-C40C66FF867C}">
                  <a14:compatExt spid="_x0000_s40980"/>
                </a:ext>
                <a:ext uri="{FF2B5EF4-FFF2-40B4-BE49-F238E27FC236}">
                  <a16:creationId xmlns:a16="http://schemas.microsoft.com/office/drawing/2014/main" id="{00000000-0008-0000-0D00-00001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26</xdr:row>
          <xdr:rowOff>19050</xdr:rowOff>
        </xdr:from>
        <xdr:to>
          <xdr:col>1</xdr:col>
          <xdr:colOff>323850</xdr:colOff>
          <xdr:row>26</xdr:row>
          <xdr:rowOff>171450</xdr:rowOff>
        </xdr:to>
        <xdr:sp macro="" textlink="">
          <xdr:nvSpPr>
            <xdr:cNvPr id="40981" name="Check Box 21" hidden="1">
              <a:extLst>
                <a:ext uri="{63B3BB69-23CF-44E3-9099-C40C66FF867C}">
                  <a14:compatExt spid="_x0000_s40981"/>
                </a:ext>
                <a:ext uri="{FF2B5EF4-FFF2-40B4-BE49-F238E27FC236}">
                  <a16:creationId xmlns:a16="http://schemas.microsoft.com/office/drawing/2014/main" id="{00000000-0008-0000-0D00-000015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27</xdr:row>
          <xdr:rowOff>19050</xdr:rowOff>
        </xdr:from>
        <xdr:to>
          <xdr:col>1</xdr:col>
          <xdr:colOff>323850</xdr:colOff>
          <xdr:row>27</xdr:row>
          <xdr:rowOff>171450</xdr:rowOff>
        </xdr:to>
        <xdr:sp macro="" textlink="">
          <xdr:nvSpPr>
            <xdr:cNvPr id="40982" name="Check Box 22" hidden="1">
              <a:extLst>
                <a:ext uri="{63B3BB69-23CF-44E3-9099-C40C66FF867C}">
                  <a14:compatExt spid="_x0000_s40982"/>
                </a:ext>
                <a:ext uri="{FF2B5EF4-FFF2-40B4-BE49-F238E27FC236}">
                  <a16:creationId xmlns:a16="http://schemas.microsoft.com/office/drawing/2014/main" id="{00000000-0008-0000-0D00-000016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28</xdr:row>
          <xdr:rowOff>19050</xdr:rowOff>
        </xdr:from>
        <xdr:to>
          <xdr:col>1</xdr:col>
          <xdr:colOff>323850</xdr:colOff>
          <xdr:row>28</xdr:row>
          <xdr:rowOff>171450</xdr:rowOff>
        </xdr:to>
        <xdr:sp macro="" textlink="">
          <xdr:nvSpPr>
            <xdr:cNvPr id="40983" name="Check Box 23" hidden="1">
              <a:extLst>
                <a:ext uri="{63B3BB69-23CF-44E3-9099-C40C66FF867C}">
                  <a14:compatExt spid="_x0000_s40983"/>
                </a:ext>
                <a:ext uri="{FF2B5EF4-FFF2-40B4-BE49-F238E27FC236}">
                  <a16:creationId xmlns:a16="http://schemas.microsoft.com/office/drawing/2014/main" id="{00000000-0008-0000-0D00-000017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29</xdr:row>
          <xdr:rowOff>19050</xdr:rowOff>
        </xdr:from>
        <xdr:to>
          <xdr:col>1</xdr:col>
          <xdr:colOff>323850</xdr:colOff>
          <xdr:row>29</xdr:row>
          <xdr:rowOff>171450</xdr:rowOff>
        </xdr:to>
        <xdr:sp macro="" textlink="">
          <xdr:nvSpPr>
            <xdr:cNvPr id="40984" name="Check Box 24" hidden="1">
              <a:extLst>
                <a:ext uri="{63B3BB69-23CF-44E3-9099-C40C66FF867C}">
                  <a14:compatExt spid="_x0000_s40984"/>
                </a:ext>
                <a:ext uri="{FF2B5EF4-FFF2-40B4-BE49-F238E27FC236}">
                  <a16:creationId xmlns:a16="http://schemas.microsoft.com/office/drawing/2014/main" id="{00000000-0008-0000-0D00-000018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30</xdr:row>
          <xdr:rowOff>19050</xdr:rowOff>
        </xdr:from>
        <xdr:to>
          <xdr:col>1</xdr:col>
          <xdr:colOff>323850</xdr:colOff>
          <xdr:row>30</xdr:row>
          <xdr:rowOff>171450</xdr:rowOff>
        </xdr:to>
        <xdr:sp macro="" textlink="">
          <xdr:nvSpPr>
            <xdr:cNvPr id="40985" name="Check Box 25" hidden="1">
              <a:extLst>
                <a:ext uri="{63B3BB69-23CF-44E3-9099-C40C66FF867C}">
                  <a14:compatExt spid="_x0000_s40985"/>
                </a:ext>
                <a:ext uri="{FF2B5EF4-FFF2-40B4-BE49-F238E27FC236}">
                  <a16:creationId xmlns:a16="http://schemas.microsoft.com/office/drawing/2014/main" id="{00000000-0008-0000-0D00-000019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31</xdr:row>
          <xdr:rowOff>19050</xdr:rowOff>
        </xdr:from>
        <xdr:to>
          <xdr:col>1</xdr:col>
          <xdr:colOff>323850</xdr:colOff>
          <xdr:row>31</xdr:row>
          <xdr:rowOff>171450</xdr:rowOff>
        </xdr:to>
        <xdr:sp macro="" textlink="">
          <xdr:nvSpPr>
            <xdr:cNvPr id="40986" name="Check Box 26" hidden="1">
              <a:extLst>
                <a:ext uri="{63B3BB69-23CF-44E3-9099-C40C66FF867C}">
                  <a14:compatExt spid="_x0000_s40986"/>
                </a:ext>
                <a:ext uri="{FF2B5EF4-FFF2-40B4-BE49-F238E27FC236}">
                  <a16:creationId xmlns:a16="http://schemas.microsoft.com/office/drawing/2014/main" id="{00000000-0008-0000-0D00-00001A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32</xdr:row>
          <xdr:rowOff>19050</xdr:rowOff>
        </xdr:from>
        <xdr:to>
          <xdr:col>1</xdr:col>
          <xdr:colOff>323850</xdr:colOff>
          <xdr:row>32</xdr:row>
          <xdr:rowOff>171450</xdr:rowOff>
        </xdr:to>
        <xdr:sp macro="" textlink="">
          <xdr:nvSpPr>
            <xdr:cNvPr id="40987" name="Check Box 27" hidden="1">
              <a:extLst>
                <a:ext uri="{63B3BB69-23CF-44E3-9099-C40C66FF867C}">
                  <a14:compatExt spid="_x0000_s40987"/>
                </a:ext>
                <a:ext uri="{FF2B5EF4-FFF2-40B4-BE49-F238E27FC236}">
                  <a16:creationId xmlns:a16="http://schemas.microsoft.com/office/drawing/2014/main" id="{00000000-0008-0000-0D00-00001B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33</xdr:row>
          <xdr:rowOff>19050</xdr:rowOff>
        </xdr:from>
        <xdr:to>
          <xdr:col>1</xdr:col>
          <xdr:colOff>323850</xdr:colOff>
          <xdr:row>33</xdr:row>
          <xdr:rowOff>171450</xdr:rowOff>
        </xdr:to>
        <xdr:sp macro="" textlink="">
          <xdr:nvSpPr>
            <xdr:cNvPr id="40988" name="Check Box 28" hidden="1">
              <a:extLst>
                <a:ext uri="{63B3BB69-23CF-44E3-9099-C40C66FF867C}">
                  <a14:compatExt spid="_x0000_s40988"/>
                </a:ext>
                <a:ext uri="{FF2B5EF4-FFF2-40B4-BE49-F238E27FC236}">
                  <a16:creationId xmlns:a16="http://schemas.microsoft.com/office/drawing/2014/main" id="{00000000-0008-0000-0D00-00001C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34</xdr:row>
          <xdr:rowOff>19050</xdr:rowOff>
        </xdr:from>
        <xdr:to>
          <xdr:col>1</xdr:col>
          <xdr:colOff>323850</xdr:colOff>
          <xdr:row>34</xdr:row>
          <xdr:rowOff>171450</xdr:rowOff>
        </xdr:to>
        <xdr:sp macro="" textlink="">
          <xdr:nvSpPr>
            <xdr:cNvPr id="40989" name="Check Box 29" hidden="1">
              <a:extLst>
                <a:ext uri="{63B3BB69-23CF-44E3-9099-C40C66FF867C}">
                  <a14:compatExt spid="_x0000_s40989"/>
                </a:ext>
                <a:ext uri="{FF2B5EF4-FFF2-40B4-BE49-F238E27FC236}">
                  <a16:creationId xmlns:a16="http://schemas.microsoft.com/office/drawing/2014/main" id="{00000000-0008-0000-0D00-00001D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35</xdr:row>
          <xdr:rowOff>19050</xdr:rowOff>
        </xdr:from>
        <xdr:to>
          <xdr:col>1</xdr:col>
          <xdr:colOff>323850</xdr:colOff>
          <xdr:row>35</xdr:row>
          <xdr:rowOff>171450</xdr:rowOff>
        </xdr:to>
        <xdr:sp macro="" textlink="">
          <xdr:nvSpPr>
            <xdr:cNvPr id="40990" name="Check Box 30" hidden="1">
              <a:extLst>
                <a:ext uri="{63B3BB69-23CF-44E3-9099-C40C66FF867C}">
                  <a14:compatExt spid="_x0000_s40990"/>
                </a:ext>
                <a:ext uri="{FF2B5EF4-FFF2-40B4-BE49-F238E27FC236}">
                  <a16:creationId xmlns:a16="http://schemas.microsoft.com/office/drawing/2014/main" id="{00000000-0008-0000-0D00-00001E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36</xdr:row>
          <xdr:rowOff>19050</xdr:rowOff>
        </xdr:from>
        <xdr:to>
          <xdr:col>1</xdr:col>
          <xdr:colOff>323850</xdr:colOff>
          <xdr:row>36</xdr:row>
          <xdr:rowOff>171450</xdr:rowOff>
        </xdr:to>
        <xdr:sp macro="" textlink="">
          <xdr:nvSpPr>
            <xdr:cNvPr id="40991" name="Check Box 31" hidden="1">
              <a:extLst>
                <a:ext uri="{63B3BB69-23CF-44E3-9099-C40C66FF867C}">
                  <a14:compatExt spid="_x0000_s40991"/>
                </a:ext>
                <a:ext uri="{FF2B5EF4-FFF2-40B4-BE49-F238E27FC236}">
                  <a16:creationId xmlns:a16="http://schemas.microsoft.com/office/drawing/2014/main" id="{00000000-0008-0000-0D00-00001F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37</xdr:row>
          <xdr:rowOff>19050</xdr:rowOff>
        </xdr:from>
        <xdr:to>
          <xdr:col>1</xdr:col>
          <xdr:colOff>323850</xdr:colOff>
          <xdr:row>37</xdr:row>
          <xdr:rowOff>171450</xdr:rowOff>
        </xdr:to>
        <xdr:sp macro="" textlink="">
          <xdr:nvSpPr>
            <xdr:cNvPr id="40992" name="Check Box 32" hidden="1">
              <a:extLst>
                <a:ext uri="{63B3BB69-23CF-44E3-9099-C40C66FF867C}">
                  <a14:compatExt spid="_x0000_s40992"/>
                </a:ext>
                <a:ext uri="{FF2B5EF4-FFF2-40B4-BE49-F238E27FC236}">
                  <a16:creationId xmlns:a16="http://schemas.microsoft.com/office/drawing/2014/main" id="{00000000-0008-0000-0D00-000020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38</xdr:row>
          <xdr:rowOff>19050</xdr:rowOff>
        </xdr:from>
        <xdr:to>
          <xdr:col>1</xdr:col>
          <xdr:colOff>323850</xdr:colOff>
          <xdr:row>38</xdr:row>
          <xdr:rowOff>171450</xdr:rowOff>
        </xdr:to>
        <xdr:sp macro="" textlink="">
          <xdr:nvSpPr>
            <xdr:cNvPr id="40993" name="Check Box 33" hidden="1">
              <a:extLst>
                <a:ext uri="{63B3BB69-23CF-44E3-9099-C40C66FF867C}">
                  <a14:compatExt spid="_x0000_s40993"/>
                </a:ext>
                <a:ext uri="{FF2B5EF4-FFF2-40B4-BE49-F238E27FC236}">
                  <a16:creationId xmlns:a16="http://schemas.microsoft.com/office/drawing/2014/main" id="{00000000-0008-0000-0D00-00002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39</xdr:row>
          <xdr:rowOff>19050</xdr:rowOff>
        </xdr:from>
        <xdr:to>
          <xdr:col>1</xdr:col>
          <xdr:colOff>323850</xdr:colOff>
          <xdr:row>39</xdr:row>
          <xdr:rowOff>171450</xdr:rowOff>
        </xdr:to>
        <xdr:sp macro="" textlink="">
          <xdr:nvSpPr>
            <xdr:cNvPr id="40994" name="Check Box 34" hidden="1">
              <a:extLst>
                <a:ext uri="{63B3BB69-23CF-44E3-9099-C40C66FF867C}">
                  <a14:compatExt spid="_x0000_s40994"/>
                </a:ext>
                <a:ext uri="{FF2B5EF4-FFF2-40B4-BE49-F238E27FC236}">
                  <a16:creationId xmlns:a16="http://schemas.microsoft.com/office/drawing/2014/main" id="{00000000-0008-0000-0D00-00002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40</xdr:row>
          <xdr:rowOff>19050</xdr:rowOff>
        </xdr:from>
        <xdr:to>
          <xdr:col>1</xdr:col>
          <xdr:colOff>323850</xdr:colOff>
          <xdr:row>40</xdr:row>
          <xdr:rowOff>171450</xdr:rowOff>
        </xdr:to>
        <xdr:sp macro="" textlink="">
          <xdr:nvSpPr>
            <xdr:cNvPr id="40995" name="Check Box 35" hidden="1">
              <a:extLst>
                <a:ext uri="{63B3BB69-23CF-44E3-9099-C40C66FF867C}">
                  <a14:compatExt spid="_x0000_s40995"/>
                </a:ext>
                <a:ext uri="{FF2B5EF4-FFF2-40B4-BE49-F238E27FC236}">
                  <a16:creationId xmlns:a16="http://schemas.microsoft.com/office/drawing/2014/main" id="{00000000-0008-0000-0D00-00002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41</xdr:row>
          <xdr:rowOff>19050</xdr:rowOff>
        </xdr:from>
        <xdr:to>
          <xdr:col>1</xdr:col>
          <xdr:colOff>323850</xdr:colOff>
          <xdr:row>41</xdr:row>
          <xdr:rowOff>171450</xdr:rowOff>
        </xdr:to>
        <xdr:sp macro="" textlink="">
          <xdr:nvSpPr>
            <xdr:cNvPr id="40996" name="Check Box 36" hidden="1">
              <a:extLst>
                <a:ext uri="{63B3BB69-23CF-44E3-9099-C40C66FF867C}">
                  <a14:compatExt spid="_x0000_s40996"/>
                </a:ext>
                <a:ext uri="{FF2B5EF4-FFF2-40B4-BE49-F238E27FC236}">
                  <a16:creationId xmlns:a16="http://schemas.microsoft.com/office/drawing/2014/main" id="{00000000-0008-0000-0D00-00002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42</xdr:row>
          <xdr:rowOff>19050</xdr:rowOff>
        </xdr:from>
        <xdr:to>
          <xdr:col>1</xdr:col>
          <xdr:colOff>323850</xdr:colOff>
          <xdr:row>42</xdr:row>
          <xdr:rowOff>171450</xdr:rowOff>
        </xdr:to>
        <xdr:sp macro="" textlink="">
          <xdr:nvSpPr>
            <xdr:cNvPr id="40997" name="Check Box 37" hidden="1">
              <a:extLst>
                <a:ext uri="{63B3BB69-23CF-44E3-9099-C40C66FF867C}">
                  <a14:compatExt spid="_x0000_s40997"/>
                </a:ext>
                <a:ext uri="{FF2B5EF4-FFF2-40B4-BE49-F238E27FC236}">
                  <a16:creationId xmlns:a16="http://schemas.microsoft.com/office/drawing/2014/main" id="{00000000-0008-0000-0D00-000025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43</xdr:row>
          <xdr:rowOff>19050</xdr:rowOff>
        </xdr:from>
        <xdr:to>
          <xdr:col>1</xdr:col>
          <xdr:colOff>323850</xdr:colOff>
          <xdr:row>43</xdr:row>
          <xdr:rowOff>171450</xdr:rowOff>
        </xdr:to>
        <xdr:sp macro="" textlink="">
          <xdr:nvSpPr>
            <xdr:cNvPr id="40998" name="Check Box 38" hidden="1">
              <a:extLst>
                <a:ext uri="{63B3BB69-23CF-44E3-9099-C40C66FF867C}">
                  <a14:compatExt spid="_x0000_s40998"/>
                </a:ext>
                <a:ext uri="{FF2B5EF4-FFF2-40B4-BE49-F238E27FC236}">
                  <a16:creationId xmlns:a16="http://schemas.microsoft.com/office/drawing/2014/main" id="{00000000-0008-0000-0D00-000026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44</xdr:row>
          <xdr:rowOff>19050</xdr:rowOff>
        </xdr:from>
        <xdr:to>
          <xdr:col>1</xdr:col>
          <xdr:colOff>323850</xdr:colOff>
          <xdr:row>44</xdr:row>
          <xdr:rowOff>171450</xdr:rowOff>
        </xdr:to>
        <xdr:sp macro="" textlink="">
          <xdr:nvSpPr>
            <xdr:cNvPr id="40999" name="Check Box 39" hidden="1">
              <a:extLst>
                <a:ext uri="{63B3BB69-23CF-44E3-9099-C40C66FF867C}">
                  <a14:compatExt spid="_x0000_s40999"/>
                </a:ext>
                <a:ext uri="{FF2B5EF4-FFF2-40B4-BE49-F238E27FC236}">
                  <a16:creationId xmlns:a16="http://schemas.microsoft.com/office/drawing/2014/main" id="{00000000-0008-0000-0D00-000027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45</xdr:row>
          <xdr:rowOff>19050</xdr:rowOff>
        </xdr:from>
        <xdr:to>
          <xdr:col>1</xdr:col>
          <xdr:colOff>323850</xdr:colOff>
          <xdr:row>45</xdr:row>
          <xdr:rowOff>171450</xdr:rowOff>
        </xdr:to>
        <xdr:sp macro="" textlink="">
          <xdr:nvSpPr>
            <xdr:cNvPr id="41000" name="Check Box 40" hidden="1">
              <a:extLst>
                <a:ext uri="{63B3BB69-23CF-44E3-9099-C40C66FF867C}">
                  <a14:compatExt spid="_x0000_s41000"/>
                </a:ext>
                <a:ext uri="{FF2B5EF4-FFF2-40B4-BE49-F238E27FC236}">
                  <a16:creationId xmlns:a16="http://schemas.microsoft.com/office/drawing/2014/main" id="{00000000-0008-0000-0D00-000028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46</xdr:row>
          <xdr:rowOff>19050</xdr:rowOff>
        </xdr:from>
        <xdr:to>
          <xdr:col>1</xdr:col>
          <xdr:colOff>323850</xdr:colOff>
          <xdr:row>46</xdr:row>
          <xdr:rowOff>171450</xdr:rowOff>
        </xdr:to>
        <xdr:sp macro="" textlink="">
          <xdr:nvSpPr>
            <xdr:cNvPr id="41001" name="Check Box 41" hidden="1">
              <a:extLst>
                <a:ext uri="{63B3BB69-23CF-44E3-9099-C40C66FF867C}">
                  <a14:compatExt spid="_x0000_s41001"/>
                </a:ext>
                <a:ext uri="{FF2B5EF4-FFF2-40B4-BE49-F238E27FC236}">
                  <a16:creationId xmlns:a16="http://schemas.microsoft.com/office/drawing/2014/main" id="{00000000-0008-0000-0D00-000029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85725</xdr:colOff>
          <xdr:row>47</xdr:row>
          <xdr:rowOff>19050</xdr:rowOff>
        </xdr:from>
        <xdr:to>
          <xdr:col>1</xdr:col>
          <xdr:colOff>323850</xdr:colOff>
          <xdr:row>47</xdr:row>
          <xdr:rowOff>171450</xdr:rowOff>
        </xdr:to>
        <xdr:sp macro="" textlink="">
          <xdr:nvSpPr>
            <xdr:cNvPr id="41002" name="Check Box 42" hidden="1">
              <a:extLst>
                <a:ext uri="{63B3BB69-23CF-44E3-9099-C40C66FF867C}">
                  <a14:compatExt spid="_x0000_s41002"/>
                </a:ext>
                <a:ext uri="{FF2B5EF4-FFF2-40B4-BE49-F238E27FC236}">
                  <a16:creationId xmlns:a16="http://schemas.microsoft.com/office/drawing/2014/main" id="{00000000-0008-0000-0D00-00002A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2</xdr:col>
      <xdr:colOff>145804</xdr:colOff>
      <xdr:row>0</xdr:row>
      <xdr:rowOff>0</xdr:rowOff>
    </xdr:from>
    <xdr:to>
      <xdr:col>8</xdr:col>
      <xdr:colOff>227133</xdr:colOff>
      <xdr:row>25</xdr:row>
      <xdr:rowOff>0</xdr:rowOff>
    </xdr:to>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13189</xdr:rowOff>
    </xdr:from>
    <xdr:to>
      <xdr:col>1</xdr:col>
      <xdr:colOff>616195</xdr:colOff>
      <xdr:row>26</xdr:row>
      <xdr:rowOff>148737</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0" y="2211266"/>
              <a:ext cx="1832464" cy="2699971"/>
            </a:xfrm>
            <a:prstGeom prst="rect">
              <a:avLst/>
            </a:prstGeom>
            <a:solidFill>
              <a:prstClr val="white"/>
            </a:solidFill>
            <a:ln w="1">
              <a:solidFill>
                <a:prstClr val="green"/>
              </a:solidFill>
            </a:ln>
          </xdr:spPr>
          <xdr:txBody>
            <a:bodyPr vertOverflow="clip" horzOverflow="clip"/>
            <a:lstStyle/>
            <a:p>
              <a:r>
                <a:rPr lang="en-PH"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553.659201041664" createdVersion="4" refreshedVersion="4" minRefreshableVersion="3" recordCount="14" xr:uid="{00000000-000A-0000-FFFF-FFFF06000000}">
  <cacheSource type="worksheet">
    <worksheetSource ref="B1:F15" sheet="Forex"/>
  </cacheSource>
  <cacheFields count="5">
    <cacheField name="DATE" numFmtId="178">
      <sharedItems containsNonDate="0" containsDate="1" containsString="0" containsBlank="1" minDate="2022-04-18T00:00:00" maxDate="2024-05-07T00:00:00" count="14">
        <d v="2023-10-03T00:00:00"/>
        <d v="2023-08-23T00:00:00"/>
        <d v="2023-10-18T00:00:00"/>
        <d v="2023-12-19T00:00:00"/>
        <m/>
        <d v="2022-04-18T00:00:00"/>
        <d v="2022-08-16T00:00:00"/>
        <d v="2022-09-02T00:00:00"/>
        <d v="2022-10-27T00:00:00"/>
        <d v="2022-12-14T00:00:00"/>
        <d v="2023-06-08T00:00:00"/>
        <d v="2023-10-02T00:00:00"/>
        <d v="2023-12-20T00:00:00"/>
        <d v="2024-05-06T00:00:00" u="1"/>
      </sharedItems>
    </cacheField>
    <cacheField name="TYPE" numFmtId="0">
      <sharedItems containsBlank="1" count="3">
        <s v="PALM"/>
        <m/>
        <s v="SOYA"/>
      </sharedItems>
    </cacheField>
    <cacheField name="PER KG" numFmtId="177">
      <sharedItems containsString="0" containsBlank="1" containsNumber="1" minValue="0.97499999999999998" maxValue="1.8029999999999999"/>
    </cacheField>
    <cacheField name="FOREX" numFmtId="7">
      <sharedItems containsString="0" containsBlank="1" containsNumber="1" minValue="52.386000000000003" maxValue="58.91"/>
    </cacheField>
    <cacheField name="PER KGPhp" numFmtId="7">
      <sharedItems containsString="0" containsBlank="1" containsNumber="1" minValue="55.531124999999996" maxValue="101.62068600000001"/>
    </cacheField>
  </cacheFields>
  <extLst>
    <ext xmlns:x14="http://schemas.microsoft.com/office/spreadsheetml/2009/9/main" uri="{725AE2AE-9491-48be-B2B4-4EB974FC3084}">
      <x14:pivotCacheDefinition pivotCacheId="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553.659201736111" createdVersion="5" refreshedVersion="4" minRefreshableVersion="3" recordCount="11" xr:uid="{00000000-000A-0000-FFFF-FFFF07000000}">
  <cacheSource type="external" connectionId="2"/>
  <cacheFields count="148">
    <cacheField name="ProductID" numFmtId="0">
      <sharedItems containsSemiMixedTypes="0" containsString="0" containsNumber="1" containsInteger="1" minValue="2" maxValue="4023" count="3122">
        <n v="1753"/>
        <n v="1921"/>
        <n v="3442"/>
        <n v="3682"/>
        <n v="3843"/>
        <n v="3995"/>
        <n v="3996"/>
        <n v="3997"/>
        <n v="3998"/>
        <n v="4022"/>
        <n v="4023"/>
        <n v="187" u="1"/>
        <n v="89" u="1"/>
        <n v="3611" u="1"/>
        <n v="2515" u="1"/>
        <n v="20" u="1"/>
        <n v="3654" u="1"/>
        <n v="2558" u="1"/>
        <n v="1755" u="1"/>
        <n v="3697" u="1"/>
        <n v="2601" u="1"/>
        <n v="3740" u="1"/>
        <n v="2644" u="1"/>
        <n v="1798" u="1"/>
        <n v="1250" u="1"/>
        <n v="3783" u="1"/>
        <n v="2687" u="1"/>
        <n v="3826" u="1"/>
        <n v="2730" u="1"/>
        <n v="1293" u="1"/>
        <n v="3869" u="1"/>
        <n v="2773" u="1"/>
        <n v="3912" u="1"/>
        <n v="1336" u="1"/>
        <n v="632" u="1"/>
        <n v="435" u="1"/>
        <n v="298" u="1"/>
        <n v="140" u="1"/>
        <n v="3955" u="1"/>
        <n v="2859" u="1"/>
        <n v="2902" u="1"/>
        <n v="1927" u="1"/>
        <n v="1379" u="1"/>
        <n v="2945" u="1"/>
        <n v="2988" u="1"/>
        <n v="1970" u="1"/>
        <n v="1422" u="1"/>
        <n v="675" u="1"/>
        <n v="3031" u="1"/>
        <n v="3074" u="1"/>
        <n v="2013" u="1"/>
        <n v="1465" u="1"/>
        <n v="3117" u="1"/>
        <n v="3160" u="1"/>
        <n v="2064" u="1"/>
        <n v="992" u="1"/>
        <n v="718" u="1"/>
        <n v="478" u="1"/>
        <n v="341" u="1"/>
        <n v="230" u="1"/>
        <n v="3203" u="1"/>
        <n v="53" u="1"/>
        <n v="2107" u="1"/>
        <n v="3246" u="1"/>
        <n v="2150" u="1"/>
        <n v="2193" u="1"/>
        <n v="3332" u="1"/>
        <n v="2236" u="1"/>
        <n v="1046" u="1"/>
        <n v="3375" u="1"/>
        <n v="3418" u="1"/>
        <n v="2322" u="1"/>
        <n v="3461" u="1"/>
        <n v="2365" u="1"/>
        <n v="3504" u="1"/>
        <n v="2408" u="1"/>
        <n v="1680" u="1"/>
        <n v="1132" u="1"/>
        <n v="530" u="1"/>
        <n v="384" u="1"/>
        <n v="183" u="1"/>
        <n v="87" u="1"/>
        <n v="3547" u="1"/>
        <n v="3590" u="1"/>
        <n v="2494" u="1"/>
        <n v="1723" u="1"/>
        <n v="3633" u="1"/>
        <n v="2537" u="1"/>
        <n v="3676" u="1"/>
        <n v="2580" u="1"/>
        <n v="1766" u="1"/>
        <n v="573" u="1"/>
        <n v="3719" u="1"/>
        <n v="2623" u="1"/>
        <n v="3762" u="1"/>
        <n v="2666" u="1"/>
        <n v="1809" u="1"/>
        <n v="1261" u="1"/>
        <n v="3805" u="1"/>
        <n v="3848" u="1"/>
        <n v="2752" u="1"/>
        <n v="427" u="1"/>
        <n v="290" u="1"/>
        <n v="136" u="1"/>
        <n v="3891" u="1"/>
        <n v="2795" u="1"/>
        <n v="3934" u="1"/>
        <n v="2838" u="1"/>
        <n v="1895" u="1"/>
        <n v="1347" u="1"/>
        <n v="3977" u="1"/>
        <n v="2881" u="1"/>
        <n v="2924" u="1"/>
        <n v="1390" u="1"/>
        <n v="659" u="1"/>
        <n v="2967" u="1"/>
        <n v="3010" u="1"/>
        <n v="1981" u="1"/>
        <n v="1433" u="1"/>
        <n v="3053" u="1"/>
        <n v="2024" u="1"/>
        <n v="702" u="1"/>
        <n v="470" u="1"/>
        <n v="333" u="1"/>
        <n v="226" u="1"/>
        <n v="3139" u="1"/>
        <n v="52" u="1"/>
        <n v="2086" u="1"/>
        <n v="3225" u="1"/>
        <n v="2129" u="1"/>
        <n v="3268" u="1"/>
        <n v="2172" u="1"/>
        <n v="1562" u="1"/>
        <n v="1019" u="1"/>
        <n v="3311" u="1"/>
        <n v="2215" u="1"/>
        <n v="3354" u="1"/>
        <n v="2258" u="1"/>
        <n v="1057" u="1"/>
        <n v="3397" u="1"/>
        <n v="2301" u="1"/>
        <n v="3440" u="1"/>
        <n v="2344" u="1"/>
        <n v="1648" u="1"/>
        <n v="514" u="1"/>
        <n v="376" u="1"/>
        <n v="179" u="1"/>
        <n v="85" u="1"/>
        <n v="3483" u="1"/>
        <n v="2387" u="1"/>
        <n v="19" u="1"/>
        <n v="2430" u="1"/>
        <n v="1691" u="1"/>
        <n v="1143" u="1"/>
        <n v="3569" u="1"/>
        <n v="2473" u="1"/>
        <n v="3612" u="1"/>
        <n v="2516" u="1"/>
        <n v="1734" u="1"/>
        <n v="557" u="1"/>
        <n v="3655" u="1"/>
        <n v="2559" u="1"/>
        <n v="3698" u="1"/>
        <n v="2602" u="1"/>
        <n v="1777" u="1"/>
        <n v="3741" u="1"/>
        <n v="2645" u="1"/>
        <n v="3784" u="1"/>
        <n v="2688" u="1"/>
        <n v="1272" u="1"/>
        <n v="419" u="1"/>
        <n v="282" u="1"/>
        <n v="132" u="1"/>
        <n v="3827" u="1"/>
        <n v="2731" u="1"/>
        <n v="7" u="1"/>
        <n v="3870" u="1"/>
        <n v="2774" u="1"/>
        <n v="3913" u="1"/>
        <n v="2817" u="1"/>
        <n v="3956" u="1"/>
        <n v="2860" u="1"/>
        <n v="1358" u="1"/>
        <n v="643" u="1"/>
        <n v="2903" u="1"/>
        <n v="2946" u="1"/>
        <n v="1401" u="1"/>
        <n v="2989" u="1"/>
        <n v="1992" u="1"/>
        <n v="1444" u="1"/>
        <n v="686" u="1"/>
        <n v="462" u="1"/>
        <n v="325" u="1"/>
        <n v="222" u="1"/>
        <n v="3075" u="1"/>
        <n v="51" u="1"/>
        <n v="3118" u="1"/>
        <n v="3161" u="1"/>
        <n v="3204" u="1"/>
        <n v="2108" u="1"/>
        <n v="1003" u="1"/>
        <n v="3247" u="1"/>
        <n v="2151" u="1"/>
        <n v="3290" u="1"/>
        <n v="1573" u="1"/>
        <n v="1025" u="1"/>
        <n v="3333" u="1"/>
        <n v="2237" u="1"/>
        <n v="3376" u="1"/>
        <n v="1616" u="1"/>
        <n v="1068" u="1"/>
        <n v="505" u="1"/>
        <n v="368" u="1"/>
        <n v="175" u="1"/>
        <n v="83" u="1"/>
        <n v="3419" u="1"/>
        <n v="2323" u="1"/>
        <n v="3462" u="1"/>
        <n v="2366" u="1"/>
        <n v="1659" u="1"/>
        <n v="1111" u="1"/>
        <n v="3505" u="1"/>
        <n v="2409" u="1"/>
        <n v="3548" u="1"/>
        <n v="1154" u="1"/>
        <n v="541" u="1"/>
        <n v="3591" u="1"/>
        <n v="2495" u="1"/>
        <n v="3634" u="1"/>
        <n v="2538" u="1"/>
        <n v="3677" u="1"/>
        <n v="2581" u="1"/>
        <n v="3720" u="1"/>
        <n v="2624" u="1"/>
        <n v="1788" u="1"/>
        <n v="584" u="1"/>
        <n v="411" u="1"/>
        <n v="274" u="1"/>
        <n v="128" u="1"/>
        <n v="3763" u="1"/>
        <n v="2667" u="1"/>
        <n v="3806" u="1"/>
        <n v="2710" u="1"/>
        <n v="1283" u="1"/>
        <n v="3849" u="1"/>
        <n v="2753" u="1"/>
        <n v="3892" u="1"/>
        <n v="2796" u="1"/>
        <n v="1326" u="1"/>
        <n v="627" u="1"/>
        <n v="3935" u="1"/>
        <n v="2839" u="1"/>
        <n v="3978" u="1"/>
        <n v="2882" u="1"/>
        <n v="1917" u="1"/>
        <n v="1369" u="1"/>
        <n v="2925" u="1"/>
        <n v="2968" u="1"/>
        <n v="1412" u="1"/>
        <n v="670" u="1"/>
        <n v="454" u="1"/>
        <n v="317" u="1"/>
        <n v="218" u="1"/>
        <n v="3011" u="1"/>
        <n v="50" u="1"/>
        <n v="3054" u="1"/>
        <n v="2003" u="1"/>
        <n v="1455" u="1"/>
        <n v="3140" u="1"/>
        <n v="1498" u="1"/>
        <n v="987" u="1"/>
        <n v="713" u="1"/>
        <n v="3183" u="1"/>
        <n v="2087" u="1"/>
        <n v="2130" u="1"/>
        <n v="3269" u="1"/>
        <n v="2173" u="1"/>
        <n v="3312" u="1"/>
        <n v="2216" u="1"/>
        <n v="1036" u="1"/>
        <n v="497" u="1"/>
        <n v="360" u="1"/>
        <n v="171" u="1"/>
        <n v="81" u="1"/>
        <n v="3355" u="1"/>
        <n v="2259" u="1"/>
        <n v="18" u="1"/>
        <n v="3398" u="1"/>
        <n v="2302" u="1"/>
        <n v="1627" u="1"/>
        <n v="3441" u="1"/>
        <n v="2345" u="1"/>
        <n v="3484" u="1"/>
        <n v="2388" u="1"/>
        <n v="1670" u="1"/>
        <n v="1122" u="1"/>
        <n v="525" u="1"/>
        <n v="3527" u="1"/>
        <n v="2431" u="1"/>
        <n v="3570" u="1"/>
        <n v="2474" u="1"/>
        <n v="1713" u="1"/>
        <n v="1165" u="1"/>
        <n v="3613" u="1"/>
        <n v="2517" u="1"/>
        <n v="3656" u="1"/>
        <n v="2560" u="1"/>
        <n v="1756" u="1"/>
        <n v="568" u="1"/>
        <n v="403" u="1"/>
        <n v="266" u="1"/>
        <n v="126" u="1"/>
        <n v="3699" u="1"/>
        <n v="2603" u="1"/>
        <n v="2646" u="1"/>
        <n v="1251" u="1"/>
        <n v="3785" u="1"/>
        <n v="2689" u="1"/>
        <n v="3828" u="1"/>
        <n v="2732" u="1"/>
        <n v="1294" u="1"/>
        <n v="3871" u="1"/>
        <n v="2775" u="1"/>
        <n v="3914" u="1"/>
        <n v="2818" u="1"/>
        <n v="1885" u="1"/>
        <n v="1337" u="1"/>
        <n v="3957" u="1"/>
        <n v="2861" u="1"/>
        <n v="2904" u="1"/>
        <n v="1928" u="1"/>
        <n v="1380" u="1"/>
        <n v="654" u="1"/>
        <n v="446" u="1"/>
        <n v="309" u="1"/>
        <n v="214" u="1"/>
        <n v="2947" u="1"/>
        <n v="49" u="1"/>
        <n v="2990" u="1"/>
        <n v="1971" u="1"/>
        <n v="1423" u="1"/>
        <n v="3033" u="1"/>
        <n v="3076" u="1"/>
        <n v="2014" u="1"/>
        <n v="1466" u="1"/>
        <n v="697" u="1"/>
        <n v="3119" u="1"/>
        <n v="3162" u="1"/>
        <n v="1509" u="1"/>
        <n v="3205" u="1"/>
        <n v="2109" u="1"/>
        <n v="3248" u="1"/>
        <n v="2152" u="1"/>
        <n v="1014" u="1"/>
        <n v="489" u="1"/>
        <n v="352" u="1"/>
        <n v="167" u="1"/>
        <n v="79" u="1"/>
        <n v="2195" u="1"/>
        <n v="3334" u="1"/>
        <n v="2238" u="1"/>
        <n v="1047" u="1"/>
        <n v="3377" u="1"/>
        <n v="3420" u="1"/>
        <n v="2324" u="1"/>
        <n v="3463" u="1"/>
        <n v="3506" u="1"/>
        <n v="2410" u="1"/>
        <n v="1681" u="1"/>
        <n v="1133" u="1"/>
        <n v="3549" u="1"/>
        <n v="3592" u="1"/>
        <n v="2496" u="1"/>
        <n v="1724" u="1"/>
        <n v="552" u="1"/>
        <n v="258" u="1"/>
        <n v="124" u="1"/>
        <n v="3635" u="1"/>
        <n v="2539" u="1"/>
        <n v="3678" u="1"/>
        <n v="1767" u="1"/>
        <n v="3721" u="1"/>
        <n v="3764" u="1"/>
        <n v="2668" u="1"/>
        <n v="1810" u="1"/>
        <n v="1262" u="1"/>
        <n v="3807" u="1"/>
        <n v="2711" u="1"/>
        <n v="3850" u="1"/>
        <n v="2754" u="1"/>
        <n v="1853" u="1"/>
        <n v="1305" u="1"/>
        <n v="3893" u="1"/>
        <n v="3936" u="1"/>
        <n v="2840" u="1"/>
        <n v="1896" u="1"/>
        <n v="1348" u="1"/>
        <n v="638" u="1"/>
        <n v="438" u="1"/>
        <n v="301" u="1"/>
        <n v="210" u="1"/>
        <n v="3979" u="1"/>
        <n v="2883" u="1"/>
        <n v="48" u="1"/>
        <n v="2926" u="1"/>
        <n v="1391" u="1"/>
        <n v="2969" u="1"/>
        <n v="3012" u="1"/>
        <n v="1982" u="1"/>
        <n v="1434" u="1"/>
        <n v="681" u="1"/>
        <n v="3055" u="1"/>
        <n v="3098" u="1"/>
        <n v="2025" u="1"/>
        <n v="3141" u="1"/>
        <n v="2088" u="1"/>
        <n v="998" u="1"/>
        <n v="481" u="1"/>
        <n v="344" u="1"/>
        <n v="163" u="1"/>
        <n v="77" u="1"/>
        <n v="3227" u="1"/>
        <n v="2131" u="1"/>
        <n v="17" u="1"/>
        <n v="3270" u="1"/>
        <n v="2174" u="1"/>
        <n v="1563" u="1"/>
        <n v="3313" u="1"/>
        <n v="2217" u="1"/>
        <n v="3356" u="1"/>
        <n v="2260" u="1"/>
        <n v="1058" u="1"/>
        <n v="3399" u="1"/>
        <n v="2303" u="1"/>
        <n v="2346" u="1"/>
        <n v="1649" u="1"/>
        <n v="3485" u="1"/>
        <n v="2389" u="1"/>
        <n v="3528" u="1"/>
        <n v="2432" u="1"/>
        <n v="1692" u="1"/>
        <n v="1144" u="1"/>
        <n v="536" u="1"/>
        <n v="387" u="1"/>
        <n v="253" u="1"/>
        <n v="122" u="1"/>
        <n v="3571" u="1"/>
        <n v="2475" u="1"/>
        <n v="3614" u="1"/>
        <n v="2518" u="1"/>
        <n v="1735" u="1"/>
        <n v="3657" u="1"/>
        <n v="2561" u="1"/>
        <n v="3700" u="1"/>
        <n v="2604" u="1"/>
        <n v="1778" u="1"/>
        <n v="579" u="1"/>
        <n v="3743" u="1"/>
        <n v="2647" u="1"/>
        <n v="3786" u="1"/>
        <n v="2690" u="1"/>
        <n v="1273" u="1"/>
        <n v="3829" u="1"/>
        <n v="2733" u="1"/>
        <n v="3872" u="1"/>
        <n v="2776" u="1"/>
        <n v="1316" u="1"/>
        <n v="430" u="1"/>
        <n v="293" u="1"/>
        <n v="206" u="1"/>
        <n v="3915" u="1"/>
        <n v="2819" u="1"/>
        <n v="47" u="1"/>
        <n v="3958" u="1"/>
        <n v="2862" u="1"/>
        <n v="1359" u="1"/>
        <n v="4001" u="1"/>
        <n v="2905" u="1"/>
        <n v="1402" u="1"/>
        <n v="665" u="1"/>
        <n v="2991" u="1"/>
        <n v="1993" u="1"/>
        <n v="1445" u="1"/>
        <n v="3077" u="1"/>
        <n v="3120" u="1"/>
        <n v="982" u="1"/>
        <n v="708" u="1"/>
        <n v="473" u="1"/>
        <n v="336" u="1"/>
        <n v="159" u="1"/>
        <n v="75" u="1"/>
        <n v="3163" u="1"/>
        <n v="2067" u="1"/>
        <n v="3206" u="1"/>
        <n v="2110" u="1"/>
        <n v="3249" u="1"/>
        <n v="2153" u="1"/>
        <n v="3292" u="1"/>
        <n v="2196" u="1"/>
        <n v="1026" u="1"/>
        <n v="3335" u="1"/>
        <n v="2239" u="1"/>
        <n v="3378" u="1"/>
        <n v="1617" u="1"/>
        <n v="1069" u="1"/>
        <n v="3421" u="1"/>
        <n v="2325" u="1"/>
        <n v="3464" u="1"/>
        <n v="2368" u="1"/>
        <n v="1660" u="1"/>
        <n v="1112" u="1"/>
        <n v="520" u="1"/>
        <n v="379" u="1"/>
        <n v="249" u="1"/>
        <n v="120" u="1"/>
        <n v="3507" u="1"/>
        <n v="2411" u="1"/>
        <n v="3550" u="1"/>
        <n v="1155" u="1"/>
        <n v="3593" u="1"/>
        <n v="2497" u="1"/>
        <n v="3636" u="1"/>
        <n v="2540" u="1"/>
        <n v="563" u="1"/>
        <n v="3679" u="1"/>
        <n v="3722" u="1"/>
        <n v="2626" u="1"/>
        <n v="1789" u="1"/>
        <n v="3765" u="1"/>
        <n v="2669" u="1"/>
        <n v="3808" u="1"/>
        <n v="2712" u="1"/>
        <n v="1284" u="1"/>
        <n v="422" u="1"/>
        <n v="285" u="1"/>
        <n v="202" u="1"/>
        <n v="3851" u="1"/>
        <n v="2755" u="1"/>
        <n v="46" u="1"/>
        <n v="3894" u="1"/>
        <n v="2798" u="1"/>
        <n v="1327" u="1"/>
        <n v="3937" u="1"/>
        <n v="2841" u="1"/>
        <n v="3980" u="1"/>
        <n v="2884" u="1"/>
        <n v="1918" u="1"/>
        <n v="1370" u="1"/>
        <n v="649" u="1"/>
        <n v="2927" u="1"/>
        <n v="1413" u="1"/>
        <n v="3013" u="1"/>
        <n v="3056" u="1"/>
        <n v="2004" u="1"/>
        <n v="1456" u="1"/>
        <n v="692" u="1"/>
        <n v="465" u="1"/>
        <n v="328" u="1"/>
        <n v="155" u="1"/>
        <n v="73" u="1"/>
        <n v="16" u="1"/>
        <n v="2089" u="1"/>
        <n v="3228" u="1"/>
        <n v="2132" u="1"/>
        <n v="1009" u="1"/>
        <n v="3271" u="1"/>
        <n v="2175" u="1"/>
        <n v="3314" u="1"/>
        <n v="2218" u="1"/>
        <n v="1037" u="1"/>
        <n v="3357" u="1"/>
        <n v="2261" u="1"/>
        <n v="3400" u="1"/>
        <n v="2304" u="1"/>
        <n v="1628" u="1"/>
        <n v="508" u="1"/>
        <n v="371" u="1"/>
        <n v="245" u="1"/>
        <n v="118" u="1"/>
        <n v="3443" u="1"/>
        <n v="2347" u="1"/>
        <n v="3486" u="1"/>
        <n v="2390" u="1"/>
        <n v="1671" u="1"/>
        <n v="1123" u="1"/>
        <n v="2433" u="1"/>
        <n v="3572" u="1"/>
        <n v="2476" u="1"/>
        <n v="1714" u="1"/>
        <n v="1166" u="1"/>
        <n v="547" u="1"/>
        <n v="3615" u="1"/>
        <n v="2519" u="1"/>
        <n v="3658" u="1"/>
        <n v="2562" u="1"/>
        <n v="1757" u="1"/>
        <n v="3701" u="1"/>
        <n v="2605" u="1"/>
        <n v="3744" u="1"/>
        <n v="2648" u="1"/>
        <n v="1252" u="1"/>
        <n v="414" u="1"/>
        <n v="277" u="1"/>
        <n v="198" u="1"/>
        <n v="3787" u="1"/>
        <n v="2691" u="1"/>
        <n v="45" u="1"/>
        <n v="3830" u="1"/>
        <n v="2734" u="1"/>
        <n v="3873" u="1"/>
        <n v="2777" u="1"/>
        <n v="3916" u="1"/>
        <n v="2820" u="1"/>
        <n v="1886" u="1"/>
        <n v="1338" u="1"/>
        <n v="633" u="1"/>
        <n v="3959" u="1"/>
        <n v="2863" u="1"/>
        <n v="4002" u="1"/>
        <n v="2906" u="1"/>
        <n v="1929" u="1"/>
        <n v="1381" u="1"/>
        <n v="2949" u="1"/>
        <n v="1972" u="1"/>
        <n v="1424" u="1"/>
        <n v="676" u="1"/>
        <n v="457" u="1"/>
        <n v="320" u="1"/>
        <n v="151" u="1"/>
        <n v="71" u="1"/>
        <n v="3035" u="1"/>
        <n v="3078" u="1"/>
        <n v="2015" u="1"/>
        <n v="1467" u="1"/>
        <n v="3121" u="1"/>
        <n v="2068" u="1"/>
        <n v="993" u="1"/>
        <n v="719" u="1"/>
        <n v="3207" u="1"/>
        <n v="2111" u="1"/>
        <n v="3250" u="1"/>
        <n v="2154" u="1"/>
        <n v="3293" u="1"/>
        <n v="2197" u="1"/>
        <n v="3336" u="1"/>
        <n v="2240" u="1"/>
        <n v="1596" u="1"/>
        <n v="1048" u="1"/>
        <n v="500" u="1"/>
        <n v="363" u="1"/>
        <n v="241" u="1"/>
        <n v="116" u="1"/>
        <n v="3379" u="1"/>
        <n v="3422" u="1"/>
        <n v="2326" u="1"/>
        <n v="3465" u="1"/>
        <n v="2369" u="1"/>
        <n v="3508" u="1"/>
        <n v="2412" u="1"/>
        <n v="1682" u="1"/>
        <n v="1134" u="1"/>
        <n v="531" u="1"/>
        <n v="3551" u="1"/>
        <n v="3594" u="1"/>
        <n v="2498" u="1"/>
        <n v="1725" u="1"/>
        <n v="3637" u="1"/>
        <n v="2541" u="1"/>
        <n v="3680" u="1"/>
        <n v="2584" u="1"/>
        <n v="574" u="1"/>
        <n v="406" u="1"/>
        <n v="269" u="1"/>
        <n v="194" u="1"/>
        <n v="3723" u="1"/>
        <n v="2627" u="1"/>
        <n v="44" u="1"/>
        <n v="3766" u="1"/>
        <n v="2670" u="1"/>
        <n v="1811" u="1"/>
        <n v="1263" u="1"/>
        <n v="3809" u="1"/>
        <n v="2713" u="1"/>
        <n v="3852" u="1"/>
        <n v="2756" u="1"/>
        <n v="1854" u="1"/>
        <n v="1306" u="1"/>
        <n v="3895" u="1"/>
        <n v="2799" u="1"/>
        <n v="3938" u="1"/>
        <n v="2842" u="1"/>
        <n v="1897" u="1"/>
        <n v="1349" u="1"/>
        <n v="3981" u="1"/>
        <n v="2885" u="1"/>
        <n v="2928" u="1"/>
        <n v="1392" u="1"/>
        <n v="660" u="1"/>
        <n v="449" u="1"/>
        <n v="312" u="1"/>
        <n v="147" u="1"/>
        <n v="69" u="1"/>
        <n v="2971" u="1"/>
        <n v="3014" u="1"/>
        <n v="1983" u="1"/>
        <n v="1435" u="1"/>
        <n v="3057" u="1"/>
        <n v="3100" u="1"/>
        <n v="2026" u="1"/>
        <n v="1478" u="1"/>
        <n v="703" u="1"/>
        <n v="2090" u="1"/>
        <n v="3229" u="1"/>
        <n v="2133" u="1"/>
        <n v="3272" u="1"/>
        <n v="2176" u="1"/>
        <n v="1564" u="1"/>
        <n v="1020" u="1"/>
        <n v="492" u="1"/>
        <n v="355" u="1"/>
        <n v="237" u="1"/>
        <n v="114" u="1"/>
        <n v="3315" u="1"/>
        <n v="2219" u="1"/>
        <n v="6" u="1"/>
        <n v="3358" u="1"/>
        <n v="2262" u="1"/>
        <n v="1607" u="1"/>
        <n v="1059" u="1"/>
        <n v="3401" u="1"/>
        <n v="2305" u="1"/>
        <n v="2348" u="1"/>
        <n v="1650" u="1"/>
        <n v="515" u="1"/>
        <n v="3487" u="1"/>
        <n v="2391" u="1"/>
        <n v="2434" u="1"/>
        <n v="1145" u="1"/>
        <n v="3573" u="1"/>
        <n v="2477" u="1"/>
        <n v="3616" u="1"/>
        <n v="2520" u="1"/>
        <n v="1736" u="1"/>
        <n v="558" u="1"/>
        <n v="261" u="1"/>
        <n v="190" u="1"/>
        <n v="2563" u="1"/>
        <n v="43" u="1"/>
        <n v="3702" u="1"/>
        <n v="2606" u="1"/>
        <n v="1779" u="1"/>
        <n v="3745" u="1"/>
        <n v="2649" u="1"/>
        <n v="3788" u="1"/>
        <n v="2692" u="1"/>
        <n v="1274" u="1"/>
        <n v="3831" u="1"/>
        <n v="2735" u="1"/>
        <n v="3874" u="1"/>
        <n v="2778" u="1"/>
        <n v="1317" u="1"/>
        <n v="3917" u="1"/>
        <n v="2821" u="1"/>
        <n v="3960" u="1"/>
        <n v="2864" u="1"/>
        <n v="1360" u="1"/>
        <n v="644" u="1"/>
        <n v="441" u="1"/>
        <n v="304" u="1"/>
        <n v="143" u="1"/>
        <n v="4003" u="1"/>
        <n v="67" u="1"/>
        <n v="2907" u="1"/>
        <n v="2950" u="1"/>
        <n v="1403" u="1"/>
        <n v="2993" u="1"/>
        <n v="3036" u="1"/>
        <n v="1994" u="1"/>
        <n v="1446" u="1"/>
        <n v="687" u="1"/>
        <n v="3079" u="1"/>
        <n v="3122" u="1"/>
        <n v="3165" u="1"/>
        <n v="2069" u="1"/>
        <n v="3208" u="1"/>
        <n v="2112" u="1"/>
        <n v="1004" u="1"/>
        <n v="484" u="1"/>
        <n v="347" u="1"/>
        <n v="233" u="1"/>
        <n v="112" u="1"/>
        <n v="3251" u="1"/>
        <n v="2155" u="1"/>
        <n v="3294" u="1"/>
        <n v="2198" u="1"/>
        <n v="1027" u="1"/>
        <n v="3337" u="1"/>
        <n v="2241" u="1"/>
        <n v="3380" u="1"/>
        <n v="1618" u="1"/>
        <n v="1070" u="1"/>
        <n v="3423" u="1"/>
        <n v="2327" u="1"/>
        <n v="3466" u="1"/>
        <n v="2370" u="1"/>
        <n v="1661" u="1"/>
        <n v="1113" u="1"/>
        <n v="3509" u="1"/>
        <n v="2413" u="1"/>
        <n v="3552" u="1"/>
        <n v="1156" u="1"/>
        <n v="542" u="1"/>
        <n v="186" u="1"/>
        <n v="2499" u="1"/>
        <n v="42" u="1"/>
        <n v="3638" u="1"/>
        <n v="2542" u="1"/>
        <n v="3681" u="1"/>
        <n v="2585" u="1"/>
        <n v="3724" u="1"/>
        <n v="2628" u="1"/>
        <n v="585" u="1"/>
        <n v="3767" u="1"/>
        <n v="2671" u="1"/>
        <n v="3810" u="1"/>
        <n v="2714" u="1"/>
        <n v="1285" u="1"/>
        <n v="3853" u="1"/>
        <n v="2757" u="1"/>
        <n v="3896" u="1"/>
        <n v="2800" u="1"/>
        <n v="1328" u="1"/>
        <n v="628" u="1"/>
        <n v="433" u="1"/>
        <n v="296" u="1"/>
        <n v="139" u="1"/>
        <n v="3939" u="1"/>
        <n v="65" u="1"/>
        <n v="15" u="1"/>
        <n v="3982" u="1"/>
        <n v="2886" u="1"/>
        <n v="1371" u="1"/>
        <n v="2929" u="1"/>
        <n v="2972" u="1"/>
        <n v="1414" u="1"/>
        <n v="671" u="1"/>
        <n v="3015" u="1"/>
        <n v="3058" u="1"/>
        <n v="2005" u="1"/>
        <n v="1457" u="1"/>
        <n v="3101" u="1"/>
        <n v="3144" u="1"/>
        <n v="1500" u="1"/>
        <n v="988" u="1"/>
        <n v="714" u="1"/>
        <n v="476" u="1"/>
        <n v="339" u="1"/>
        <n v="229" u="1"/>
        <n v="110" u="1"/>
        <n v="3187" u="1"/>
        <n v="2091" u="1"/>
        <n v="3230" u="1"/>
        <n v="2134" u="1"/>
        <n v="3273" u="1"/>
        <n v="2177" u="1"/>
        <n v="3316" u="1"/>
        <n v="2220" u="1"/>
        <n v="1038" u="1"/>
        <n v="3359" u="1"/>
        <n v="2263" u="1"/>
        <n v="3402" u="1"/>
        <n v="2306" u="1"/>
        <n v="1629" u="1"/>
        <n v="3445" u="1"/>
        <n v="2349" u="1"/>
        <n v="3488" u="1"/>
        <n v="2392" u="1"/>
        <n v="1124" u="1"/>
        <n v="526" u="1"/>
        <n v="382" u="1"/>
        <n v="182" u="1"/>
        <n v="2435" u="1"/>
        <n v="41" u="1"/>
        <n v="2" u="1"/>
        <n v="3574" u="1"/>
        <n v="2478" u="1"/>
        <n v="1715" u="1"/>
        <n v="1167" u="1"/>
        <n v="3617" u="1"/>
        <n v="2521" u="1"/>
        <n v="3660" u="1"/>
        <n v="2564" u="1"/>
        <n v="1758" u="1"/>
        <n v="569" u="1"/>
        <n v="3703" u="1"/>
        <n v="2607" u="1"/>
        <n v="3746" u="1"/>
        <n v="2650" u="1"/>
        <n v="1253" u="1"/>
        <n v="3789" u="1"/>
        <n v="2693" u="1"/>
        <n v="3832" u="1"/>
        <n v="425" u="1"/>
        <n v="288" u="1"/>
        <n v="135" u="1"/>
        <n v="3875" u="1"/>
        <n v="2779" u="1"/>
        <n v="3918" u="1"/>
        <n v="2822" u="1"/>
        <n v="1887" u="1"/>
        <n v="1339" u="1"/>
        <n v="3961" u="1"/>
        <n v="2865" u="1"/>
        <n v="2908" u="1"/>
        <n v="1930" u="1"/>
        <n v="1382" u="1"/>
        <n v="655" u="1"/>
        <n v="2951" u="1"/>
        <n v="2994" u="1"/>
        <n v="1973" u="1"/>
        <n v="1425" u="1"/>
        <n v="3037" u="1"/>
        <n v="3080" u="1"/>
        <n v="2016" u="1"/>
        <n v="1468" u="1"/>
        <n v="698" u="1"/>
        <n v="468" u="1"/>
        <n v="331" u="1"/>
        <n v="225" u="1"/>
        <n v="108" u="1"/>
        <n v="3123" u="1"/>
        <n v="3166" u="1"/>
        <n v="2070" u="1"/>
        <n v="3209" u="1"/>
        <n v="2113" u="1"/>
        <n v="3252" u="1"/>
        <n v="2156" u="1"/>
        <n v="1015" u="1"/>
        <n v="3295" u="1"/>
        <n v="2199" u="1"/>
        <n v="3338" u="1"/>
        <n v="2242" u="1"/>
        <n v="1049" u="1"/>
        <n v="3381" u="1"/>
        <n v="3424" u="1"/>
        <n v="2328" u="1"/>
        <n v="511" u="1"/>
        <n v="374" u="1"/>
        <n v="178" u="1"/>
        <n v="3467" u="1"/>
        <n v="40" u="1"/>
        <n v="3510" u="1"/>
        <n v="2414" u="1"/>
        <n v="1683" u="1"/>
        <n v="1135" u="1"/>
        <n v="3553" u="1"/>
        <n v="2500" u="1"/>
        <n v="1726" u="1"/>
        <n v="553" u="1"/>
        <n v="3639" u="1"/>
        <n v="2543" u="1"/>
        <n v="2586" u="1"/>
        <n v="1769" u="1"/>
        <n v="3725" u="1"/>
        <n v="2629" u="1"/>
        <n v="3768" u="1"/>
        <n v="2672" u="1"/>
        <n v="1812" u="1"/>
        <n v="1264" u="1"/>
        <n v="417" u="1"/>
        <n v="280" u="1"/>
        <n v="131" u="1"/>
        <n v="2715" u="1"/>
        <n v="3854" u="1"/>
        <n v="1855" u="1"/>
        <n v="1307" u="1"/>
        <n v="3897" u="1"/>
        <n v="2801" u="1"/>
        <n v="3940" u="1"/>
        <n v="1898" u="1"/>
        <n v="1350" u="1"/>
        <n v="639" u="1"/>
        <n v="3983" u="1"/>
        <n v="2887" u="1"/>
        <n v="2930" u="1"/>
        <n v="1393" u="1"/>
        <n v="2973" u="1"/>
        <n v="3016" u="1"/>
        <n v="1984" u="1"/>
        <n v="1436" u="1"/>
        <n v="682" u="1"/>
        <n v="460" u="1"/>
        <n v="323" u="1"/>
        <n v="221" u="1"/>
        <n v="106" u="1"/>
        <n v="3059" u="1"/>
        <n v="3102" u="1"/>
        <n v="2027" u="1"/>
        <n v="3145" u="1"/>
        <n v="3188" u="1"/>
        <n v="999" u="1"/>
        <n v="3231" u="1"/>
        <n v="2135" u="1"/>
        <n v="3274" u="1"/>
        <n v="2178" u="1"/>
        <n v="1565" u="1"/>
        <n v="3317" u="1"/>
        <n v="2221" u="1"/>
        <n v="3360" u="1"/>
        <n v="2264" u="1"/>
        <n v="1608" u="1"/>
        <n v="1060" u="1"/>
        <n v="503" u="1"/>
        <n v="366" u="1"/>
        <n v="174" u="1"/>
        <n v="3403" u="1"/>
        <n v="2307" u="1"/>
        <n v="39" u="1"/>
        <n v="3446" u="1"/>
        <n v="2350" u="1"/>
        <n v="1651" u="1"/>
        <n v="3532" u="1"/>
        <n v="2436" u="1"/>
        <n v="1146" u="1"/>
        <n v="537" u="1"/>
        <n v="3575" u="1"/>
        <n v="2479" u="1"/>
        <n v="3618" u="1"/>
        <n v="2522" u="1"/>
        <n v="1737" u="1"/>
        <n v="2565" u="1"/>
        <n v="3704" u="1"/>
        <n v="2608" u="1"/>
        <n v="1780" u="1"/>
        <n v="580" u="1"/>
        <n v="409" u="1"/>
        <n v="272" u="1"/>
        <n v="3747" u="1"/>
        <n v="2651" u="1"/>
        <n v="3790" u="1"/>
        <n v="2694" u="1"/>
        <n v="1275" u="1"/>
        <n v="3833" u="1"/>
        <n v="2737" u="1"/>
        <n v="3876" u="1"/>
        <n v="1318" u="1"/>
        <n v="3919" u="1"/>
        <n v="2823" u="1"/>
        <n v="3962" u="1"/>
        <n v="2866" u="1"/>
        <n v="1361" u="1"/>
        <n v="2909" u="1"/>
        <n v="2952" u="1"/>
        <n v="1404" u="1"/>
        <n v="666" u="1"/>
        <n v="452" u="1"/>
        <n v="315" u="1"/>
        <n v="217" u="1"/>
        <n v="104" u="1"/>
        <n v="2995" u="1"/>
        <n v="3038" u="1"/>
        <n v="1995" u="1"/>
        <n v="1447" u="1"/>
        <n v="3081" u="1"/>
        <n v="3124" u="1"/>
        <n v="1490" u="1"/>
        <n v="983" u="1"/>
        <n v="709" u="1"/>
        <n v="2071" u="1"/>
        <n v="3210" u="1"/>
        <n v="2114" u="1"/>
        <n v="3253" u="1"/>
        <n v="2157" u="1"/>
        <n v="3296" u="1"/>
        <n v="2200" u="1"/>
        <n v="1028" u="1"/>
        <n v="495" u="1"/>
        <n v="358" u="1"/>
        <n v="170" u="1"/>
        <n v="3339" u="1"/>
        <n v="2243" u="1"/>
        <n v="38" u="1"/>
        <n v="3382" u="1"/>
        <n v="1619" u="1"/>
        <n v="3425" u="1"/>
        <n v="2329" u="1"/>
        <n v="3468" u="1"/>
        <n v="2372" u="1"/>
        <n v="1662" u="1"/>
        <n v="1114" u="1"/>
        <n v="521" u="1"/>
        <n v="3511" u="1"/>
        <n v="2415" u="1"/>
        <n v="3554" u="1"/>
        <n v="1705" u="1"/>
        <n v="1157" u="1"/>
        <n v="3640" u="1"/>
        <n v="2544" u="1"/>
        <n v="1748" u="1"/>
        <n v="564" u="1"/>
        <n v="401" u="1"/>
        <n v="264" u="1"/>
        <n v="3683" u="1"/>
        <n v="2587" u="1"/>
        <n v="14" u="1"/>
        <n v="3726" u="1"/>
        <n v="2630" u="1"/>
        <n v="3769" u="1"/>
        <n v="2673" u="1"/>
        <n v="3812" u="1"/>
        <n v="2716" u="1"/>
        <n v="1286" u="1"/>
        <n v="3855" u="1"/>
        <n v="3898" u="1"/>
        <n v="2802" u="1"/>
        <n v="1329" u="1"/>
        <n v="3941" u="1"/>
        <n v="3984" u="1"/>
        <n v="2888" u="1"/>
        <n v="1920" u="1"/>
        <n v="1372" u="1"/>
        <n v="650" u="1"/>
        <n v="444" u="1"/>
        <n v="307" u="1"/>
        <n v="213" u="1"/>
        <n v="102" u="1"/>
        <n v="2931" u="1"/>
        <n v="2974" u="1"/>
        <n v="1415" u="1"/>
        <n v="3017" u="1"/>
        <n v="3060" u="1"/>
        <n v="2006" u="1"/>
        <n v="1458" u="1"/>
        <n v="693" u="1"/>
        <n v="3103" u="1"/>
        <n v="3189" u="1"/>
        <n v="2093" u="1"/>
        <n v="3232" u="1"/>
        <n v="2136" u="1"/>
        <n v="1010" u="1"/>
        <n v="487" u="1"/>
        <n v="350" u="1"/>
        <n v="166" u="1"/>
        <n v="2179" u="1"/>
        <n v="37" u="1"/>
        <n v="3318" u="1"/>
        <n v="2222" u="1"/>
        <n v="1039" u="1"/>
        <n v="3361" u="1"/>
        <n v="2265" u="1"/>
        <n v="3404" u="1"/>
        <n v="2308" u="1"/>
        <n v="1630" u="1"/>
        <n v="2351" u="1"/>
        <n v="1673" u="1"/>
        <n v="1125" u="1"/>
        <n v="2437" u="1"/>
        <n v="3576" u="1"/>
        <n v="1716" u="1"/>
        <n v="1168" u="1"/>
        <n v="548" u="1"/>
        <n v="256" u="1"/>
        <n v="3619" u="1"/>
        <n v="2523" u="1"/>
        <n v="3662" u="1"/>
        <n v="2566" u="1"/>
        <n v="1759" u="1"/>
        <n v="3705" u="1"/>
        <n v="2609" u="1"/>
        <n v="3748" u="1"/>
        <n v="2652" u="1"/>
        <n v="1254" u="1"/>
        <n v="3791" u="1"/>
        <n v="2695" u="1"/>
        <n v="3834" u="1"/>
        <n v="2738" u="1"/>
        <n v="3877" u="1"/>
        <n v="3920" u="1"/>
        <n v="2824" u="1"/>
        <n v="1888" u="1"/>
        <n v="1340" u="1"/>
        <n v="634" u="1"/>
        <n v="436" u="1"/>
        <n v="299" u="1"/>
        <n v="209" u="1"/>
        <n v="100" u="1"/>
        <n v="3963" u="1"/>
        <n v="2867" u="1"/>
        <n v="2910" u="1"/>
        <n v="1931" u="1"/>
        <n v="1383" u="1"/>
        <n v="2953" u="1"/>
        <n v="2996" u="1"/>
        <n v="1974" u="1"/>
        <n v="1426" u="1"/>
        <n v="677" u="1"/>
        <n v="3082" u="1"/>
        <n v="2017" u="1"/>
        <n v="1469" u="1"/>
        <n v="3125" u="1"/>
        <n v="2072" u="1"/>
        <n v="994" u="1"/>
        <n v="720" u="1"/>
        <n v="479" u="1"/>
        <n v="342" u="1"/>
        <n v="162" u="1"/>
        <n v="3211" u="1"/>
        <n v="2115" u="1"/>
        <n v="36" u="1"/>
        <n v="2158" u="1"/>
        <n v="1555" u="1"/>
        <n v="3297" u="1"/>
        <n v="2201" u="1"/>
        <n v="3340" u="1"/>
        <n v="2244" u="1"/>
        <n v="1050" u="1"/>
        <n v="3383" u="1"/>
        <n v="3426" u="1"/>
        <n v="2330" u="1"/>
        <n v="3469" u="1"/>
        <n v="2373" u="1"/>
        <n v="3512" u="1"/>
        <n v="2416" u="1"/>
        <n v="1684" u="1"/>
        <n v="1136" u="1"/>
        <n v="532" u="1"/>
        <n v="385" u="1"/>
        <n v="252" u="1"/>
        <n v="3555" u="1"/>
        <n v="1727" u="1"/>
        <n v="3641" u="1"/>
        <n v="2545" u="1"/>
        <n v="3684" u="1"/>
        <n v="2588" u="1"/>
        <n v="1770" u="1"/>
        <n v="575" u="1"/>
        <n v="3727" u="1"/>
        <n v="2631" u="1"/>
        <n v="3770" u="1"/>
        <n v="2674" u="1"/>
        <n v="1813" u="1"/>
        <n v="1265" u="1"/>
        <n v="3813" u="1"/>
        <n v="2717" u="1"/>
        <n v="3856" u="1"/>
        <n v="2760" u="1"/>
        <n v="1856" u="1"/>
        <n v="1308" u="1"/>
        <n v="428" u="1"/>
        <n v="291" u="1"/>
        <n v="205" u="1"/>
        <n v="98" u="1"/>
        <n v="3899" u="1"/>
        <n v="2803" u="1"/>
        <n v="5" u="1"/>
        <n v="3942" u="1"/>
        <n v="1899" u="1"/>
        <n v="1351" u="1"/>
        <n v="3985" u="1"/>
        <n v="2889" u="1"/>
        <n v="2932" u="1"/>
        <n v="1394" u="1"/>
        <n v="661" u="1"/>
        <n v="2975" u="1"/>
        <n v="3018" u="1"/>
        <n v="1985" u="1"/>
        <n v="1437" u="1"/>
        <n v="3061" u="1"/>
        <n v="3104" u="1"/>
        <n v="2028" u="1"/>
        <n v="1480" u="1"/>
        <n v="704" u="1"/>
        <n v="471" u="1"/>
        <n v="334" u="1"/>
        <n v="158" u="1"/>
        <n v="3147" u="1"/>
        <n v="35" u="1"/>
        <n v="3190" u="1"/>
        <n v="2094" u="1"/>
        <n v="3233" u="1"/>
        <n v="2137" u="1"/>
        <n v="3276" u="1"/>
        <n v="2180" u="1"/>
        <n v="1021" u="1"/>
        <n v="3319" u="1"/>
        <n v="2223" u="1"/>
        <n v="3362" u="1"/>
        <n v="2266" u="1"/>
        <n v="1061" u="1"/>
        <n v="3405" u="1"/>
        <n v="2309" u="1"/>
        <n v="3448" u="1"/>
        <n v="2352" u="1"/>
        <n v="1104" u="1"/>
        <n v="516" u="1"/>
        <n v="377" u="1"/>
        <n v="248" u="1"/>
        <n v="2395" u="1"/>
        <n v="3534" u="1"/>
        <n v="2438" u="1"/>
        <n v="1147" u="1"/>
        <n v="3577" u="1"/>
        <n v="3620" u="1"/>
        <n v="2524" u="1"/>
        <n v="1738" u="1"/>
        <n v="559" u="1"/>
        <n v="3663" u="1"/>
        <n v="2567" u="1"/>
        <n v="3706" u="1"/>
        <n v="2610" u="1"/>
        <n v="1781" u="1"/>
        <n v="3749" u="1"/>
        <n v="2653" u="1"/>
        <n v="3792" u="1"/>
        <n v="2696" u="1"/>
        <n v="1276" u="1"/>
        <n v="420" u="1"/>
        <n v="283" u="1"/>
        <n v="201" u="1"/>
        <n v="96" u="1"/>
        <n v="3835" u="1"/>
        <n v="2739" u="1"/>
        <n v="3878" u="1"/>
        <n v="2782" u="1"/>
        <n v="1319" u="1"/>
        <n v="3921" u="1"/>
        <n v="2825" u="1"/>
        <n v="3964" u="1"/>
        <n v="2868" u="1"/>
        <n v="1362" u="1"/>
        <n v="645" u="1"/>
        <n v="2911" u="1"/>
        <n v="2954" u="1"/>
        <n v="1405" u="1"/>
        <n v="2997" u="1"/>
        <n v="3040" u="1"/>
        <n v="1996" u="1"/>
        <n v="1448" u="1"/>
        <n v="688" u="1"/>
        <n v="463" u="1"/>
        <n v="326" u="1"/>
        <n v="154" u="1"/>
        <n v="3083" u="1"/>
        <n v="34" u="1"/>
        <n v="3126" u="1"/>
        <n v="1491" u="1"/>
        <n v="3169" u="1"/>
        <n v="2073" u="1"/>
        <n v="3212" u="1"/>
        <n v="2116" u="1"/>
        <n v="1005" u="1"/>
        <n v="3255" u="1"/>
        <n v="2159" u="1"/>
        <n v="3298" u="1"/>
        <n v="2202" u="1"/>
        <n v="1029" u="1"/>
        <n v="3341" u="1"/>
        <n v="2245" u="1"/>
        <n v="3384" u="1"/>
        <n v="1620" u="1"/>
        <n v="506" u="1"/>
        <n v="369" u="1"/>
        <n v="244" u="1"/>
        <n v="3427" u="1"/>
        <n v="2331" u="1"/>
        <n v="13" u="1"/>
        <n v="3470" u="1"/>
        <n v="2374" u="1"/>
        <n v="1663" u="1"/>
        <n v="1115" u="1"/>
        <n v="3513" u="1"/>
        <n v="2417" u="1"/>
        <n v="3556" u="1"/>
        <n v="1706" u="1"/>
        <n v="1158" u="1"/>
        <n v="543" u="1"/>
        <n v="2503" u="1"/>
        <n v="3642" u="1"/>
        <n v="2546" u="1"/>
        <n v="1749" u="1"/>
        <n v="3685" u="1"/>
        <n v="2589" u="1"/>
        <n v="3728" u="1"/>
        <n v="2632" u="1"/>
        <n v="1792" u="1"/>
        <n v="1244" u="1"/>
        <n v="586" u="1"/>
        <n v="412" u="1"/>
        <n v="275" u="1"/>
        <n v="197" u="1"/>
        <n v="94" u="1"/>
        <n v="3771" u="1"/>
        <n v="2675" u="1"/>
        <n v="3814" u="1"/>
        <n v="2718" u="1"/>
        <n v="1287" u="1"/>
        <n v="3857" u="1"/>
        <n v="2761" u="1"/>
        <n v="3900" u="1"/>
        <n v="1878" u="1"/>
        <n v="1330" u="1"/>
        <n v="629" u="1"/>
        <n v="3943" u="1"/>
        <n v="2847" u="1"/>
        <n v="3986" u="1"/>
        <n v="2890" u="1"/>
        <n v="1373" u="1"/>
        <n v="2933" u="1"/>
        <n v="2976" u="1"/>
        <n v="1416" u="1"/>
        <n v="672" u="1"/>
        <n v="455" u="1"/>
        <n v="318" u="1"/>
        <n v="150" u="1"/>
        <n v="3019" u="1"/>
        <n v="33" u="1"/>
        <n v="3062" u="1"/>
        <n v="2007" u="1"/>
        <n v="1459" u="1"/>
        <n v="3105" u="1"/>
        <n v="3148" u="1"/>
        <n v="989" u="1"/>
        <n v="715" u="1"/>
        <n v="3191" u="1"/>
        <n v="2095" u="1"/>
        <n v="3234" u="1"/>
        <n v="2138" u="1"/>
        <n v="3277" u="1"/>
        <n v="2181" u="1"/>
        <n v="3320" u="1"/>
        <n v="2224" u="1"/>
        <n v="1040" u="1"/>
        <n v="498" u="1"/>
        <n v="361" u="1"/>
        <n v="240" u="1"/>
        <n v="3363" u="1"/>
        <n v="2267" u="1"/>
        <n v="3406" u="1"/>
        <n v="2310" u="1"/>
        <n v="1631" u="1"/>
        <n v="2353" u="1"/>
        <n v="2396" u="1"/>
        <n v="1674" u="1"/>
        <n v="1126" u="1"/>
        <n v="527" u="1"/>
        <n v="3535" u="1"/>
        <n v="2439" u="1"/>
        <n v="3578" u="1"/>
        <n v="1717" u="1"/>
        <n v="1169" u="1"/>
        <n v="3621" u="1"/>
        <n v="2525" u="1"/>
        <n v="3664" u="1"/>
        <n v="2568" u="1"/>
        <n v="1760" u="1"/>
        <n v="570" u="1"/>
        <n v="404" u="1"/>
        <n v="267" u="1"/>
        <n v="193" u="1"/>
        <n v="92" u="1"/>
        <n v="3707" u="1"/>
        <n v="2611" u="1"/>
        <n v="3750" u="1"/>
        <n v="2654" u="1"/>
        <n v="1803" u="1"/>
        <n v="1255" u="1"/>
        <n v="3793" u="1"/>
        <n v="2697" u="1"/>
        <n v="3836" u="1"/>
        <n v="2740" u="1"/>
        <n v="3879" u="1"/>
        <n v="2783" u="1"/>
        <n v="3922" u="1"/>
        <n v="2826" u="1"/>
        <n v="1889" u="1"/>
        <n v="1341" u="1"/>
        <n v="3965" u="1"/>
        <n v="2869" u="1"/>
        <n v="1932" u="1"/>
        <n v="1384" u="1"/>
        <n v="656" u="1"/>
        <n v="447" u="1"/>
        <n v="310" u="1"/>
        <n v="146" u="1"/>
        <n v="2955" u="1"/>
        <n v="32" u="1"/>
        <n v="2998" u="1"/>
        <n v="1427" u="1"/>
        <n v="3041" u="1"/>
        <n v="3084" u="1"/>
        <n v="2018" u="1"/>
        <n v="699" u="1"/>
        <n v="3127" u="1"/>
        <n v="3170" u="1"/>
        <n v="2074" u="1"/>
        <n v="3213" u="1"/>
        <n v="2117" u="1"/>
        <n v="3256" u="1"/>
        <n v="2160" u="1"/>
        <n v="1016" u="1"/>
        <n v="490" u="1"/>
        <n v="353" u="1"/>
        <n v="236" u="1"/>
        <n v="3299" u="1"/>
        <n v="2203" u="1"/>
        <n v="3342" u="1"/>
        <n v="2246" u="1"/>
        <n v="1051" u="1"/>
        <n v="3385" u="1"/>
        <n v="3428" u="1"/>
        <n v="2332" u="1"/>
        <n v="3471" u="1"/>
        <n v="2375" u="1"/>
        <n v="3514" u="1"/>
        <n v="2418" u="1"/>
        <n v="1137" u="1"/>
        <n v="3557" u="1"/>
        <n v="3600" u="1"/>
        <n v="2504" u="1"/>
        <n v="1728" u="1"/>
        <n v="554" u="1"/>
        <n v="259" u="1"/>
        <n v="189" u="1"/>
        <n v="90" u="1"/>
        <n v="3643" u="1"/>
        <n v="2547" u="1"/>
        <n v="3686" u="1"/>
        <n v="2590" u="1"/>
        <n v="1771" u="1"/>
        <n v="3729" u="1"/>
        <n v="3772" u="1"/>
        <n v="2676" u="1"/>
        <n v="1814" u="1"/>
        <n v="1266" u="1"/>
        <n v="3815" u="1"/>
        <n v="2719" u="1"/>
        <n v="3858" u="1"/>
        <n v="2762" u="1"/>
        <n v="1857" u="1"/>
        <n v="1309" u="1"/>
        <n v="3901" u="1"/>
        <n v="2805" u="1"/>
        <n v="3944" u="1"/>
        <n v="2848" u="1"/>
        <n v="1900" u="1"/>
        <n v="1352" u="1"/>
        <n v="640" u="1"/>
        <n v="439" u="1"/>
        <n v="302" u="1"/>
        <n v="142" u="1"/>
        <n v="3987" u="1"/>
        <n v="2891" u="1"/>
        <n v="2934" u="1"/>
        <n v="1395" u="1"/>
        <n v="2977" u="1"/>
        <n v="3020" u="1"/>
        <n v="1986" u="1"/>
        <n v="1438" u="1"/>
        <n v="683" u="1"/>
        <n v="3063" u="1"/>
        <n v="3106" u="1"/>
        <n v="2029" u="1"/>
        <n v="3149" u="1"/>
        <n v="2096" u="1"/>
        <n v="1000" u="1"/>
        <n v="482" u="1"/>
        <n v="345" u="1"/>
        <n v="232" u="1"/>
        <n v="3235" u="1"/>
        <n v="2139" u="1"/>
        <n v="3278" u="1"/>
        <n v="2182" u="1"/>
        <n v="3321" u="1"/>
        <n v="2225" u="1"/>
        <n v="3364" u="1"/>
        <n v="2268" u="1"/>
        <n v="1062" u="1"/>
        <n v="3407" u="1"/>
        <n v="2311" u="1"/>
        <n v="2354" u="1"/>
        <n v="1653" u="1"/>
        <n v="1105" u="1"/>
        <n v="3493" u="1"/>
        <n v="2397" u="1"/>
        <n v="3536" u="1"/>
        <n v="1148" u="1"/>
        <n v="538" u="1"/>
        <n v="388" u="1"/>
        <n v="185" u="1"/>
        <n v="88" u="1"/>
        <n v="3579" u="1"/>
        <n v="2483" u="1"/>
        <n v="3622" u="1"/>
        <n v="2526" u="1"/>
        <n v="1739" u="1"/>
        <n v="3665" u="1"/>
        <n v="2569" u="1"/>
        <n v="3708" u="1"/>
        <n v="2612" u="1"/>
        <n v="1782" u="1"/>
        <n v="581" u="1"/>
        <n v="3751" u="1"/>
        <n v="2655" u="1"/>
        <n v="3794" u="1"/>
        <n v="2698" u="1"/>
        <n v="1277" u="1"/>
        <n v="3837" u="1"/>
        <n v="2741" u="1"/>
        <n v="3880" u="1"/>
        <n v="2784" u="1"/>
        <n v="1320" u="1"/>
        <n v="431" u="1"/>
        <n v="294" u="1"/>
        <n v="138" u="1"/>
        <n v="3923" u="1"/>
        <n v="2827" u="1"/>
        <n v="31" u="1"/>
        <n v="3966" u="1"/>
        <n v="2870" u="1"/>
        <n v="1911" u="1"/>
        <n v="1363" u="1"/>
        <n v="2913" u="1"/>
        <n v="1406" u="1"/>
        <n v="667" u="1"/>
        <n v="2999" u="1"/>
        <n v="3042" u="1"/>
        <n v="1997" u="1"/>
        <n v="1449" u="1"/>
        <n v="3085" u="1"/>
        <n v="3128" u="1"/>
        <n v="1492" u="1"/>
        <n v="984" u="1"/>
        <n v="710" u="1"/>
        <n v="474" u="1"/>
        <n v="337" u="1"/>
        <n v="228" u="1"/>
        <n v="3171" u="1"/>
        <n v="2075" u="1"/>
        <n v="12" u="1"/>
        <n v="3214" u="1"/>
        <n v="2118" u="1"/>
        <n v="3257" u="1"/>
        <n v="2161" u="1"/>
        <n v="3300" u="1"/>
        <n v="2204" u="1"/>
        <n v="1030" u="1"/>
        <n v="3343" u="1"/>
        <n v="2247" u="1"/>
        <n v="3386" u="1"/>
        <n v="1621" u="1"/>
        <n v="3429" u="1"/>
        <n v="2333" u="1"/>
        <n v="3472" u="1"/>
        <n v="2376" u="1"/>
        <n v="1664" u="1"/>
        <n v="1116" u="1"/>
        <n v="522" u="1"/>
        <n v="380" u="1"/>
        <n v="181" u="1"/>
        <n v="86" u="1"/>
        <n v="3515" u="1"/>
        <n v="2419" u="1"/>
        <n v="3558" u="1"/>
        <n v="1707" u="1"/>
        <n v="1159" u="1"/>
        <n v="3601" u="1"/>
        <n v="2505" u="1"/>
        <n v="3644" u="1"/>
        <n v="2548" u="1"/>
        <n v="1750" u="1"/>
        <n v="565" u="1"/>
        <n v="3687" u="1"/>
        <n v="2591" u="1"/>
        <n v="3730" u="1"/>
        <n v="2634" u="1"/>
        <n v="1793" u="1"/>
        <n v="1245" u="1"/>
        <n v="3773" u="1"/>
        <n v="2677" u="1"/>
        <n v="3816" u="1"/>
        <n v="2720" u="1"/>
        <n v="1288" u="1"/>
        <n v="423" u="1"/>
        <n v="286" u="1"/>
        <n v="134" u="1"/>
        <n v="3859" u="1"/>
        <n v="2763" u="1"/>
        <n v="3902" u="1"/>
        <n v="2806" u="1"/>
        <n v="1879" u="1"/>
        <n v="1331" u="1"/>
        <n v="3945" u="1"/>
        <n v="2849" u="1"/>
        <n v="3988" u="1"/>
        <n v="2892" u="1"/>
        <n v="1922" u="1"/>
        <n v="1374" u="1"/>
        <n v="651" u="1"/>
        <n v="2935" u="1"/>
        <n v="2978" u="1"/>
        <n v="1417" u="1"/>
        <n v="3021" u="1"/>
        <n v="3064" u="1"/>
        <n v="2008" u="1"/>
        <n v="1460" u="1"/>
        <n v="694" u="1"/>
        <n v="466" u="1"/>
        <n v="329" u="1"/>
        <n v="3107" u="1"/>
        <n v="3150" u="1"/>
        <n v="3193" u="1"/>
        <n v="2097" u="1"/>
        <n v="3236" u="1"/>
        <n v="2140" u="1"/>
        <n v="1546" u="1"/>
        <n v="1011" u="1"/>
        <n v="3279" u="1"/>
        <n v="2183" u="1"/>
        <n v="3322" u="1"/>
        <n v="2226" u="1"/>
        <n v="1041" u="1"/>
        <n v="3365" u="1"/>
        <n v="2269" u="1"/>
        <n v="3408" u="1"/>
        <n v="2312" u="1"/>
        <n v="1632" u="1"/>
        <n v="509" u="1"/>
        <n v="372" u="1"/>
        <n v="177" u="1"/>
        <n v="84" u="1"/>
        <n v="2355" u="1"/>
        <n v="3494" u="1"/>
        <n v="2398" u="1"/>
        <n v="1675" u="1"/>
        <n v="1127" u="1"/>
        <n v="3580" u="1"/>
        <n v="2484" u="1"/>
        <n v="1718" u="1"/>
        <n v="1170" u="1"/>
        <n v="549" u="1"/>
        <n v="3623" u="1"/>
        <n v="2527" u="1"/>
        <n v="3666" u="1"/>
        <n v="2570" u="1"/>
        <n v="1761" u="1"/>
        <n v="3709" u="1"/>
        <n v="2613" u="1"/>
        <n v="3752" u="1"/>
        <n v="2656" u="1"/>
        <n v="1804" u="1"/>
        <n v="1256" u="1"/>
        <n v="415" u="1"/>
        <n v="278" u="1"/>
        <n v="130" u="1"/>
        <n v="3795" u="1"/>
        <n v="2699" u="1"/>
        <n v="30" u="1"/>
        <n v="3838" u="1"/>
        <n v="2742" u="1"/>
        <n v="1847" u="1"/>
        <n v="3881" u="1"/>
        <n v="2785" u="1"/>
        <n v="3924" u="1"/>
        <n v="2828" u="1"/>
        <n v="1890" u="1"/>
        <n v="1342" u="1"/>
        <n v="635" u="1"/>
        <n v="3967" u="1"/>
        <n v="2871" u="1"/>
        <n v="2914" u="1"/>
        <n v="1933" u="1"/>
        <n v="1385" u="1"/>
        <n v="2957" u="1"/>
        <n v="3000" u="1"/>
        <n v="1428" u="1"/>
        <n v="678" u="1"/>
        <n v="458" u="1"/>
        <n v="321" u="1"/>
        <n v="220" u="1"/>
        <n v="3043" u="1"/>
        <n v="3086" u="1"/>
        <n v="2019" u="1"/>
        <n v="3129" u="1"/>
        <n v="3172" u="1"/>
        <n v="2076" u="1"/>
        <n v="995" u="1"/>
        <n v="721" u="1"/>
        <n v="3215" u="1"/>
        <n v="2119" u="1"/>
        <n v="3258" u="1"/>
        <n v="2162" u="1"/>
        <n v="3301" u="1"/>
        <n v="2205" u="1"/>
        <n v="3344" u="1"/>
        <n v="2248" u="1"/>
        <n v="1600" u="1"/>
        <n v="1052" u="1"/>
        <n v="501" u="1"/>
        <n v="364" u="1"/>
        <n v="173" u="1"/>
        <n v="82" u="1"/>
        <n v="3387" u="1"/>
        <n v="4" u="1"/>
        <n v="3430" u="1"/>
        <n v="2334" u="1"/>
        <n v="3473" u="1"/>
        <n v="2377" u="1"/>
        <n v="3516" u="1"/>
        <n v="2420" u="1"/>
        <n v="1686" u="1"/>
        <n v="1138" u="1"/>
        <n v="533" u="1"/>
        <n v="3559" u="1"/>
        <n v="2463" u="1"/>
        <n v="3602" u="1"/>
        <n v="2506" u="1"/>
        <n v="1729" u="1"/>
        <n v="3645" u="1"/>
        <n v="2549" u="1"/>
        <n v="3688" u="1"/>
        <n v="2592" u="1"/>
        <n v="1772" u="1"/>
        <n v="576" u="1"/>
        <n v="407" u="1"/>
        <n v="270" u="1"/>
        <n v="127" u="1"/>
        <n v="3731" u="1"/>
        <n v="2635" u="1"/>
        <n v="3774" u="1"/>
        <n v="1815" u="1"/>
        <n v="1267" u="1"/>
        <n v="3817" u="1"/>
        <n v="2721" u="1"/>
        <n v="3860" u="1"/>
        <n v="2764" u="1"/>
        <n v="1858" u="1"/>
        <n v="1310" u="1"/>
        <n v="3903" u="1"/>
        <n v="2807" u="1"/>
        <n v="3946" u="1"/>
        <n v="2850" u="1"/>
        <n v="1901" u="1"/>
        <n v="1353" u="1"/>
        <n v="3989" u="1"/>
        <n v="2893" u="1"/>
        <n v="2936" u="1"/>
        <n v="1396" u="1"/>
        <n v="662" u="1"/>
        <n v="450" u="1"/>
        <n v="313" u="1"/>
        <n v="216" u="1"/>
        <n v="2979" u="1"/>
        <n v="3022" u="1"/>
        <n v="1987" u="1"/>
        <n v="1439" u="1"/>
        <n v="3065" u="1"/>
        <n v="3108" u="1"/>
        <n v="2030" u="1"/>
        <n v="705" u="1"/>
        <n v="3151" u="1"/>
        <n v="3194" u="1"/>
        <n v="2098" u="1"/>
        <n v="3237" u="1"/>
        <n v="2141" u="1"/>
        <n v="3280" u="1"/>
        <n v="2184" u="1"/>
        <n v="1022" u="1"/>
        <n v="493" u="1"/>
        <n v="356" u="1"/>
        <n v="169" u="1"/>
        <n v="80" u="1"/>
        <n v="3323" u="1"/>
        <n v="2227" u="1"/>
        <n v="2270" u="1"/>
        <n v="1611" u="1"/>
        <n v="1063" u="1"/>
        <n v="3409" u="1"/>
        <n v="2313" u="1"/>
        <n v="2356" u="1"/>
        <n v="1654" u="1"/>
        <n v="1106" u="1"/>
        <n v="517" u="1"/>
        <n v="3495" u="1"/>
        <n v="2399" u="1"/>
        <n v="3538" u="1"/>
        <n v="1697" u="1"/>
        <n v="1149" u="1"/>
        <n v="3581" u="1"/>
        <n v="2485" u="1"/>
        <n v="3624" u="1"/>
        <n v="2528" u="1"/>
        <n v="1740" u="1"/>
        <n v="560" u="1"/>
        <n v="399" u="1"/>
        <n v="262" u="1"/>
        <n v="125" u="1"/>
        <n v="3667" u="1"/>
        <n v="2571" u="1"/>
        <n v="29" u="1"/>
        <n v="3710" u="1"/>
        <n v="2614" u="1"/>
        <n v="1783" u="1"/>
        <n v="3753" u="1"/>
        <n v="2657" u="1"/>
        <n v="3796" u="1"/>
        <n v="2700" u="1"/>
        <n v="1278" u="1"/>
        <n v="3839" u="1"/>
        <n v="2743" u="1"/>
        <n v="3882" u="1"/>
        <n v="2786" u="1"/>
        <n v="1321" u="1"/>
        <n v="3925" u="1"/>
        <n v="2829" u="1"/>
        <n v="3968" u="1"/>
        <n v="2872" u="1"/>
        <n v="1912" u="1"/>
        <n v="1364" u="1"/>
        <n v="646" u="1"/>
        <n v="442" u="1"/>
        <n v="305" u="1"/>
        <n v="212" u="1"/>
        <n v="2915" u="1"/>
        <n v="11" u="1"/>
        <n v="2958" u="1"/>
        <n v="1407" u="1"/>
        <n v="3001" u="1"/>
        <n v="1998" u="1"/>
        <n v="1450" u="1"/>
        <n v="689" u="1"/>
        <n v="3087" u="1"/>
        <n v="3130" u="1"/>
        <n v="1493" u="1"/>
        <n v="3173" u="1"/>
        <n v="2077" u="1"/>
        <n v="3216" u="1"/>
        <n v="2120" u="1"/>
        <n v="1006" u="1"/>
        <n v="485" u="1"/>
        <n v="348" u="1"/>
        <n v="165" u="1"/>
        <n v="78" u="1"/>
        <n v="3259" u="1"/>
        <n v="2163" u="1"/>
        <n v="3302" u="1"/>
        <n v="2206" u="1"/>
        <n v="1031" u="1"/>
        <n v="3345" u="1"/>
        <n v="2249" u="1"/>
        <n v="3388" u="1"/>
        <n v="1622" u="1"/>
        <n v="3431" u="1"/>
        <n v="2335" u="1"/>
        <n v="3474" u="1"/>
        <n v="2378" u="1"/>
        <n v="1665" u="1"/>
        <n v="1117" u="1"/>
        <n v="3517" u="1"/>
        <n v="2421" u="1"/>
        <n v="3560" u="1"/>
        <n v="2464" u="1"/>
        <n v="1708" u="1"/>
        <n v="1160" u="1"/>
        <n v="544" u="1"/>
        <n v="255" u="1"/>
        <n v="123" u="1"/>
        <n v="3603" u="1"/>
        <n v="2507" u="1"/>
        <n v="3646" u="1"/>
        <n v="2550" u="1"/>
        <n v="1751" u="1"/>
        <n v="3689" u="1"/>
        <n v="2593" u="1"/>
        <n v="3732" u="1"/>
        <n v="1794" u="1"/>
        <n v="1246" u="1"/>
        <n v="3775" u="1"/>
        <n v="2679" u="1"/>
        <n v="3818" u="1"/>
        <n v="2722" u="1"/>
        <n v="1289" u="1"/>
        <n v="3861" u="1"/>
        <n v="2765" u="1"/>
        <n v="3904" u="1"/>
        <n v="2808" u="1"/>
        <n v="1880" u="1"/>
        <n v="1332" u="1"/>
        <n v="630" u="1"/>
        <n v="434" u="1"/>
        <n v="297" u="1"/>
        <n v="208" u="1"/>
        <n v="2851" u="1"/>
        <n v="3990" u="1"/>
        <n v="2894" u="1"/>
        <n v="1923" u="1"/>
        <n v="1375" u="1"/>
        <n v="2937" u="1"/>
        <n v="1418" u="1"/>
        <n v="673" u="1"/>
        <n v="3023" u="1"/>
        <n v="3066" u="1"/>
        <n v="2009" u="1"/>
        <n v="1461" u="1"/>
        <n v="3109" u="1"/>
        <n v="3152" u="1"/>
        <n v="990" u="1"/>
        <n v="716" u="1"/>
        <n v="477" u="1"/>
        <n v="340" u="1"/>
        <n v="161" u="1"/>
        <n v="76" u="1"/>
        <n v="3195" u="1"/>
        <n v="2099" u="1"/>
        <n v="3238" u="1"/>
        <n v="2142" u="1"/>
        <n v="3281" u="1"/>
        <n v="2185" u="1"/>
        <n v="3324" u="1"/>
        <n v="2228" u="1"/>
        <n v="1042" u="1"/>
        <n v="2271" u="1"/>
        <n v="3410" u="1"/>
        <n v="2314" u="1"/>
        <n v="1633" u="1"/>
        <n v="2357" u="1"/>
        <n v="3496" u="1"/>
        <n v="2400" u="1"/>
        <n v="1676" u="1"/>
        <n v="1128" u="1"/>
        <n v="528" u="1"/>
        <n v="383" u="1"/>
        <n v="251" u="1"/>
        <n v="121" u="1"/>
        <n v="3539" u="1"/>
        <n v="28" u="1"/>
        <n v="3582" u="1"/>
        <n v="2486" u="1"/>
        <n v="1719" u="1"/>
        <n v="3625" u="1"/>
        <n v="2529" u="1"/>
        <n v="3668" u="1"/>
        <n v="2572" u="1"/>
        <n v="1762" u="1"/>
        <n v="571" u="1"/>
        <n v="3711" u="1"/>
        <n v="2615" u="1"/>
        <n v="3754" u="1"/>
        <n v="2658" u="1"/>
        <n v="1805" u="1"/>
        <n v="1257" u="1"/>
        <n v="3797" u="1"/>
        <n v="2701" u="1"/>
        <n v="3840" u="1"/>
        <n v="2744" u="1"/>
        <n v="1848" u="1"/>
        <n v="426" u="1"/>
        <n v="289" u="1"/>
        <n v="204" u="1"/>
        <n v="2787" u="1"/>
        <n v="3926" u="1"/>
        <n v="2830" u="1"/>
        <n v="1891" u="1"/>
        <n v="1343" u="1"/>
        <n v="3969" u="1"/>
        <n v="2873" u="1"/>
        <n v="2916" u="1"/>
        <n v="1934" u="1"/>
        <n v="1386" u="1"/>
        <n v="657" u="1"/>
        <n v="2959" u="1"/>
        <n v="3002" u="1"/>
        <n v="1977" u="1"/>
        <n v="1429" u="1"/>
        <n v="3045" u="1"/>
        <n v="3088" u="1"/>
        <n v="2020" u="1"/>
        <n v="700" u="1"/>
        <n v="469" u="1"/>
        <n v="332" u="1"/>
        <n v="157" u="1"/>
        <n v="74" u="1"/>
        <n v="3131" u="1"/>
        <n v="3174" u="1"/>
        <n v="2078" u="1"/>
        <n v="3217" u="1"/>
        <n v="2121" u="1"/>
        <n v="3260" u="1"/>
        <n v="2164" u="1"/>
        <n v="1017" u="1"/>
        <n v="3303" u="1"/>
        <n v="2207" u="1"/>
        <n v="3346" u="1"/>
        <n v="2250" u="1"/>
        <n v="1601" u="1"/>
        <n v="1053" u="1"/>
        <n v="3432" u="1"/>
        <n v="2336" u="1"/>
        <n v="512" u="1"/>
        <n v="375" u="1"/>
        <n v="247" u="1"/>
        <n v="119" u="1"/>
        <n v="3475" u="1"/>
        <n v="3518" u="1"/>
        <n v="2422" u="1"/>
        <n v="1687" u="1"/>
        <n v="1139" u="1"/>
        <n v="3561" u="1"/>
        <n v="2465" u="1"/>
        <n v="3604" u="1"/>
        <n v="2508" u="1"/>
        <n v="555" u="1"/>
        <n v="3647" u="1"/>
        <n v="2551" u="1"/>
        <n v="3690" u="1"/>
        <n v="2594" u="1"/>
        <n v="1773" u="1"/>
        <n v="3733" u="1"/>
        <n v="2637" u="1"/>
        <n v="3776" u="1"/>
        <n v="2680" u="1"/>
        <n v="1816" u="1"/>
        <n v="1268" u="1"/>
        <n v="418" u="1"/>
        <n v="281" u="1"/>
        <n v="200" u="1"/>
        <n v="3819" u="1"/>
        <n v="2723" u="1"/>
        <n v="3862" u="1"/>
        <n v="2766" u="1"/>
        <n v="1859" u="1"/>
        <n v="3905" u="1"/>
        <n v="2809" u="1"/>
        <n v="3948" u="1"/>
        <n v="2852" u="1"/>
        <n v="1354" u="1"/>
        <n v="641" u="1"/>
        <n v="3991" u="1"/>
        <n v="2895" u="1"/>
        <n v="2938" u="1"/>
        <n v="1397" u="1"/>
        <n v="2981" u="1"/>
        <n v="3024" u="1"/>
        <n v="1988" u="1"/>
        <n v="1440" u="1"/>
        <n v="684" u="1"/>
        <n v="461" u="1"/>
        <n v="324" u="1"/>
        <n v="153" u="1"/>
        <n v="72" u="1"/>
        <n v="3067" u="1"/>
        <n v="3110" u="1"/>
        <n v="2031" u="1"/>
        <n v="3153" u="1"/>
        <n v="3196" u="1"/>
        <n v="2100" u="1"/>
        <n v="1001" u="1"/>
        <n v="3239" u="1"/>
        <n v="2143" u="1"/>
        <n v="3282" u="1"/>
        <n v="2186" u="1"/>
        <n v="1569" u="1"/>
        <n v="2229" u="1"/>
        <n v="3368" u="1"/>
        <n v="2272" u="1"/>
        <n v="1612" u="1"/>
        <n v="1064" u="1"/>
        <n v="504" u="1"/>
        <n v="367" u="1"/>
        <n v="243" u="1"/>
        <n v="117" u="1"/>
        <n v="3411" u="1"/>
        <n v="2315" u="1"/>
        <n v="27" u="1"/>
        <n v="3454" u="1"/>
        <n v="2358" u="1"/>
        <n v="1655" u="1"/>
        <n v="1107" u="1"/>
        <n v="3497" u="1"/>
        <n v="3540" u="1"/>
        <n v="1698" u="1"/>
        <n v="1150" u="1"/>
        <n v="539" u="1"/>
        <n v="3583" u="1"/>
        <n v="2487" u="1"/>
        <n v="3626" u="1"/>
        <n v="2530" u="1"/>
        <n v="1741" u="1"/>
        <n v="3669" u="1"/>
        <n v="2573" u="1"/>
        <n v="3712" u="1"/>
        <n v="2616" u="1"/>
        <n v="1784" u="1"/>
        <n v="582" u="1"/>
        <n v="410" u="1"/>
        <n v="273" u="1"/>
        <n v="196" u="1"/>
        <n v="3755" u="1"/>
        <n v="2659" u="1"/>
        <n v="10" u="1"/>
        <n v="3798" u="1"/>
        <n v="2702" u="1"/>
        <n v="1279" u="1"/>
        <n v="3841" u="1"/>
        <n v="2745" u="1"/>
        <n v="1322" u="1"/>
        <n v="3927" u="1"/>
        <n v="2831" u="1"/>
        <n v="3970" u="1"/>
        <n v="2874" u="1"/>
        <n v="1913" u="1"/>
        <n v="1365" u="1"/>
        <n v="2917" u="1"/>
        <n v="2960" u="1"/>
        <n v="1408" u="1"/>
        <n v="668" u="1"/>
        <n v="453" u="1"/>
        <n v="316" u="1"/>
        <n v="149" u="1"/>
        <n v="70" u="1"/>
        <n v="3003" u="1"/>
        <n v="3046" u="1"/>
        <n v="1999" u="1"/>
        <n v="1451" u="1"/>
        <n v="3089" u="1"/>
        <n v="3132" u="1"/>
        <n v="1494" u="1"/>
        <n v="985" u="1"/>
        <n v="711" u="1"/>
        <n v="2079" u="1"/>
        <n v="3218" u="1"/>
        <n v="2122" u="1"/>
        <n v="3261" u="1"/>
        <n v="2165" u="1"/>
        <n v="3304" u="1"/>
        <n v="2208" u="1"/>
        <n v="1032" u="1"/>
        <n v="496" u="1"/>
        <n v="359" u="1"/>
        <n v="239" u="1"/>
        <n v="115" u="1"/>
        <n v="3347" u="1"/>
        <n v="2251" u="1"/>
        <n v="3390" u="1"/>
        <n v="1623" u="1"/>
        <n v="3433" u="1"/>
        <n v="2337" u="1"/>
        <n v="3476" u="1"/>
        <n v="1666" u="1"/>
        <n v="1118" u="1"/>
        <n v="523" u="1"/>
        <n v="3519" u="1"/>
        <n v="2423" u="1"/>
        <n v="3562" u="1"/>
        <n v="2466" u="1"/>
        <n v="1709" u="1"/>
        <n v="1161" u="1"/>
        <n v="3605" u="1"/>
        <n v="2509" u="1"/>
        <n v="3648" u="1"/>
        <n v="2552" u="1"/>
        <n v="1752" u="1"/>
        <n v="566" u="1"/>
        <n v="402" u="1"/>
        <n v="265" u="1"/>
        <n v="192" u="1"/>
        <n v="3691" u="1"/>
        <n v="3734" u="1"/>
        <n v="2638" u="1"/>
        <n v="1795" u="1"/>
        <n v="1247" u="1"/>
        <n v="3777" u="1"/>
        <n v="2681" u="1"/>
        <n v="3820" u="1"/>
        <n v="2724" u="1"/>
        <n v="1290" u="1"/>
        <n v="3863" u="1"/>
        <n v="2767" u="1"/>
        <n v="3906" u="1"/>
        <n v="2810" u="1"/>
        <n v="1881" u="1"/>
        <n v="1333" u="1"/>
        <n v="3949" u="1"/>
        <n v="2853" u="1"/>
        <n v="3992" u="1"/>
        <n v="2896" u="1"/>
        <n v="1924" u="1"/>
        <n v="1376" u="1"/>
        <n v="652" u="1"/>
        <n v="445" u="1"/>
        <n v="308" u="1"/>
        <n v="145" u="1"/>
        <n v="68" u="1"/>
        <n v="2982" u="1"/>
        <n v="1419" u="1"/>
        <n v="3025" u="1"/>
        <n v="3068" u="1"/>
        <n v="2010" u="1"/>
        <n v="1462" u="1"/>
        <n v="695" u="1"/>
        <n v="3111" u="1"/>
        <n v="3154" u="1"/>
        <n v="2101" u="1"/>
        <n v="3240" u="1"/>
        <n v="2144" u="1"/>
        <n v="1012" u="1"/>
        <n v="488" u="1"/>
        <n v="351" u="1"/>
        <n v="235" u="1"/>
        <n v="113" u="1"/>
        <n v="3283" u="1"/>
        <n v="2187" u="1"/>
        <n v="26" u="1"/>
        <n v="3326" u="1"/>
        <n v="2230" u="1"/>
        <n v="1591" u="1"/>
        <n v="1043" u="1"/>
        <n v="2273" u="1"/>
        <n v="3412" u="1"/>
        <n v="2316" u="1"/>
        <n v="1634" u="1"/>
        <n v="3455" u="1"/>
        <n v="2359" u="1"/>
        <n v="3498" u="1"/>
        <n v="2402" u="1"/>
        <n v="1677" u="1"/>
        <n v="1129" u="1"/>
        <n v="3584" u="1"/>
        <n v="2488" u="1"/>
        <n v="1720" u="1"/>
        <n v="550" u="1"/>
        <n v="257" u="1"/>
        <n v="188" u="1"/>
        <n v="3627" u="1"/>
        <n v="2531" u="1"/>
        <n v="3670" u="1"/>
        <n v="1763" u="1"/>
        <n v="3713" u="1"/>
        <n v="2617" u="1"/>
        <n v="3756" u="1"/>
        <n v="2660" u="1"/>
        <n v="1806" u="1"/>
        <n v="1258" u="1"/>
        <n v="3799" u="1"/>
        <n v="2703" u="1"/>
        <n v="3842" u="1"/>
        <n v="2746" u="1"/>
        <n v="2789" u="1"/>
        <n v="3928" u="1"/>
        <n v="2832" u="1"/>
        <n v="1344" u="1"/>
        <n v="636" u="1"/>
        <n v="437" u="1"/>
        <n v="300" u="1"/>
        <n v="141" u="1"/>
        <n v="3971" u="1"/>
        <n v="66" u="1"/>
        <n v="2875" u="1"/>
        <n v="2918" u="1"/>
        <n v="1935" u="1"/>
        <n v="1387" u="1"/>
        <n v="2961" u="1"/>
        <n v="3004" u="1"/>
        <n v="1978" u="1"/>
        <n v="1430" u="1"/>
        <n v="679" u="1"/>
        <n v="3047" u="1"/>
        <n v="3090" u="1"/>
        <n v="2021" u="1"/>
        <n v="1473" u="1"/>
        <n v="3133" u="1"/>
        <n v="3176" u="1"/>
        <n v="2080" u="1"/>
        <n v="996" u="1"/>
        <n v="722" u="1"/>
        <n v="480" u="1"/>
        <n v="343" u="1"/>
        <n v="231" u="1"/>
        <n v="111" u="1"/>
        <n v="3219" u="1"/>
        <n v="2123" u="1"/>
        <n v="2166" u="1"/>
        <n v="2209" u="1"/>
        <n v="3348" u="1"/>
        <n v="2252" u="1"/>
        <n v="1602" u="1"/>
        <n v="1054" u="1"/>
        <n v="3391" u="1"/>
        <n v="3434" u="1"/>
        <n v="2338" u="1"/>
        <n v="3477" u="1"/>
        <n v="2381" u="1"/>
        <n v="3520" u="1"/>
        <n v="2424" u="1"/>
        <n v="1140" u="1"/>
        <n v="534" u="1"/>
        <n v="386" u="1"/>
        <n v="184" u="1"/>
        <n v="3563" u="1"/>
        <n v="2467" u="1"/>
        <n v="3606" u="1"/>
        <n v="2510" u="1"/>
        <n v="1731" u="1"/>
        <n v="3649" u="1"/>
        <n v="2553" u="1"/>
        <n v="3692" u="1"/>
        <n v="2596" u="1"/>
        <n v="1774" u="1"/>
        <n v="577" u="1"/>
        <n v="3735" u="1"/>
        <n v="2639" u="1"/>
        <n v="3778" u="1"/>
        <n v="2682" u="1"/>
        <n v="1817" u="1"/>
        <n v="1269" u="1"/>
        <n v="3821" u="1"/>
        <n v="2725" u="1"/>
        <n v="3864" u="1"/>
        <n v="2768" u="1"/>
        <n v="1860" u="1"/>
        <n v="429" u="1"/>
        <n v="292" u="1"/>
        <n v="137" u="1"/>
        <n v="3907" u="1"/>
        <n v="64" u="1"/>
        <n v="2811" u="1"/>
        <n v="3950" u="1"/>
        <n v="2854" u="1"/>
        <n v="1903" u="1"/>
        <n v="1355" u="1"/>
        <n v="3993" u="1"/>
        <n v="2897" u="1"/>
        <n v="2940" u="1"/>
        <n v="1398" u="1"/>
        <n v="663" u="1"/>
        <n v="2983" u="1"/>
        <n v="1989" u="1"/>
        <n v="1441" u="1"/>
        <n v="3069" u="1"/>
        <n v="3112" u="1"/>
        <n v="2032" u="1"/>
        <n v="706" u="1"/>
        <n v="472" u="1"/>
        <n v="335" u="1"/>
        <n v="227" u="1"/>
        <n v="109" u="1"/>
        <n v="3155" u="1"/>
        <n v="2059" u="1"/>
        <n v="25" u="1"/>
        <n v="3198" u="1"/>
        <n v="2102" u="1"/>
        <n v="3241" u="1"/>
        <n v="2145" u="1"/>
        <n v="3284" u="1"/>
        <n v="2188" u="1"/>
        <n v="1570" u="1"/>
        <n v="1023" u="1"/>
        <n v="3327" u="1"/>
        <n v="2231" u="1"/>
        <n v="3370" u="1"/>
        <n v="2274" u="1"/>
        <n v="1613" u="1"/>
        <n v="1065" u="1"/>
        <n v="3413" u="1"/>
        <n v="2317" u="1"/>
        <n v="3456" u="1"/>
        <n v="1656" u="1"/>
        <n v="1108" u="1"/>
        <n v="518" u="1"/>
        <n v="378" u="1"/>
        <n v="180" u="1"/>
        <n v="3499" u="1"/>
        <n v="2403" u="1"/>
        <n v="9" u="1"/>
        <n v="3542" u="1"/>
        <n v="1699" u="1"/>
        <n v="1151" u="1"/>
        <n v="3585" u="1"/>
        <n v="2489" u="1"/>
        <n v="3628" u="1"/>
        <n v="2532" u="1"/>
        <n v="1742" u="1"/>
        <n v="561" u="1"/>
        <n v="3671" u="1"/>
        <n v="2575" u="1"/>
        <n v="3714" u="1"/>
        <n v="2618" u="1"/>
        <n v="1785" u="1"/>
        <n v="3757" u="1"/>
        <n v="2661" u="1"/>
        <n v="3800" u="1"/>
        <n v="1280" u="1"/>
        <n v="421" u="1"/>
        <n v="284" u="1"/>
        <n v="133" u="1"/>
        <n v="63" u="1"/>
        <n v="2747" u="1"/>
        <n v="1323" u="1"/>
        <n v="3929" u="1"/>
        <n v="2833" u="1"/>
        <n v="3972" u="1"/>
        <n v="2876" u="1"/>
        <n v="1366" u="1"/>
        <n v="647" u="1"/>
        <n v="2919" u="1"/>
        <n v="2962" u="1"/>
        <n v="1409" u="1"/>
        <n v="3005" u="1"/>
        <n v="3048" u="1"/>
        <n v="2000" u="1"/>
        <n v="1452" u="1"/>
        <n v="690" u="1"/>
        <n v="464" u="1"/>
        <n v="327" u="1"/>
        <n v="223" u="1"/>
        <n v="107" u="1"/>
        <n v="3091" u="1"/>
        <n v="3134" u="1"/>
        <n v="1495" u="1"/>
        <n v="3177" u="1"/>
        <n v="2081" u="1"/>
        <n v="3220" u="1"/>
        <n v="2124" u="1"/>
        <n v="1007" u="1"/>
        <n v="2167" u="1"/>
        <n v="3306" u="1"/>
        <n v="2210" u="1"/>
        <n v="1033" u="1"/>
        <n v="3349" u="1"/>
        <n v="2253" u="1"/>
        <n v="3392" u="1"/>
        <n v="507" u="1"/>
        <n v="370" u="1"/>
        <n v="176" u="1"/>
        <n v="3435" u="1"/>
        <n v="2339" u="1"/>
        <n v="3478" u="1"/>
        <n v="2382" u="1"/>
        <n v="1667" u="1"/>
        <n v="1119" u="1"/>
        <n v="3521" u="1"/>
        <n v="2425" u="1"/>
        <n v="3564" u="1"/>
        <n v="2468" u="1"/>
        <n v="1710" u="1"/>
        <n v="1162" u="1"/>
        <n v="545" u="1"/>
        <n v="3607" u="1"/>
        <n v="2511" u="1"/>
        <n v="2554" u="1"/>
        <n v="3693" u="1"/>
        <n v="2597" u="1"/>
        <n v="3736" u="1"/>
        <n v="2640" u="1"/>
        <n v="1796" u="1"/>
        <n v="1248" u="1"/>
        <n v="413" u="1"/>
        <n v="276" u="1"/>
        <n v="129" u="1"/>
        <n v="3779" u="1"/>
        <n v="62" u="1"/>
        <n v="2683" u="1"/>
        <n v="2726" u="1"/>
        <n v="1291" u="1"/>
        <n v="3865" u="1"/>
        <n v="2769" u="1"/>
        <n v="3908" u="1"/>
        <n v="2812" u="1"/>
        <n v="1334" u="1"/>
        <n v="631" u="1"/>
        <n v="3951" u="1"/>
        <n v="2855" u="1"/>
        <n v="3994" u="1"/>
        <n v="2898" u="1"/>
        <n v="1925" u="1"/>
        <n v="1377" u="1"/>
        <n v="2941" u="1"/>
        <n v="2984" u="1"/>
        <n v="1968" u="1"/>
        <n v="1420" u="1"/>
        <n v="674" u="1"/>
        <n v="456" u="1"/>
        <n v="319" u="1"/>
        <n v="219" u="1"/>
        <n v="105" u="1"/>
        <n v="3027" u="1"/>
        <n v="24" u="1"/>
        <n v="3070" u="1"/>
        <n v="2011" u="1"/>
        <n v="1463" u="1"/>
        <n v="3113" u="1"/>
        <n v="3156" u="1"/>
        <n v="1506" u="1"/>
        <n v="991" u="1"/>
        <n v="717" u="1"/>
        <n v="3199" u="1"/>
        <n v="2103" u="1"/>
        <n v="3242" u="1"/>
        <n v="2146" u="1"/>
        <n v="3285" u="1"/>
        <n v="2189" u="1"/>
        <n v="3328" u="1"/>
        <n v="2232" u="1"/>
        <n v="1592" u="1"/>
        <n v="1044" u="1"/>
        <n v="499" u="1"/>
        <n v="362" u="1"/>
        <n v="172" u="1"/>
        <n v="3371" u="1"/>
        <n v="2275" u="1"/>
        <n v="3414" u="1"/>
        <n v="2318" u="1"/>
        <n v="1635" u="1"/>
        <n v="3457" u="1"/>
        <n v="3500" u="1"/>
        <n v="2404" u="1"/>
        <n v="1678" u="1"/>
        <n v="1130" u="1"/>
        <n v="529" u="1"/>
        <n v="3543" u="1"/>
        <n v="3586" u="1"/>
        <n v="2490" u="1"/>
        <n v="1721" u="1"/>
        <n v="3629" u="1"/>
        <n v="2533" u="1"/>
        <n v="3672" u="1"/>
        <n v="2576" u="1"/>
        <n v="1764" u="1"/>
        <n v="572" u="1"/>
        <n v="405" u="1"/>
        <n v="268" u="1"/>
        <n v="3715" u="1"/>
        <n v="61" u="1"/>
        <n v="2619" u="1"/>
        <n v="2662" u="1"/>
        <n v="1807" u="1"/>
        <n v="1259" u="1"/>
        <n v="3801" u="1"/>
        <n v="3844" u="1"/>
        <n v="2748" u="1"/>
        <n v="3930" u="1"/>
        <n v="2834" u="1"/>
        <n v="1345" u="1"/>
        <n v="3973" u="1"/>
        <n v="2877" u="1"/>
        <n v="2920" u="1"/>
        <n v="1388" u="1"/>
        <n v="658" u="1"/>
        <n v="448" u="1"/>
        <n v="311" u="1"/>
        <n v="215" u="1"/>
        <n v="103" u="1"/>
        <n v="2963" u="1"/>
        <n v="3006" u="1"/>
        <n v="1431" u="1"/>
        <n v="3049" u="1"/>
        <n v="3092" u="1"/>
        <n v="2022" u="1"/>
        <n v="1474" u="1"/>
        <n v="701" u="1"/>
        <n v="3135" u="1"/>
        <n v="3178" u="1"/>
        <n v="2082" u="1"/>
        <n v="3221" u="1"/>
        <n v="2125" u="1"/>
        <n v="2168" u="1"/>
        <n v="1560" u="1"/>
        <n v="1018" u="1"/>
        <n v="491" u="1"/>
        <n v="354" u="1"/>
        <n v="168" u="1"/>
        <n v="3307" u="1"/>
        <n v="2211" u="1"/>
        <n v="2254" u="1"/>
        <n v="1603" u="1"/>
        <n v="1055" u="1"/>
        <n v="3393" u="1"/>
        <n v="3436" u="1"/>
        <n v="1646" u="1"/>
        <n v="513" u="1"/>
        <n v="3479" u="1"/>
        <n v="2383" u="1"/>
        <n v="3522" u="1"/>
        <n v="2426" u="1"/>
        <n v="1689" u="1"/>
        <n v="1141" u="1"/>
        <n v="3565" u="1"/>
        <n v="2469" u="1"/>
        <n v="3608" u="1"/>
        <n v="2512" u="1"/>
        <n v="1732" u="1"/>
        <n v="556" u="1"/>
        <n v="260" u="1"/>
        <n v="3651" u="1"/>
        <n v="60" u="1"/>
        <n v="2555" u="1"/>
        <n v="3694" u="1"/>
        <n v="2598" u="1"/>
        <n v="1775" u="1"/>
        <n v="3737" u="1"/>
        <n v="2641" u="1"/>
        <n v="3780" u="1"/>
        <n v="2684" u="1"/>
        <n v="1818" u="1"/>
        <n v="1270" u="1"/>
        <n v="3823" u="1"/>
        <n v="2727" u="1"/>
        <n v="3866" u="1"/>
        <n v="2770" u="1"/>
        <n v="1861" u="1"/>
        <n v="3909" u="1"/>
        <n v="2813" u="1"/>
        <n v="3952" u="1"/>
        <n v="2856" u="1"/>
        <n v="1904" u="1"/>
        <n v="1356" u="1"/>
        <n v="642" u="1"/>
        <n v="440" u="1"/>
        <n v="303" u="1"/>
        <n v="211" u="1"/>
        <n v="101" u="1"/>
        <n v="2899" u="1"/>
        <n v="23" u="1"/>
        <n v="2942" u="1"/>
        <n v="1399" u="1"/>
        <n v="2985" u="1"/>
        <n v="3028" u="1"/>
        <n v="1990" u="1"/>
        <n v="1442" u="1"/>
        <n v="685" u="1"/>
        <n v="3071" u="1"/>
        <n v="3114" u="1"/>
        <n v="2033" u="1"/>
        <n v="3157" u="1"/>
        <n v="2061" u="1"/>
        <n v="3200" u="1"/>
        <n v="2104" u="1"/>
        <n v="1002" u="1"/>
        <n v="483" u="1"/>
        <n v="346" u="1"/>
        <n v="164" u="1"/>
        <n v="3243" u="1"/>
        <n v="2147" u="1"/>
        <n v="8" u="1"/>
        <n v="3286" u="1"/>
        <n v="2190" u="1"/>
        <n v="1571" u="1"/>
        <n v="3329" u="1"/>
        <n v="2233" u="1"/>
        <n v="3372" u="1"/>
        <n v="1614" u="1"/>
        <n v="1066" u="1"/>
        <n v="3415" u="1"/>
        <n v="2319" u="1"/>
        <n v="1657" u="1"/>
        <n v="1109" u="1"/>
        <n v="3501" u="1"/>
        <n v="2405" u="1"/>
        <n v="3544" u="1"/>
        <n v="1152" u="1"/>
        <n v="540" u="1"/>
        <n v="389" u="1"/>
        <n v="254" u="1"/>
        <n v="3587" u="1"/>
        <n v="59" u="1"/>
        <n v="2491" u="1"/>
        <n v="3630" u="1"/>
        <n v="2534" u="1"/>
        <n v="3673" u="1"/>
        <n v="2577" u="1"/>
        <n v="3716" u="1"/>
        <n v="2620" u="1"/>
        <n v="1786" u="1"/>
        <n v="583" u="1"/>
        <n v="3759" u="1"/>
        <n v="2663" u="1"/>
        <n v="3802" u="1"/>
        <n v="1281" u="1"/>
        <n v="3845" u="1"/>
        <n v="2749" u="1"/>
        <n v="2792" u="1"/>
        <n v="1324" u="1"/>
        <n v="626" u="1"/>
        <n v="432" u="1"/>
        <n v="295" u="1"/>
        <n v="207" u="1"/>
        <n v="99" u="1"/>
        <n v="2835" u="1"/>
        <n v="3974" u="1"/>
        <n v="2878" u="1"/>
        <n v="1367" u="1"/>
        <n v="2921" u="1"/>
        <n v="2964" u="1"/>
        <n v="1410" u="1"/>
        <n v="669" u="1"/>
        <n v="3007" u="1"/>
        <n v="3050" u="1"/>
        <n v="2001" u="1"/>
        <n v="1453" u="1"/>
        <n v="3093" u="1"/>
        <n v="3136" u="1"/>
        <n v="1496" u="1"/>
        <n v="986" u="1"/>
        <n v="712" u="1"/>
        <n v="475" u="1"/>
        <n v="338" u="1"/>
        <n v="160" u="1"/>
        <n v="3179" u="1"/>
        <n v="2083" u="1"/>
        <n v="3222" u="1"/>
        <n v="2126" u="1"/>
        <n v="2169" u="1"/>
        <n v="3308" u="1"/>
        <n v="2212" u="1"/>
        <n v="1034" u="1"/>
        <n v="3351" u="1"/>
        <n v="2255" u="1"/>
        <n v="3394" u="1"/>
        <n v="3437" u="1"/>
        <n v="2341" u="1"/>
        <n v="3480" u="1"/>
        <n v="2384" u="1"/>
        <n v="1668" u="1"/>
        <n v="1120" u="1"/>
        <n v="524" u="1"/>
        <n v="381" u="1"/>
        <n v="250" u="1"/>
        <n v="58" u="1"/>
        <n v="2427" u="1"/>
        <n v="3566" u="1"/>
        <n v="2470" u="1"/>
        <n v="1711" u="1"/>
        <n v="1163" u="1"/>
        <n v="3609" u="1"/>
        <n v="2513" u="1"/>
        <n v="3652" u="1"/>
        <n v="2556" u="1"/>
        <n v="1754" u="1"/>
        <n v="567" u="1"/>
        <n v="3695" u="1"/>
        <n v="2599" u="1"/>
        <n v="3738" u="1"/>
        <n v="2642" u="1"/>
        <n v="1797" u="1"/>
        <n v="1249" u="1"/>
        <n v="3781" u="1"/>
        <n v="2685" u="1"/>
        <n v="3824" u="1"/>
        <n v="2728" u="1"/>
        <n v="1292" u="1"/>
        <n v="424" u="1"/>
        <n v="287" u="1"/>
        <n v="203" u="1"/>
        <n v="97" u="1"/>
        <n v="3867" u="1"/>
        <n v="2771" u="1"/>
        <n v="22" u="1"/>
        <n v="3910" u="1"/>
        <n v="1335" u="1"/>
        <n v="3953" u="1"/>
        <n v="2857" u="1"/>
        <n v="2900" u="1"/>
        <n v="1926" u="1"/>
        <n v="1378" u="1"/>
        <n v="653" u="1"/>
        <n v="2943" u="1"/>
        <n v="2986" u="1"/>
        <n v="1969" u="1"/>
        <n v="1421" u="1"/>
        <n v="3029" u="1"/>
        <n v="3072" u="1"/>
        <n v="2012" u="1"/>
        <n v="1464" u="1"/>
        <n v="696" u="1"/>
        <n v="467" u="1"/>
        <n v="330" u="1"/>
        <n v="156" u="1"/>
        <n v="3115" u="1"/>
        <n v="3158" u="1"/>
        <n v="2062" u="1"/>
        <n v="3201" u="1"/>
        <n v="2105" u="1"/>
        <n v="3244" u="1"/>
        <n v="2148" u="1"/>
        <n v="1013" u="1"/>
        <n v="2191" u="1"/>
        <n v="3330" u="1"/>
        <n v="2234" u="1"/>
        <n v="1593" u="1"/>
        <n v="1045" u="1"/>
        <n v="3373" u="1"/>
        <n v="3416" u="1"/>
        <n v="2320" u="1"/>
        <n v="510" u="1"/>
        <n v="373" u="1"/>
        <n v="246" u="1"/>
        <n v="3459" u="1"/>
        <n v="57" u="1"/>
        <n v="2363" u="1"/>
        <n v="3" u="1"/>
        <n v="3502" u="1"/>
        <n v="2406" u="1"/>
        <n v="1679" u="1"/>
        <n v="1131" u="1"/>
        <n v="3545" u="1"/>
        <n v="3588" u="1"/>
        <n v="2492" u="1"/>
        <n v="1722" u="1"/>
        <n v="551" u="1"/>
        <n v="2535" u="1"/>
        <n v="3674" u="1"/>
        <n v="2578" u="1"/>
        <n v="1765" u="1"/>
        <n v="3717" u="1"/>
        <n v="2621" u="1"/>
        <n v="3760" u="1"/>
        <n v="2664" u="1"/>
        <n v="1808" u="1"/>
        <n v="1260" u="1"/>
        <n v="416" u="1"/>
        <n v="279" u="1"/>
        <n v="199" u="1"/>
        <n v="95" u="1"/>
        <n v="3803" u="1"/>
        <n v="2707" u="1"/>
        <n v="3846" u="1"/>
        <n v="2750" u="1"/>
        <n v="2793" u="1"/>
        <n v="2836" u="1"/>
        <n v="1894" u="1"/>
        <n v="1346" u="1"/>
        <n v="637" u="1"/>
        <n v="3975" u="1"/>
        <n v="2879" u="1"/>
        <n v="2922" u="1"/>
        <n v="1389" u="1"/>
        <n v="2965" u="1"/>
        <n v="3008" u="1"/>
        <n v="1980" u="1"/>
        <n v="1432" u="1"/>
        <n v="680" u="1"/>
        <n v="459" u="1"/>
        <n v="322" u="1"/>
        <n v="152" u="1"/>
        <n v="3051" u="1"/>
        <n v="3094" u="1"/>
        <n v="2023" u="1"/>
        <n v="3137" u="1"/>
        <n v="2084" u="1"/>
        <n v="997" u="1"/>
        <n v="723" u="1"/>
        <n v="3223" u="1"/>
        <n v="2127" u="1"/>
        <n v="2170" u="1"/>
        <n v="3309" u="1"/>
        <n v="2213" u="1"/>
        <n v="3352" u="1"/>
        <n v="2256" u="1"/>
        <n v="1056" u="1"/>
        <n v="502" u="1"/>
        <n v="365" u="1"/>
        <n v="242" u="1"/>
        <n v="3395" u="1"/>
        <n v="56" u="1"/>
        <n v="2299" u="1"/>
        <n v="3438" u="1"/>
        <n v="2342" u="1"/>
        <n v="1647" u="1"/>
        <n v="3481" u="1"/>
        <n v="2385" u="1"/>
        <n v="2428" u="1"/>
        <n v="1690" u="1"/>
        <n v="1142" u="1"/>
        <n v="535" u="1"/>
        <n v="3567" u="1"/>
        <n v="2471" u="1"/>
        <n v="3610" u="1"/>
        <n v="2514" u="1"/>
        <n v="3653" u="1"/>
        <n v="2557" u="1"/>
        <n v="3696" u="1"/>
        <n v="2600" u="1"/>
        <n v="1776" u="1"/>
        <n v="578" u="1"/>
        <n v="408" u="1"/>
        <n v="271" u="1"/>
        <n v="195" u="1"/>
        <n v="93" u="1"/>
        <n v="3739" u="1"/>
        <n v="2643" u="1"/>
        <n v="21" u="1"/>
        <n v="3782" u="1"/>
        <n v="2686" u="1"/>
        <n v="1819" u="1"/>
        <n v="1271" u="1"/>
        <n v="3825" u="1"/>
        <n v="2729" u="1"/>
        <n v="3868" u="1"/>
        <n v="2772" u="1"/>
        <n v="1862" u="1"/>
        <n v="3911" u="1"/>
        <n v="2815" u="1"/>
        <n v="3954" u="1"/>
        <n v="2858" u="1"/>
        <n v="1905" u="1"/>
        <n v="1357" u="1"/>
        <n v="2901" u="1"/>
        <n v="2944" u="1"/>
        <n v="1400" u="1"/>
        <n v="664" u="1"/>
        <n v="451" u="1"/>
        <n v="314" u="1"/>
        <n v="148" u="1"/>
        <n v="2987" u="1"/>
        <n v="3030" u="1"/>
        <n v="1991" u="1"/>
        <n v="1443" u="1"/>
        <n v="3073" u="1"/>
        <n v="3116" u="1"/>
        <n v="2034" u="1"/>
        <n v="1486" u="1"/>
        <n v="707" u="1"/>
        <n v="3159" u="1"/>
        <n v="2063" u="1"/>
        <n v="3202" u="1"/>
        <n v="2106" u="1"/>
        <n v="3245" u="1"/>
        <n v="2149" u="1"/>
        <n v="1572" u="1"/>
        <n v="1024" u="1"/>
        <n v="494" u="1"/>
        <n v="357" u="1"/>
        <n v="238" u="1"/>
        <n v="3331" u="1"/>
        <n v="55" u="1"/>
        <n v="2235" u="1"/>
        <n v="3374" u="1"/>
        <n v="1615" u="1"/>
        <n v="1067" u="1"/>
        <n v="3417" u="1"/>
        <n v="2321" u="1"/>
        <n v="3460" u="1"/>
        <n v="2364" u="1"/>
        <n v="1658" u="1"/>
        <n v="1110" u="1"/>
        <n v="519" u="1"/>
        <n v="3503" u="1"/>
        <n v="3546" u="1"/>
        <n v="1153" u="1"/>
        <n v="3589" u="1"/>
        <n v="2493" u="1"/>
        <n v="3632" u="1"/>
        <n v="2536" u="1"/>
        <n v="562" u="1"/>
        <n v="400" u="1"/>
        <n v="263" u="1"/>
        <n v="191" u="1"/>
        <n v="91" u="1"/>
        <n v="3675" u="1"/>
        <n v="2579" u="1"/>
        <n v="3718" u="1"/>
        <n v="2622" u="1"/>
        <n v="1787" u="1"/>
        <n v="3761" u="1"/>
        <n v="2665" u="1"/>
        <n v="3804" u="1"/>
        <n v="2708" u="1"/>
        <n v="1282" u="1"/>
        <n v="3847" u="1"/>
        <n v="2751" u="1"/>
        <n v="3890" u="1"/>
        <n v="2794" u="1"/>
        <n v="1325" u="1"/>
        <n v="2837" u="1"/>
        <n v="3976" u="1"/>
        <n v="2880" u="1"/>
        <n v="1916" u="1"/>
        <n v="1368" u="1"/>
        <n v="648" u="1"/>
        <n v="443" u="1"/>
        <n v="306" u="1"/>
        <n v="144" u="1"/>
        <n v="2923" u="1"/>
        <n v="2966" u="1"/>
        <n v="1411" u="1"/>
        <n v="3009" u="1"/>
        <n v="3052" u="1"/>
        <n v="2002" u="1"/>
        <n v="1454" u="1"/>
        <n v="691" u="1"/>
        <n v="3095" u="1"/>
        <n v="3138" u="1"/>
        <n v="1497" u="1"/>
        <n v="3181" u="1"/>
        <n v="2085" u="1"/>
        <n v="3224" u="1"/>
        <n v="2128" u="1"/>
        <n v="1008" u="1"/>
        <n v="486" u="1"/>
        <n v="349" u="1"/>
        <n v="234" u="1"/>
        <n v="3267" u="1"/>
        <n v="54" u="1"/>
        <n v="2171" u="1"/>
        <n v="3310" u="1"/>
        <n v="2214" u="1"/>
        <n v="1035" u="1"/>
        <n v="3353" u="1"/>
        <n v="2257" u="1"/>
        <n v="3396" u="1"/>
        <n v="2300" u="1"/>
        <n v="1626" u="1"/>
        <n v="3439" u="1"/>
        <n v="2343" u="1"/>
        <n v="3482" u="1"/>
        <n v="2386" u="1"/>
        <n v="1121" u="1"/>
        <n v="2429" u="1"/>
        <n v="3568" u="1"/>
        <n v="2472" u="1"/>
        <n v="1712" u="1"/>
        <n v="1164" u="1"/>
        <n v="546" u="1"/>
      </sharedItems>
    </cacheField>
    <cacheField name="ProductCode" numFmtId="0">
      <sharedItems count="11">
        <s v="03354"/>
        <s v="03792"/>
        <s v="04850"/>
        <s v="390001-KERG6X48"/>
        <s v="12500603"/>
        <s v="AJI10G"/>
        <s v="CFORIG62G"/>
        <s v="SAR30G"/>
        <s v="CFSC50G"/>
        <s v="SOY2ML"/>
        <s v="SOY100ML"/>
      </sharedItems>
    </cacheField>
    <cacheField name="ExtCode" numFmtId="0">
      <sharedItems containsString="0" containsBlank="1" count="1">
        <m/>
      </sharedItems>
    </cacheField>
    <cacheField name="BarCode" numFmtId="0">
      <sharedItems containsString="0" containsBlank="1" count="1">
        <m/>
      </sharedItems>
    </cacheField>
    <cacheField name="Description" numFmtId="0">
      <sharedItems count="3130">
        <s v="BINGO MEAT LOAF 48X100G"/>
        <s v="SAN MARINO CORNED TUNA 48X100G"/>
        <s v="BIGTIME NEGOSYO CHEESE 30G"/>
        <s v="KeratinPlus Gold 20g x 6's x 48 packs"/>
        <s v="Maggi Magic Sarap 8g x 16tie x 60"/>
        <s v="AJI-NO-MOTO 10g 18x72"/>
        <s v="Crispy Fry Orig 62g 14x13"/>
        <s v="SARSAYA OYSTER 30g 6x24"/>
        <s v="CF Seasoned Crumbs 50g 1x48"/>
        <s v="Silver Swan Soy 20ml x 240"/>
        <s v="Silver Swan Soy 100ml x 72"/>
        <s v="" u="1"/>
        <s v="CJF BATTERY 2D CHAMPION" u="1"/>
        <s v="FEDERAL 215/55 ZR17 98W XL FD2" u="1"/>
        <s v="Jellybee Lychee 18'sx20 (202A)" u="1"/>
        <s v="Richeese Spicy Cheese Pancit 74gx40pcs" u="1"/>
        <s v="Pagoda Muriatic Acid Super Strength 250ml" u="1"/>
        <s v="Tasty Palamig Lemon Iced Tea 25gx288" u="1"/>
        <s v="SHRIMP PEELED &amp; DEVEINED 1KG" u="1"/>
        <s v="Chibog Chicken and Cheese 1kg x 10" u="1"/>
        <s v="SPEED DAGDAG KAL 145G X 6'S+1FREE BY 16" u="1"/>
        <s v="DRYPLUS B.DIAPER TRIAL PACK XXL 4'Sx72" u="1"/>
        <s v="MP PROMO#008 - 1 Soya Oil 2L with  Cricket FPMini (6's)" u="1"/>
        <s v="H &amp; Y Mango Pudding 300gx20 (118)" u="1"/>
        <s v="MEGA 7.50-15 TR177A TUBES" u="1"/>
        <s v="DE GOURMET TUYO IN OLIVE OIL 228G" u="1"/>
        <s v="ALIBABA FUN CRACKER PEANUT 20GX10'SX10" u="1"/>
        <s v="BUENAS KAONG RED 12x32oz" u="1"/>
        <s v="ATLANTIC GEAR OIL EP SAE 140 GL-4 (JUG)" u="1"/>
        <s v="(INACTIVE) BUDGET PB 65gx6's+Free Budget Powder SF 65g 6:2x24" u="1"/>
        <s v="(INACTIVE) GARDENIA BUY 2 BUTTER TOASTIES POLYBAG FOR P100" u="1"/>
        <s v="ROADSHINE 825R20 16PR RS603 RIB" u="1"/>
        <s v="DEESTONE 11.00R22.5 SK421 BLOCK MIX 16PR 148/145L" u="1"/>
        <s v="(INACTIVE) DANES SWEET AND CREAMY 180GX24" u="1"/>
        <s v="(INACTIVE) BINGO MEAT LOAF 48X100G" u="1"/>
        <s v="(INACTIVE) PROMO-3 HIGHLANDS C.BEEF 150GX16" u="1"/>
        <s v="Jolly Salted Black Beans 180gx100" u="1"/>
        <s v="SMCT SPANISH STYLE 150GX48" u="1"/>
        <s v="Crumpy Breadspread Duo 400g" u="1"/>
        <s v="BINGO BEEF LOAF 48X150G (NEW)" u="1"/>
        <s v="Pagoda Air Freshener Lemon" u="1"/>
        <s v="GBMC Large Tape Diaper x 33pcs" u="1"/>
        <s v="Mama Pina's Palm Oil 500ml x 24 BTC" u="1"/>
        <s v="EPI PROMO - Richeese Pcanton BDL (3 SPICY + 3 CAL + 2 CHEESY + 2 RAMEN)" u="1"/>
        <s v="GOODTYRE S.8.25R20 PR16 D.YB268 MIX TTF SET" u="1"/>
        <s v="RUGIA TIRC - TOTAL OIL" u="1"/>
        <s v="CARP WHITE VINEGAR 1L PET" u="1"/>
        <s v="MEGA 15L 7.00/7.50-15 (FLAP)" u="1"/>
        <s v="Mama Pina's Paminta Fine 15'sx30" u="1"/>
        <s v="FIRST PROTECT KN95 5'S" u="1"/>
        <s v="(INACTIVE) SPEED WHITE 380G X 2'S + 1 FREE POW SK 55G 2:1" u="1"/>
        <s v="Family Fabric Conditioner 1Ltr w/ Handle - Misty Blue" u="1"/>
        <s v="GARDENIA NEUBAKE WHITE BREAD 450g" u="1"/>
        <s v="(INACTIVE) SAN MARINO TAWILIS IN CORN OIL 180GX48" u="1"/>
        <s v="(INACTIVE) iColor Hair Dye Shampoo Chestnut Brown 30ml 10'sx48" u="1"/>
        <s v="(INACTIVE) ALCO PLUS ETHYL 60mlx36 5+1" u="1"/>
        <s v="SPD BBFR-LZ 55gx6's + 2FREE by32" u="1"/>
        <s v="DR COCO NATURAL LAVANDER LHW 500ml BOT" u="1"/>
        <s v="(INACTIVE) Foodcrafters Negosyo Pack 2kg" u="1"/>
        <s v="RED-G (GINHAWA) 15IB x 12PCS x 15ML" u="1"/>
        <s v="Gallon Deposit" u="1"/>
        <s v="Empress Shampoo Long &amp; Healthy 21ml x 12 x 24 pck" u="1"/>
        <s v="H&amp;Y Cocoju Jelly Juice Bubble Gum Flavor 200gx10cups (834)" u="1"/>
        <s v="GULF HARMONY HYDRAULIC OIL 68 20L" u="1"/>
        <s v="BERYL'S TRIPLE CHOCOCOOKIE MIX W/ CHOCOCHUNK &amp; CHIPS 2KGX3" u="1"/>
        <s v="Special Vermicelli Sotanghon 28ozx25" u="1"/>
        <s v="FEDERAL 215/75 R16C 116/114R 8PR ECOVAN" u="1"/>
        <s v="(INACTIVE) HUE SPEND LESS FOR COMPLETE IC (BURGUNDY+ARGAN) 25ML" u="1"/>
        <s v="Players Styling Hair Extreme Glossy &amp; Hard 3gms" u="1"/>
        <s v="(INACTIVE) KeratinPlus Shampoo Daily Nourishing 22ml 11 + 1 promo" u="1"/>
        <s v="FEDERAL 185 R14C 102/100R 8PR ECOVAN (TWN)" u="1"/>
        <s v="Family Rubbing Alcohol 40% 60ml" u="1"/>
        <s v="(INACTIVE) Select Sukang Puti 1L w/ Free SP 200ml 1:1" u="1"/>
        <s v="Essen Immuneboost x 30s" u="1"/>
        <s v="Jackpot Siomai Pork 500g x 18" u="1"/>
        <s v="Family Rubbing Alcohol 40% 180ml" u="1"/>
        <s v="(INACTIVE) CDO VIENNA SAUSAGE 48X70G (E.O)" u="1"/>
        <s v="SPEED CUT BAR W/FABRIC CONDITIONER 15G 6+1" u="1"/>
        <s v="(INACTIVE) 1 PC - CDO NATA 340G &amp; 1 PC CDO KAONG 340G" u="1"/>
        <s v="Langnese Golden Clear Honey 1000g" u="1"/>
        <s v="(INACTIVE) PROMO-6 CDO MEAT LOAF 150G FREE 1 BINGO CB 60G" u="1"/>
        <s v="TUBE ULTRA U-TUBE 7.00/7.50-15 MADE IN KOREA" u="1"/>
        <s v="GOODTYRE S.11.00R20 PR18 D.YB338 MINING LUG " u="1"/>
        <s v="(INACTIVE) SAN MARINO CORNED TUNA 48X180G" u="1"/>
        <s v="Tarpaulin 2.5 x 6" u="1"/>
        <s v="TUBE ULTRA U-TUBE 7.00/7.50-16 MADE IN KOREA" u="1"/>
        <s v="(INACTIVE) 3CDOKN 100G SAVE 4.00-GANADO BUNDLE" u="1"/>
        <s v="DANES SR MAYO 220G W/ SAUCER PROMO" u="1"/>
        <s v="Doña Elena Al Dente Penne Rigate 500g" u="1"/>
        <s v="(INACTIVE) CDO SAMBA BRAZILIAN C.BEEF 48X210G" u="1"/>
        <s v="Alcoplus Ethyl 70% Classic 500ml x 24" u="1"/>
        <s v="LPG (50kg Cylinder) CTA - ECTA# 71909" u="1"/>
        <s v="H&amp;Y Cocoju Jelly Juice Lychee Flavor 200gx10cups (831)" u="1"/>
        <s v="DAILYFIX CRANBERRY YOGURT DELIGHT 100G" u="1"/>
        <s v="CJF DELIUM 175-R13" u="1"/>
        <s v="(INACTIVE) PROMO-CDO ML 150X3" u="1"/>
        <s v="ATLANTIC DEO 15W-40 CF-4/SG (12X1L)" u="1"/>
        <s v="Jolly Noche Buena Savings" u="1"/>
        <s v="ROADSHINE 165/80 R13 83T RS906" u="1"/>
        <s v="CJF 205 65 R16 YOKOHAMA" u="1"/>
        <s v="SPEED 1kg Babad Fresh Roses Powderx12" u="1"/>
        <s v="(INACTIVE) SAVERS PEAR-SHAPED HAM 500G (B1T1) - OLD" u="1"/>
        <s v="Tipid Pack-BBFR55g+FC130g 1:1 by40" u="1"/>
        <s v="(INACTIVE) PROMO-2 SMT FIO 150G+2 SMT FHS 150G+2 KN BP 60G" u="1"/>
        <s v="SPEED WHITE 360G+1FREE LALA LIQ.FC 30ML BY 36" u="1"/>
        <s v="SUPER Q - Golden Bihon 200g x 30" u="1"/>
        <s v="PHYSICAL SHORTAGES" u="1"/>
        <s v="(INACTIVE) GARDENIA PINOY PANDESAL 250G" u="1"/>
        <s v="(INACTIVE) iColor Hair Dry Shampoo Triple Color Changer 25ml 10'sx48" u="1"/>
        <s v="SPEED Diswashing Liquid - Lemon 48X50Ml" u="1"/>
        <s v="Grips Wax Hard &amp; Mat 75gx36" u="1"/>
        <s v="PETLAS 195R14C 8PR FULLPOWER PT825" u="1"/>
        <s v="SK 15 FLAP MADE IN KOREA" u="1"/>
        <s v="SPEED DAGDAG SPECK BLUE 145G X6'S+1FREE BY16" u="1"/>
        <s v="FROOTY BUBBLE POP 25+3'SX40 (829)" u="1"/>
        <s v="SPEED Diswashing Liquid - Kalamansi 48X50Ml" u="1"/>
        <s v="SWEET BEST STEVIA &amp; ERYTHRITOL 150G" u="1"/>
        <s v="ARMOUR VIENNA SAUSAGE HOT &amp; SPICY 4.6OZ" u="1"/>
        <s v="TWO FOR HUE IC (BLACKx2) 25ML" u="1"/>
        <s v="H &amp; Y Lychee 160gx40 (101)" u="1"/>
        <s v="LPG 50KG EMPTY TANK (OB)" u="1"/>
        <s v="Good life Sesame Oil 2Lx6" u="1"/>
        <s v="(INACTIVE) 1 SAN MARINO TUNA FLAKES HOT &amp; SPICY 150GX48" u="1"/>
        <s v="SPEED Detergent Bar - With Fabcon 36X380G" u="1"/>
        <s v="GOODTYRE S.11.00R22.5 PR16  D.GT298 MILER (RIB)" u="1"/>
        <s v="MAMA PINA'S BUNDLE A (2B1C) x6" u="1"/>
        <s v="DAILYFIX BERRY SPECIAL 700G 1" u="1"/>
        <s v="(INACTIVE) MEN2 SOL - DELIVERY RECEIPT" u="1"/>
        <s v="Jolly Garbanzos 100gx48" u="1"/>
        <s v="KeratinPlus Black 20g x 12's x 24 Packs" u="1"/>
        <s v="Speed BBFR 1kg+1FREE 55gMore FC 150g 1:1" u="1"/>
        <s v="GARDENIA HIGH FIBER WHEAT RAISIN LOAF 600g" u="1"/>
        <s v="SPEED SPECKLED BLUE 360G DET. BAR X 36" u="1"/>
        <s v="H&amp;Y Cocoju Jelly Juice Bubble Gum Flavor 200gx24cups (824)" u="1"/>
        <s v="PRESA 12R22.5 PR101 16PR" u="1"/>
        <s v="SNACK ATTACK AVIKO SHOE STRING 7MM 2.5KGX4" u="1"/>
        <s v="(INACTIVE) Nanay's Pork Siomai 480g x 18" u="1"/>
        <s v="CARP SOY SAUCE 1L PET" u="1"/>
        <s v="KOKOLA ANIMALS 6'SX20 (2640)" u="1"/>
        <s v="MEGA 825-20 TR177A" u="1"/>
        <s v="CARP SOY SAUCE 3785ML PLASTIC" u="1"/>
        <s v="(INACTIVE) Nanays Pork Tocino Ham 480g" u="1"/>
        <s v="SELECT SOY 200ML ETC X 5'S + 1'S FREE" u="1"/>
        <s v="FEDERAL 205/70 R15C 106/104S 8PR" u="1"/>
        <s v="H &amp; Y Little Tutti Soft Candy 24's x 40 packs (A912)" u="1"/>
        <s v="Comstock Red Ruby Cherry 21oz" u="1"/>
        <s v="CDO BIGTIME LIVER SPREAD 85GX48" u="1"/>
        <s v="BUDGET SPECKLED BLUE 360G DET. BAR X 36" u="1"/>
        <s v="iColor Hair Dye Shampoo Burgundy 30ml 10'sx48" u="1"/>
        <s v="EPI PROMO - Richees Pcanton BDL (3 SPICY + 3 CAL + 2 CHEESY + 2 RAMEN)" u="1"/>
        <s v="JINLI KOJIC ACID SOAP 135GX48" u="1"/>
        <s v="(INACTIVE) SPEED SB 55Gx5'S+1FREE 5:1" u="1"/>
        <s v="Promo-Fiona RasperryDrops 100ml w/ YouthFul 25ml" u="1"/>
        <s v="JOLLY HEART MATE CANOLA OIL PET 1L" u="1"/>
        <s v="Family Rubbing Alcohol 70% w/ Moist 250mlx48 (PET)" u="1"/>
        <s v="Fiona Bubbly Pink 100mlx24" u="1"/>
        <s v="GULF CROWN GREASE EP2 15KG" u="1"/>
        <s v="(INACTIVE) SPEED BBFR 1KG+2FREE KERATIN PLUS GOLD 20G 1:2" u="1"/>
        <s v="SUPER Q - Japanese Ramen 250/20 x 5" u="1"/>
        <s v="POLAR BEAR GLUTINOUS RICE FLOUR 500G" u="1"/>
        <s v="TENTAY FISHBALL SAUCE - SWEET 350G" u="1"/>
        <s v="(INACTIVE) Cricket Orig Fusion Neon (25's/tray) (4-11162563)" u="1"/>
        <s v="Good Life Breadcrumbs 80g 8+1 Promo" u="1"/>
        <s v="BUDGET Sunflower Fresh 380g Det.Barx36" u="1"/>
        <s v="BINGO CARNE NORTE 150GX48" u="1"/>
        <s v="(INACTIVE) DANES CLASSIC CHEESE BLOCK 180GX24 (NEW)" u="1"/>
        <s v="GOODTYRE S.11.00R20 YB268 MIX 18PR" u="1"/>
        <s v="CJF 8.25-16 TUBE" u="1"/>
        <s v="(INACTIVE) SPEED BBFR55Gx6's+2FREE" u="1"/>
        <s v="(INACTIVE) CDO ALL PURPOSE MAYO DRESSING 3.5LX4" u="1"/>
        <s v="Mama Pina's Palm Oil 2L x 6 BTC" u="1"/>
        <s v="DON PEPE TABLIA 50X12X15G" u="1"/>
        <s v="Mama Pina's Palm Oil 500ml x 24 FD3" u="1"/>
        <s v="(INACTIVE) Nyam Nyam King Hotdog 1.2k - Free" u="1"/>
        <s v="Vaccum Sealed Boneless Bangus Doubles (M)" u="1"/>
        <s v="(INACTIVE) SEA QUEST TUNA FLAKES IN OIL 48X180G" u="1"/>
        <s v="(INACTIVE) Frozen Trio Pack (Longa-ChickShang-Tapa)" u="1"/>
        <s v="(INACTIVE) Wrong Product" u="1"/>
        <s v="GARDENIA CHOCO STRAWBERRY CREAM ROLL 50G" u="1"/>
        <s v="(INACTIVE) PROMO-3 HIGHLANDS CORNED BEEF 100G" u="1"/>
        <s v="CDO BEEF LOAF 48X100G" u="1"/>
        <s v="SPEED 500g Sunflower Burst Powderx24" u="1"/>
        <s v="(INACTIVE) SPEED Babad 60G (6+1)x36" u="1"/>
        <s v="19L Carboy Select Cane Vinegarx1" u="1"/>
        <s v="BUENAS KAONG RED 24x12oz" u="1"/>
        <s v="Yum'mee Filling Marshmallow 24'sx30pks (380)" u="1"/>
        <s v="(INACTIVE) Foodcrafters Crispy Burger Patties(6pcs in can)230g" u="1"/>
        <s v="Empress Advance Keratin Repair &amp; Protect 12mlx12" u="1"/>
        <s v="(INACTIVE) HIGHLANDS CORNED BEEF 48X260G (OLD)" u="1"/>
        <s v="Happy Day Oranges Juice 1L" u="1"/>
        <s v="SELECT Sukang Puti 48x200ml w/Spout" u="1"/>
        <s v="CDO BEEF LOAF 48X210G" u="1"/>
        <s v="(INACTIVE) 2 SAN MARINO TUNA FLAKES HOT &amp; SPICY 150GX48" u="1"/>
        <s v="ALIBABA HAPPY BEAR MILK FILLING 20GX10'SX10" u="1"/>
        <s v="Jolly Claro Oil 1Lx12" u="1"/>
        <s v="SAN MARINO BLUE MACKEREL SPANISH STYLE 180GX48" u="1"/>
        <s v="ARLA MILK GOODNESS LOW FAT 1L" u="1"/>
        <s v="MP PROMO#007 - 1 Canton 227g + 1 Bingo CB 150g Saves 10 pesos (15's)" u="1"/>
        <s v="GARDENIA CALIFORNIA RAISIN LOAF 400g" u="1"/>
        <s v="SPEED DAGDAG SPECK. BLUE 145G BAR X 96" u="1"/>
        <s v="PRESA 700-16 12PR P276" u="1"/>
        <s v="(INACTIVE) SPEED FABCON 50GX12'S+FREE FABCON 50GX1'S(12:1) X16" u="1"/>
        <s v="(INACTIVE) PROMO-LOTTE PACK 2" u="1"/>
        <s v="MAMA PINA'S BUNDLE G (1C1L1SS200) x 12" u="1"/>
        <s v="Langnese Golden Clear Honey 500g" u="1"/>
        <s v="(INACTIVE) Cricket Elec Pastel Series (25's/tray) (4-16162504)" u="1"/>
        <s v="(INACTIVE) 6 CDO KARNE NORTE 150G FREE 2 BINGO CB 60G" u="1"/>
        <s v="TOP 6.50-20 (6H) RIM" u="1"/>
        <s v="SPEED 500G BABAD FC W/ POWER WHITENER POWDER FL x24 (new)" u="1"/>
        <s v="DANES QUICKMELT CHEESE 450G x12" u="1"/>
        <s v="SPEED Babad 288X45G" u="1"/>
        <s v="SUNSTAR 11R22.5 16PR AM687 LUG" u="1"/>
        <s v="(INACTIVE) CDO SEA QUEST TUNA FLAKES IN OIL H&amp;S 155GX48EO (IN)" u="1"/>
        <s v="XM JOLLY PIECES &amp; STEMS MUSHROOMS 198G" u="1"/>
        <s v="DOLUX Bleach 72X100Ml" u="1"/>
        <s v="Fiona Sweet Breeze 75mlx24" u="1"/>
        <s v="(INACTIVE) BON CHEF PANKO BREAD CRUMBS 200GX40" u="1"/>
        <s v="JINLI KOJIC ACID SOAP 65'SX48" u="1"/>
        <s v="ROADSHINE 11R22.5 RS602" u="1"/>
        <s v="Jolly Fresh Cranberry Juice 1Lx12" u="1"/>
        <s v="SPEED KAL-LZ 55Gx6'S+1FREE LALA LIQ. FC 30MLx32" u="1"/>
        <s v="(INACTIVE) POSTER-DANES CHEESE SPREAD (W-10IN X H-15IN)" u="1"/>
        <s v="(INACTIVE) PROMO-3 MAMA PINA'S PALM OIL 350ML FREE MP PAMINTA FINE" u="1"/>
        <s v="Fiona Cool Burst 75mlx24" u="1"/>
        <s v="HAWKWAY 11.00R22.5 HK865 RIB 16PR 146/143M" u="1"/>
        <s v="SEL SP 350ML PET X5'S+1FREE BY 4" u="1"/>
        <s v="(INACTIVE) Grips Hair Clay 25g x 216" u="1"/>
        <s v="(INACTIVE) CDO HOLIDAY TREASURE SILVER" u="1"/>
        <s v="Tarpaulin 1.5 x 2" u="1"/>
        <s v="(INACTIVE) iColor ABKDT Intense Repair Plus Vit.B5 20ml 12'sx144x4" u="1"/>
        <s v="BEEF TENDERLOIN 1KG" u="1"/>
        <s v="I COOL CHERRY MINT GUM 50'SX40 (1017)" u="1"/>
        <s v="SUPER Q - Golden Bihon 1kg x 15" u="1"/>
        <s v="BUDGET 25kgs Industrial Det.Powder" u="1"/>
        <s v="(INACTIVE) PROMO-CDO ML 210X2" u="1"/>
        <s v="(INACTIVE) 1 BUDGET Bongga Pack Purple Blossomx84" u="1"/>
        <s v="KeratinPlus Luxurious Red Tube 200g x 24 pcs" u="1"/>
        <s v="FRUTOS 50'SX40 (830)" u="1"/>
        <s v="CDO BEEF LOAF 48X150G" u="1"/>
        <s v="(INACTIVE) Mama Pina's Palm Oil 1L x 12 (Inactive)" u="1"/>
        <s v="(INACTIVE) iColor ABKDT Anti-Hair Fall Plus Vit.B7 &amp; Aloevera 20ml 12'sx144x4" u="1"/>
        <s v="(INACTIVE) CDO BEEF LOAF 48X100G (OLD)" u="1"/>
        <s v="(INACTIVE) Promo - Grips Clay 5g 22+2 (Dagdag Kita)" u="1"/>
        <s v="Richoco Cookies - Choco 28G x 20ib x 10+1pcs" u="1"/>
        <s v="PROMO - Alcoplus Isopropyl 70% 500ml w/ free 60ml" u="1"/>
        <s v="(INACTIVE) SM BLUE MACKEREL STEAK IN TOMATO SAUCE 48X180G" u="1"/>
        <s v="GULF CROWN GREASE MP2 15KG" u="1"/>
        <s v="Family Cotton Balls 300`s" u="1"/>
        <s v="V FRESH 50+5'SX40 (988)" u="1"/>
        <s v="iColor Hair Dye Shampoo 25ml Wild Cherry 10'sx12" u="1"/>
        <s v="SELECT Cane Vinegar 24X350Ml" u="1"/>
        <s v="(INACTIVE) SM CORNED TUNA 60G (6'S)X24" u="1"/>
        <s v="May 100% Sparkling Apple Juice 750mlx12" u="1"/>
        <s v="WINROX Bleach - Elegant Breeze 6X1/2Gallon" u="1"/>
        <s v="Vaccum Sealed Boneless Bangus Doubles (L)" u="1"/>
        <s v="DANES SRIRACHA MAYO 220G X 24" u="1"/>
        <s v="Pagoda Hair Spray Refill 2oz (60ml)" u="1"/>
        <s v="JOLLY PIECES AND STEMS MUSHROOMS 400G" u="1"/>
        <s v="Alcoplus Ethyl 70% Classic 150ml x 48" u="1"/>
        <s v="SPEED 55G MORE KAL 150G BARX96" u="1"/>
        <s v="(INACTIVE) GARDENIA WHITE BREAD 600G FREE CAFI" u="1"/>
        <s v="Bon Bon Rubber Nipple" u="1"/>
        <s v="Grips Man Powder 50g x 36 pcs" u="1"/>
        <s v="(INACTIVE) Promo-Fiona Bubbly Pink 100mlFTx24 w/ Shampoo" u="1"/>
        <s v="SUPER Q - Pancit Canton 227g x 48" u="1"/>
        <s v="(INACTIVE) Fiona Snow Breeze Spray 50mlx36" u="1"/>
        <s v="3K BATTERY 2SM V70L - 55D26L - MF" u="1"/>
        <s v="(INACTIVE) Select Cane Vinegar 1gal w/ Free SP 200ml 1:1" u="1"/>
        <s v="ODYKING 12.00R20 20PR ST869 LUG" u="1"/>
        <s v="Family Aguardiente 473ml" u="1"/>
        <s v="3BCB150G+3BNGML150G NEGOSYO BUNDLE" u="1"/>
        <s v="(INACTIVE) SPEED BBPW 1kg Get 500g BBPW@50%off" u="1"/>
        <s v="AVIKO SHOESTRING 7MM FRIES 1KGX12" u="1"/>
        <s v="Richoco Cookies and Cream Wafer 48gx60pcs" u="1"/>
        <s v="SPEED 480G BABAD DET. POWDER X 24" u="1"/>
        <s v="CHAMPI 50'SX40 (971)" u="1"/>
        <s v="(INACTIVE) 3 SAN MARINO CORNED TUNA 85G+1 FREE KN 60G" u="1"/>
        <s v="GULF XHD 10W 20L" u="1"/>
        <s v="SPEED Detergent Bar - White 36X380G" u="1"/>
        <s v="DRYPLUS B.DIAPER ECONO PACK XL 30'S+4x8" u="1"/>
        <s v="CHOCQUIK 750GX12 (8087)" u="1"/>
        <s v="(INACTIVE) CDO CHUNKY SISIG 155GX48" u="1"/>
        <s v="Pagoda Cuticle Remover 60ml" u="1"/>
        <s v="FEDERAL P275/70 R16 114H XUV" u="1"/>
        <s v="LOTUS BISCOFF SANDWICH BISCOFF CREAM 150G" u="1"/>
        <s v="KeratinPlus Black 20g 12+1 Keratinplus Shampoo Red" u="1"/>
        <s v="PRODUCT DESCRIPTION" u="1"/>
        <s v="SWEET KAONG (RED) 12X24OZX680G" u="1"/>
        <s v="(INACTIVE) PROMO-4 BINGO MEAT LOAF 150G" u="1"/>
        <s v="MP PROMO - 2 Palm Oil 1L with FREE BML100g (6's) BWS" u="1"/>
        <s v="Jolly Straw Mushroom 425gX24" u="1"/>
        <s v="Grips Hair Clay 25gx48 Jars" u="1"/>
        <s v="MEN2 SQUID RING 1KG (8256502950233)" u="1"/>
        <s v="RESTOBAR MINI FOLDED TN 350'Sx5" u="1"/>
        <s v="Mama Pina's Palm Oil 350ml x 36 BTC" u="1"/>
        <s v="(INACTIVE) GRILL TALKER - SAN NARINO CORNED TUNA" u="1"/>
        <s v="(INACTIVE) WOBBLER-DANES CHEESE SPREAD (W-4IN X H-4IN)" u="1"/>
        <s v="DOLUX Bleach 48X250Ml" u="1"/>
        <s v="Bertolli Balsamic Glaze 200 ml" u="1"/>
        <s v="MAMA PINA'S BUNDLE B (1B1C1P500) x6" u="1"/>
        <s v="Tasty Palamig Melon 25gx288" u="1"/>
        <s v="(INACTIVE) CDO LIVER SPREAD 48X85G (OLD)" u="1"/>
        <s v="Restobar Pre-Cut Table Napkin 1000's" u="1"/>
        <s v="(INACTIVE) SAN MARINO CORNED TUNA 48X150G (EASY-OPEN)" u="1"/>
        <s v="MP PROMO#004A - 1 Palm Oil 1L with FREE Keratin Gold 20g (12's) FD3" u="1"/>
        <s v="Essentur 500mg x 100s" u="1"/>
        <s v="Doña Elena Tuna Chunks in Sunflower Oil 100g x 6" u="1"/>
        <s v="Bon Bon Feeding Bottle w/ Character 4oz" u="1"/>
        <s v="CHAMPI CHOCO ÉCLAIR 50'SX40 (989)" u="1"/>
        <s v="Bon Bon Feeding Bottle w/ Character 8oz" u="1"/>
        <s v="GARDENIA BUTTER TOAST 5SLICES X 56PACKS" u="1"/>
        <s v="(INACTIVE) GARDENIA US600 WITH MILO 24GX2" u="1"/>
        <s v="Cricket Mini Simplicity - Fluo (50's/tray) ((ED-1 Mini)" u="1"/>
        <s v="KeratinPlusBlack 20g 12+1 Keratinplus Shampoo Pink" u="1"/>
        <s v="PASTARRIFIC PACK SAVE 35" u="1"/>
        <s v="(INACTIVE) SAN MARINO CHILI CORNED TUNA 48X85G (Easy-Open)" u="1"/>
        <s v="Alcoplus Isopropyl 40% 150mlFtx48" u="1"/>
        <s v="Alcoplus Advance Antibacterial Sanitizer 250mlx48" u="1"/>
        <s v="Tipid Pack-BBPW-LZ 55g+FC130g 1:1 by90" u="1"/>
        <s v="Family Dishwashing Liquid Lemon 500ml" u="1"/>
        <s v="(INACTIVE) Mama Pina's Palm Oil 350ml x 36 (Inactive)" u="1"/>
        <s v="(INACTIVE) MAMA PINA'S PALM OIL 350ML W/ FREE 4 SACHET PREMIUM PAMINTA" u="1"/>
        <s v="ALIBABA FUN STICK CHEESE 20GX10'SX10" u="1"/>
        <s v="SPEED 55G MORE BLUE 150G BARX96" u="1"/>
        <s v="LPG 50KG BORROWED TANK (SOL)" u="1"/>
        <s v="(INACTIVE) SAN MARINO CORNED TUNA 48X150G 2" u="1"/>
        <s v="MYBIDA MOCHA 10'SX20 (655)" u="1"/>
        <s v="SPEED 90g Babad FC w/Power Whitener Powderx96" u="1"/>
        <s v="Rauch Nativa Green Tea Lemon 1L" u="1"/>
        <s v="(INACTIVE) CDO BEEF LOAF 48X210G" u="1"/>
        <s v="ALIBABA TITA-K PIZZA 20GX10'SX10" u="1"/>
        <s v="(INACTIVE) SAN MARINO BLUE MACKEREL IN TOMATO SAUCE 180GX48" u="1"/>
        <s v="(INACTIVE) Select Sukang Puti 1/2gal w/ Free SP 200ml 1:1" u="1"/>
        <s v="Mama Pina's Soya Oil 1L x 12" u="1"/>
        <s v="(INACTIVE) CDO CORNED BEEF 48X175G" u="1"/>
        <s v="Richoco Malt Crackers 27g x 20ib x 10pcs" u="1"/>
        <s v="JOLLY COCONUT MILK 165ML" u="1"/>
        <s v="Dona Elena Pure Olive Oil 250mlx12" u="1"/>
        <s v="SEL SOY SAUCE 200ML ETC X 6'S +1FREE BY 7" u="1"/>
        <s v="AVIKO MEGA WEDGES 2.5KGX4" u="1"/>
        <s v="(INACTIVE) Korean Spicy Barbeque 230g" u="1"/>
        <s v="(INACTIVE) SWEET KAONG (WHITE) 24X12OZX340G (SUP)" u="1"/>
        <s v="Foodcrafters Negosyo Pack Pork 1kg x 10" u="1"/>
        <s v="Doña Elena 100% Tuna Shredded in Sunflower Oil, 185g" u="1"/>
        <s v="MAMA PINAS BUNDLE L (ANK)" u="1"/>
        <s v="BUNDLE PROMO - 3SCPC + 2CPC +2CCPC + 2CR Saves 12.47" u="1"/>
        <s v="Grips Wax - Hard &amp; Mat 5gx12x36" u="1"/>
        <s v="Tasty Palamig Red Iced Tea 500gx20" u="1"/>
        <s v="SPEED 90G SUNFLOWER BURST POWDER FL x96" u="1"/>
        <s v="SPEED FABCON 360G DET. BAR X 36" u="1"/>
        <s v="AGATE 11R22.5 16PR HF606 RIB (TUBELESS)" u="1"/>
        <s v="Jolly Claro Pet 1L w/Free Hermano Sugar 1/4kg" u="1"/>
        <s v="(INACTIVE) PRO-KN UA100+KN UC100+VS70+BML150+KN150+LS85" u="1"/>
        <s v="WOOF N TAIL CLASSIC CHICKEN 400G" u="1"/>
        <s v="CARP-TOYO-SUKA BUNDLE PACK 1L PET" u="1"/>
        <s v="Jellybee Promo Box Assorted Flavor 220'sx1 (220)" u="1"/>
        <s v="H &amp; Y Star Jelly Candy 24's x 40 pks (302)" u="1"/>
        <s v="(INACTIVE) CDO CHUNKY SISIG 48X155G" u="1"/>
        <s v="SQUID KALAWANG 1K" u="1"/>
        <s v="CDOML 150G X 3 SULIT PACK" u="1"/>
        <s v="GULF FORMULA G 5W40 FULLY SYNT. 24X1" u="1"/>
        <s v="Jolly Maraschino Cherries w/ Stem 6ozx12" u="1"/>
        <s v="DRYPLUS B.DIAPER ECONO PACK XXL 30'S+4x8" u="1"/>
        <s v="Old Orchard Hbalance Cranberry Cocktail 64oz" u="1"/>
        <s v="(INACTIVE) WRONG ID" u="1"/>
        <s v="Good Life Oyster Sauce 420mlx12" u="1"/>
        <s v="BUENAS KAONG RED 24x360g" u="1"/>
        <s v="Alcoplus Isopropyl 70% alcohol 1 Gallon x 4" u="1"/>
        <s v="(INACTIVE) SEA QUEST TUNA FLAKES IN OIL 48X155G" u="1"/>
        <s v="Fiona Ice Glacier 100mlx24" u="1"/>
        <s v="KeratinPlus Shampoo Hair Fall Control 200ml x 24" u="1"/>
        <s v="KAPSEN 11R22.5 RIB 16PR" u="1"/>
        <s v="SELECT Sukang Puti 12X1000Ml" u="1"/>
        <s v="(INACTIVE) Royal Crown Ham 1kg" u="1"/>
        <s v="LAV-LAV 10'S+1X12 (138)" u="1"/>
        <s v="(INACTIVE) SAN MARINO TUNA FILLET SPANISH STYLE 48X180G (E.O)" u="1"/>
        <s v="JK TIRES 11R-22.5 16PR HWY JUH RIB" u="1"/>
        <s v="(INACTIVE) WOBBLER - SAN MARINO CORNED TUNA" u="1"/>
        <s v="(INACTIVE) PRO-2KN100+2KN150+2BML100+2BML150+2BKN100+2BKN150" u="1"/>
        <s v="Food Bundle for Sulit Sarap 930g" u="1"/>
        <s v="MEGA 20N 8.25/9.00-20 FLAP" u="1"/>
        <s v="Family Cotton Balls 150`s" u="1"/>
        <s v="Old Orchard Hbalance Cherry 64ozx8" u="1"/>
        <s v="H &amp; Y Sofee Fun Assorted Jelly 24's x 20 packs (232)" u="1"/>
        <s v="GARDENIA CHOCOLATE FUN BUN 75G" u="1"/>
        <s v="Jolly Pcs &amp; Stems Mushroom SUP 100gx48" u="1"/>
        <s v="(INACTIVE) SAN MARINO TUNA FLAKES IN OIL 180GX48 (EO)" u="1"/>
        <s v="SUPER Q - Special Palabok 227g x 24" u="1"/>
        <s v="AVIKO SUNNY FARMS SHOESTRING 7MM 2KG" u="1"/>
        <s v="COLDSTARS FRENCH FRIES 1KG" u="1"/>
        <s v="Dryplus MOM&amp;BABY CONVI PACK S32" u="1"/>
        <s v="LPG 11KG AS EMPTY TANK (SOL)" u="1"/>
        <s v="(INACTIVE) Cricket Orig Fusion Neon (50's/tray) (4-11165027)" u="1"/>
        <s v="DOLUX Bleach 4X 1Gallon" u="1"/>
        <s v="(INACTIVE) CDO KARNE NORTE 48X260G" u="1"/>
        <s v="BINGO BEEF LOAF 48X100G (NEW)" u="1"/>
        <s v="CJF BATTERY NS60 ENDURO" u="1"/>
        <s v="Franzia California Red 3lx6" u="1"/>
        <s v="Fiona Youthful Bliss 50mlx36" u="1"/>
        <s v="Foodcrafters Embutido(5pcs)200g x 40" u="1"/>
        <s v="(INACTIVE) PROMO-6 CDO KN 100G + 4 KN 150G + 2 MEAT LOAF 150G" u="1"/>
        <s v="PRESA 750-16 14PR P276" u="1"/>
        <s v="BUENAS NATA WHITE 24x8oz" u="1"/>
        <s v="SPEED Diswashing Liquid - Kalamansi 288X22Ml" u="1"/>
        <s v="Grips Knight Body Spray 100mlx24" u="1"/>
        <s v="EUROP FRIES 1KGX10" u="1"/>
        <s v="Promo-Fiona Bubbly Pink 100ml w/ Ice Glacier 25ml" u="1"/>
        <s v="Cocio Dark Chocolate Milk 270mlx8" u="1"/>
        <s v="(INACTIVE) PROMO-3 BINGO ML 150G+3 BINGO KN 150G+6 KN 150G" u="1"/>
        <s v="MP PROMO#003 - 2 Soya Oil 1L with FREE SMCT100g (6's)" u="1"/>
        <s v="Richeese Wafer MLBB 48gx60pcs" u="1"/>
        <s v="DEESTONE 8.25 R16LT SV402 RIB 14PR 128/126L" u="1"/>
        <s v="Deoplus Deodorant Powder w/ Licorice 40g x 36pcs" u="1"/>
        <s v="(INACTIVE) CDO LECHON PAKSIW 48X155G" u="1"/>
        <s v="DON ELENA 100% TUNA CHUNKS IN SUNFLOWER OIL 185G" u="1"/>
        <s v="Jolly Soya Oil 1Lx12" u="1"/>
        <s v="(INACTIVE) SAN MARINO TUNA SPREAD 48X85G" u="1"/>
        <s v="(INACTIVE) DANES CHEESE SPREAD 220GX24" u="1"/>
        <s v="(INACTIVE) SPD BBPW-L 2KGS+1FREE BBPW-L 500G 1:1 BY 6" u="1"/>
        <s v="SPEED 1Kg Babad FC w/Power Whitener Powderx12" u="1"/>
        <s v="GARDENIA CHOCOLATE FILLED BUNS 80G" u="1"/>
        <s v="CDO KARNE NORTE CLASSIC 260GX48 N" u="1"/>
        <s v="Mama Pina's Palm Oil 350ml x 36 FD3" u="1"/>
        <s v="Fiona Rosy Red 25mlFtx36" u="1"/>
        <s v="SEL SOY SAUCE 350ML PET X 6'S + 1FREE BY4" u="1"/>
        <s v="DEESTONE 235/75 R17.5 SV401 RIB 16PR 143/141L" u="1"/>
        <s v="(INACTIVE) DANES CHEESE 450G-FREE ALASKA PROMO" u="1"/>
        <s v="Jolly Premium Shiitake Mushroom 198g" u="1"/>
        <s v="CJF SWALLOW 700-15 12PR RIB S253" u="1"/>
        <s v="(INACTIVE) CDO HOLIDAY TREASURE GOLD" u="1"/>
        <s v="WIN FF 1L+1FREE LALA LIQ.FC 30ML BY12" u="1"/>
        <s v="(INACTIVE) CDO PREMIUM CHOPPED HAM 380GX24" u="1"/>
        <s v="(INACTIVE) iColor Hair Dye Shampoo Light Brown 30ml 10'sx48" u="1"/>
        <s v="(INACTIVE) PROMO-2 KN 150G + 4 ML 150GX8" u="1"/>
        <s v="(INACTIVE) Nissin Seafood Cup 75gmx24" u="1"/>
        <s v="HAPPY DAY MULTIVATAMIN JUICE 1L" u="1"/>
        <s v="(INACTIVE) Tipid Pack Speed FC 135g+Pow FR 55g x 40" u="1"/>
        <s v="SPEED 50% Dagdag Bar - White 96X160G" u="1"/>
        <s v="TRAVELER UNDERPAD L-XL 6'S+1x12" u="1"/>
        <s v="(INACTIVE) Yumbites Jumbo Hotdog 500g x 20" u="1"/>
        <s v="(INACTIVE) Promo - Grips Hard &amp; Mat 5g 22+2 (Dagdag Kita)" u="1"/>
        <s v="Pagoda Muriatic Acid 500ml" u="1"/>
        <s v="SPEED 50% Dagdag Bar - Kalamansi 96X160G" u="1"/>
        <s v="SPEED 2KGS BABAD DET. POWDER" u="1"/>
        <s v="Good Life Bread Crumbs 1kgX10" u="1"/>
        <s v="TENTAY PATIS SPECIAL 350ML PET" u="1"/>
        <s v="WELCH FRUIT SNACKS ISLAND FRUIT 5oz" u="1"/>
        <s v="(INACTIVE) Damaco Pommes Fries 1kg" u="1"/>
        <s v="Family Alcologne w/ Baby Oil 500ml" u="1"/>
        <s v="Doña Elena Al Dente Spaghetti 500g" u="1"/>
        <s v="Jolly Maraschino Cherries w/ stem 72oz" u="1"/>
        <s v="Jolly Green Peas 155gx100" u="1"/>
        <s v="(INACTIVE) PROMO-4 CDO KN 150G+CDO 4 ML 150GX6" u="1"/>
        <s v="KeratinPlus Gold 20g x 24packs (12+2)" u="1"/>
        <s v="GARDENIA DELIZIO CAFFINO CREAMY MOCHA 30G X 24TIES X 10PCS" u="1"/>
        <s v="HIGHLANDS CORNED BEEF REGULAR 175GX48" u="1"/>
        <s v="Fiona Bubbly Pink 75mlx24" u="1"/>
        <s v="Grips Wax Hard &amp; Shiny 75gx36" u="1"/>
        <s v="JK TIRES 12R20 A8PR LUG (JDC)" u="1"/>
        <s v="LPG (11kg POL Cylinder) CTA - ECTA# 71908" u="1"/>
        <s v="TOP 5.50-16 (5H) RIM" u="1"/>
        <s v="JOLLY OAT MILK BABY BATH 18ML X 288 (W/ 5+1 PROMO)" u="1"/>
        <s v="CJF BATTERY 1SM GOLD" u="1"/>
        <s v="Jolly Lychee in Syrup 565gx24" u="1"/>
        <s v="Jolly Cow Chocolate Milk 200ml" u="1"/>
        <s v="CARP SUKANG SASA 100ML SUP" u="1"/>
        <s v="CARP SUKANG SASA 200ML SUP" u="1"/>
        <s v="(INACTIVE) iColor Hair Dye Shampoo Medium Brown 30ml 10'sx48" u="1"/>
        <s v="Capture Nature Tawas Regular 50ml" u="1"/>
        <s v="SWEET BEST ERYTHRITOL 250G" u="1"/>
        <s v="(INACTIVE) Foodcrafters Pork Siomai 500g" u="1"/>
        <s v="(INACTIVE) PROMO-LOTTE PACK 1" u="1"/>
        <s v="HIGHLANDS CLASSIC CORNED BEEF 180GX48" u="1"/>
        <s v="CDO LUNCHEON MEAT350X2 - SAVING BUNDLE" u="1"/>
        <s v="Fiona Youthful Bliss 25mlx36" u="1"/>
        <s v="HAWKWAY 12R20 HK802 MIX 20PR" u="1"/>
        <s v="Cricket Firepower Mini BL1 (22's/tray) (Firepower)" u="1"/>
        <s v="Dona Elena Pure Olive Oil 500ml x12" u="1"/>
        <s v="Foodcrafters Negosyo Pack Pork 500gx20" u="1"/>
        <s v="ARMOUR VIENNA SAUSAGE BBQ 4.6oz" u="1"/>
        <s v="(INACTIVE) Cricket Firepower w/ Flexible Nozzle (16's/tray) (9-33010101)" u="1"/>
        <s v="SPEED BBFR 2KGS+4FREE 55GMORE 150G 1:4" u="1"/>
        <s v="Fresh Flower 5mlx12x12" u="1"/>
        <s v="Perwoll Classic Sachet 144x60ml" u="1"/>
        <s v="WILDERNESS BLUEBERRY 21oz" u="1"/>
        <s v="SAN MARINO MACKEREL IN NATURAL OIL 165GX100" u="1"/>
        <s v="GARDENIA POCKET SANDWICH CHEESE 50G" u="1"/>
        <s v="Chibog Chicken and Cheese 500g x 20" u="1"/>
        <s v="(INACTIVE) 3 SAN MARINO TUNA FLAKES HOT &amp; SPICY 180GX48" u="1"/>
        <s v="Mama Pina's Paminta Cracked 1gx15'sx6x24" u="1"/>
        <s v="Deoplus Tawas Powder w/ Licorice 50g x 144pcs" u="1"/>
        <s v="(INACTIVE) GGAssorted14gx48 w/free hair wax save 7" u="1"/>
        <s v="AlcoPlus Iso. 150mlx48" u="1"/>
        <s v="GULF XHD 10W 200L (DRUM)" u="1"/>
        <s v="SAN MARINO CORNED TUNA 24X380G" u="1"/>
        <s v="ALIBABA TITA-K GARLIC 20GX10'SX10" u="1"/>
        <s v="Canola Oil 1L Duo Pack - SAVE P20" u="1"/>
        <s v="CDO BEEF LUNCHEON MEAT 350GX24" u="1"/>
        <s v="(INACTIVE) SAN MARINO CORNED TUNA 60G SACHET" u="1"/>
        <s v="Pagoda Keratin w/ Argan Oil 20gmsx432" u="1"/>
        <s v="CDO CHICKEN FLAKES IN OIL 150GX48" u="1"/>
        <s v="ALIBABA FUN STICK MILK 20GX10'SX10" u="1"/>
        <s v="AlcoPlus Iso. 250mlx48" u="1"/>
        <s v="Happy Day Apple Juice 1L Twin Pack Save 10.00" u="1"/>
        <s v="BUENAS NATA GREEN 24x8oz" u="1"/>
        <s v="iColor Plus Shampoo-In Hair Color Black 25ml 5+1FREE" u="1"/>
        <s v="TOP 6.50-16 (6H) RIM" u="1"/>
        <s v="Dona Elena Capers in Vinegar 100g" u="1"/>
        <s v="SPEED Babad W/ Fabcon 288X35G" u="1"/>
        <s v="FEDERAL 175 R13C97/95Q 8PR ECOVAN" u="1"/>
        <s v="ALIBABA FISH CRACKER 16G 10'SX12" u="1"/>
        <s v="ARMOUR TREET 12OZ" u="1"/>
        <s v="Lovely Look Hair Spray 50ml" u="1"/>
        <s v="KAPSEN 12R22.5 18PR MIX HS268" u="1"/>
        <s v="(INACTIVE) SAN MARINO CORNED TUNA 100G - PROMO" u="1"/>
        <s v="GARDENIA CLUSTERED CHEESE BUNS PLUS BEAR BRAND" u="1"/>
        <s v="PROMO-SMCTR 150GX3" u="1"/>
        <s v="GOTYRE 20.5-25 PR20 D.E3/L3 YB816" u="1"/>
        <s v="SPEED 55G BABAD FRESH ROSES POWDER FL x192" u="1"/>
        <s v="PRESA 9.00-20 R16 C688 SET" u="1"/>
        <s v="Dona Elena Sweet White Wine 750ml" u="1"/>
        <s v="(INACTIVE) SAN MARINO TUNA FLAKES IN OIL 180GX48" u="1"/>
        <s v="Mama Pina's Pancit Canton 227g x 20" u="1"/>
        <s v="(INACTIVE) Nanay's Burger Patties (in canister) 240g" u="1"/>
        <s v="PORK LIVER 1KG" u="1"/>
        <s v="Dailyfix Berry Special 350g x 10" u="1"/>
        <s v="H &amp; Y Strawberry Gum 24's x 40 packs (A929)" u="1"/>
        <s v="(INACTIVE) PLASTIC STREAMER 1.5X2.5-SAN MARIN C.TUNA" u="1"/>
        <s v="(INACTIVE) JAR - CDO KARNE NORTE BAON PACK" u="1"/>
        <s v="(INACTIVE) Foodcrafters Pork Siomai 250g" u="1"/>
        <s v="CHICKEN WING 1KG" u="1"/>
        <s v="GOOD LIFE PREMIUM FIRST CLASS VERMICELLI 1KG" u="1"/>
        <s v="(INACTIVE) CDO RICE IN A CAN ADOBO 48X180G" u="1"/>
        <s v="HAPPY DAY LYCHEE 1L" u="1"/>
        <s v="(INACTIVE) PROMO-6 SAN MARINO CTUNA 150G FREE 2 BINGO CB 60G" u="1"/>
        <s v="(INACTIVE) CDO KARNE NORTE CLASSIC 150GX48" u="1"/>
        <s v="Pagoda Toilet Deodorizer 50g Sampaguita" u="1"/>
        <s v="Promo-Alcoplus Ethyl Classic 150ml w/ Keratin Gold" u="1"/>
        <s v="AlcoPlus Iso. 60mlx36-Spray" u="1"/>
        <s v="iColor Plus Shampoo-In Hair Color Chestnut Brown 30ml 5+1FREE" u="1"/>
        <s v="Jolly Cow Condensada 1kgx24" u="1"/>
        <s v="(INACTIVE) PRO-2KN100+2KN150+2BBL100+2BBL150+2BKN100+2BKN150" u="1"/>
        <s v="Jolly Pineapple Tidbits 432gx24" u="1"/>
        <s v="SPEED BABAD POWER WHITENER 2KG + 2FREE" u="1"/>
        <s v="SUPER Q - Pancit Canton 454g x 24" u="1"/>
        <s v="(INACTIVE) SPEED SB 1kg Get 500g SB@50%off" u="1"/>
        <s v="(INACTIVE) CDO HOLIDAY WHOLE-MEAT HAM EXACT 900G" u="1"/>
        <s v="BRIDGESTONE 11R22.5 16PR THAI R-156 ECOPIA RIB" u="1"/>
        <s v="SPEED KALAMANSI 360G+1FREE LALA LIQ.FC 30ML BY36" u="1"/>
        <s v="Deoplus Deodorant Powder w/ Licorice 40g x 24pcs" u="1"/>
        <s v="(INACTIVE) 2 MAMA PINA'S OIL 500 ML W/ FREE BINGO CORNED BEEF 60G" u="1"/>
        <s v="Tasty Palamig Mango 500gx20" u="1"/>
        <s v="CDO KARNE NORTE CLASSIC 100GX48 N" u="1"/>
        <s v="MP PROMO#001B - 2 Palm Oil 1L with FREE BML100g (6's) BTC" u="1"/>
        <s v="(INACTIVE) 2 WIN FL 1L+1FREE BBPW-LZ 55G 1:1 BY 12" u="1"/>
        <s v="SWEET NATA DE COCO(WHT) 24X12OZX340G" u="1"/>
        <s v="(INACTIVE) PROMO-3 CDO MEAT LOAF 100G" u="1"/>
        <s v="DR COCO NAT LAVANDER LHW 500ml REFILL" u="1"/>
        <s v="MP PROMO - 1 Palm Oil 1L with FREE Magic Sarap 8g (12's) BTC" u="1"/>
        <s v="CDO KARNE NORTE CLASSIC 150GX48 N" u="1"/>
        <s v="CDO CB IN SWEET STYLE SPAG 260GX48" u="1"/>
        <s v="(INACTIVE) CDO KARNE NORTE CHUNKY 48X150G (NEW)" u="1"/>
        <s v="Old Orchard 100% Apple 64oz" u="1"/>
        <s v="GARDENIA PDS FREE DELICIA SACHET" u="1"/>
        <s v="KAPSEN 10R20 18PR MIX HS268" u="1"/>
        <s v="Family Rubbing Alcohol 40% 473ml w/ Tie Up" u="1"/>
        <s v="(INACTIVE) 4 SAN MARINO TUNA FLAKES HOT &amp; SPICY 180GX48" u="1"/>
        <s v="Lotus Biscoff Original Caramelized Biscuit 50p x 6 - B1T1" u="1"/>
        <s v="WILDERNESS PREMIUM STRAWBERRY 21oz" u="1"/>
        <s v="ATLANTIC DEO 15W-40 CF-4/SG (4X4L)" u="1"/>
        <s v="H &amp; Y Star Cup Chocolate Biscuit 500g x 12 jars (600A)" u="1"/>
        <s v="GOODTYRE S.10.00R20 PR18 YB328 M.LUG" u="1"/>
        <s v="SUPER Q - Kan Mian 500g x 24" u="1"/>
        <s v="(INACTIVE) CDO KARNE NORTE AFRITADA 48X100G (OLD)" u="1"/>
        <s v="Jolly Pcs &amp; Stems Mushroom 198gx48" u="1"/>
        <s v="(INACTIVE) BINGO SAUCY ULAM - KALDERETA 48X155G" u="1"/>
        <s v="(INACTIVE) CDO KARNE NORTE AFRITADA 48X150G (OLD)" u="1"/>
        <s v="Cricket Mini OTSO Pack (8's/strip) (ED-1 Mini)" u="1"/>
        <s v="(INACTIVE) SM CHILI CORNED TUNA 60G (6'S)X24" u="1"/>
        <s v="FEDERAL 175/65 R15 84H" u="1"/>
        <s v="CJF DELIUM 205/65 RIB DELIUM" u="1"/>
        <s v="(INACTIVE) CDO KARNE NORTE CLASSIC 175GX48" u="1"/>
        <s v="(INACTIVE) HIGHLANDS C BEEF PROMO 180GX48" u="1"/>
        <s v="ROADSHINE 185/65 R14 86H RS906" u="1"/>
        <s v="(INACTIVE) CDO PISTA HAM 600G (OLD)" u="1"/>
        <s v="Grips Strong Hold Assrtd 14gx48/pack" u="1"/>
        <s v="Deoplus Deodorant Powder w/ Licorice 80g x 24pcs" u="1"/>
        <s v="ASIA FACIAL POCKET TISSUE 10PULLS 2PLY 6'SX50" u="1"/>
        <s v="(INACTIVE) HOLIDAY CHEESE SLICED 250kg" u="1"/>
        <s v="(INACTIVE) SAN MARINO CORNED TUNA 48X160G (Easy-Open)" u="1"/>
        <s v="Negosyo Pack Lumpiang Shanghai 200g x36" u="1"/>
        <s v="GULF CROWN GREASE MP3 12X500GRAMS" u="1"/>
        <s v="SPEED Powder - Kalamansi 96X100G" u="1"/>
        <s v="2 PCS JOLLY WHOLE MUSHROOM 400G SAVE P7" u="1"/>
        <s v="Nanay's Pork Tapa Garlic Pepper 220g x 36" u="1"/>
        <s v="Nabati Richnuts Peanut Butter Wafer 48gx60pcs" u="1"/>
        <s v="(INACTIVE) SEA QUEST TUNA FLAKES IN OIL 48X180G (E.O)" u="1"/>
        <s v="H &amp; Y Sofee Promo Box 100's (273)" u="1"/>
        <s v="MARCHER S.20.5-25 PR20 D.E3/L3" u="1"/>
        <s v="GARDENIA DELICIA MILKY CHOCOLATE 30G X 24PACKS X 10PCS" u="1"/>
        <s v="DURACELL EVERYDAY ALKALINE AAA2" u="1"/>
        <s v="RAIMOL TITANIUM - GASOLINE FUEL SAVER (24X100mL)" u="1"/>
        <s v="LPG 50KG EMPTY TANK (SOL)" u="1"/>
        <s v="(INACTIVE) CDO BEEF LOAF 48X150G" u="1"/>
        <s v="DONA ELENA CLASSIC GREEN PESTO SAUCE 190G" u="1"/>
        <s v="PRESA 7.00-15 12PR P276" u="1"/>
        <s v="PROMO - Alcoplus Isopropyl 70% 250ml 3+1" u="1"/>
        <s v="CDO CORNED BEEF HOME STYLE 150GX48" u="1"/>
        <s v="(INACTIVE) CDO PISTA SMOKED HAM 600G" u="1"/>
        <s v="(INACTIVE) SAVERS PEAR-SHAPED HAM B1T1 500G" u="1"/>
        <s v="(INACTIVE) PROMO-SSS 6 CT180GX2 TP180GX2 CT150GX3 CCT150GX3" u="1"/>
        <s v="WELCH FRUIT SNACKS MIXED FRUITS 5oz" u="1"/>
        <s v="(INACTIVE) 2 CDO LMEAT 350G FREE 1 CBEEF 60G" u="1"/>
        <s v="PRESA 11.00-20 18PR C688 SET" u="1"/>
        <s v="(INACTIVE) SAN MARINO CORNED TUNA 150G W/ FREE 1PCS DANES BACON BITS" u="1"/>
        <s v="Alcoplus Isopropyl 70% 1000mlx12 (1 Liter)" u="1"/>
        <s v="GARDENIA BLUEBERRY MUFFIN 45G X 48" u="1"/>
        <s v="HIGHLANDS CLASSIC CORNED BEEF 100GX48" u="1"/>
        <s v="FROOTY PINTOORA POP 20'SX50 (719)" u="1"/>
        <s v="DONA ELENA BLENDED OLIVE OIL 2L" u="1"/>
        <s v="Richoco Wafer 22g x 20ib x 10pcs" u="1"/>
        <s v="BUENAS KAONG WHITE 24x360g" u="1"/>
        <s v="HIGHLANDS CORNED BEEF GOLD 150GX48" u="1"/>
        <s v="Empress Advance Keratin Repair &amp; Protect (11+1)" u="1"/>
        <s v="(INACTIVE) 6 BINGO MEAT LOAF 150G FREE 1 BINGO CB 60G" u="1"/>
        <s v="WINROX Bleach - Fresh Lemon 72X100Ml" u="1"/>
        <s v="(INACTIVE) PROMO-3 CDO BEEF LOAF 150G" u="1"/>
        <s v="GOTYRE S.600-14 8PR D.MILER" u="1"/>
        <s v="(INACTIVE) CDO VIENNA SAUSAGE CLASSIC 48X70G" u="1"/>
        <s v="Jellybee Super Stick 320g x 20 pks (269)" u="1"/>
        <s v="GARDENIA DOUBLE DELIGHTS (STRAWBERRY AND BLUEBERRY) 400G" u="1"/>
        <s v="(INACTIVE) 2 DANES CHEESE BLOCK 180G FREE 1 DANES 35G + BINGO CB 60G" u="1"/>
        <s v="GARDENIA BS - SPANISH BREAD" u="1"/>
        <s v="FLAP HANHOO 20R MADE IN KOREA" u="1"/>
        <s v="Pagoda Muriatic Acid Household Grade 1Gallon" u="1"/>
        <s v="Capture Nature Tawas Unscented 50ml" u="1"/>
        <s v="SUPER Q - Sotanghon 350g x 24" u="1"/>
        <s v="(INACTIVE) PROMO-2 CDO KN100G + 2 CDO ML100G X 12" u="1"/>
        <s v="SOLUCKY BUTTER FLAVOR CREAM 10'SX18 (622)" u="1"/>
        <s v="(INACTIVE) Fries Mccain Redstone 500g" u="1"/>
        <s v="CARP PROMO PK x3 (SSVVES) 350ML PET" u="1"/>
        <s v="Jellybee Eat &amp; Drink Candy 24 x 40 (328)" u="1"/>
        <s v="Jolly Pineapple Tidbits 850g" u="1"/>
        <s v="GARDENIA HIGH FIBER WHEAT BREAD 600g THICK SLICE" u="1"/>
        <s v="HAWKWAY 10.00R20 HK802 MIX 18PR" u="1"/>
        <s v="Fiona Ice Glacier 75mlx24" u="1"/>
        <s v="LPG 11KG POL EMPTY TANK (SOL)" u="1"/>
        <s v="(INACTIVE) PROMO-CDO LUNCHEON MEAT 24X350G" u="1"/>
        <s v="(INACTIVE) DANES CLASSIC CHEESE BLOCK 24X180G" u="1"/>
        <s v="Brooke Farms Sweetened Condensed Creamer 1kgx24" u="1"/>
        <s v="CJF 7.50-15 14P RIB D MASTER" u="1"/>
        <s v="(INACTIVE) PLASTIC STREAMER 1.5X2.5-CDO KN BAON PACK" u="1"/>
        <s v="(INACTIVE) Foodcrafters Hotdog Jumbo 2.5kg x 4" u="1"/>
        <s v="ADVANCES TO EMPLOYEES" u="1"/>
        <s v="(INACTIVE) TARPAULIN 2X4 - SAN MARINO CORNED TUNA" u="1"/>
        <s v="(INACTIVE) CDO PORK ADOBO 48X155G" u="1"/>
        <s v="FEDERAL 205/45 R17 84V SS-595" u="1"/>
        <s v="Vino De Quina (Glass) 330mlx24" u="1"/>
        <s v="Jolly Whole Kernels 425g by 2 Save P5" u="1"/>
        <s v="(INACTIVE) CDO KARNE NORTE HOT &amp; SPICY 48X100G" u="1"/>
        <s v="CASUMINA 11.00-20 20PR CA402G LUG SET" u="1"/>
        <s v="Clox Liquid Bleach 250ml Natural Fresh" u="1"/>
        <s v="WINROX Bleach - Fresh Flower 6X1/2Gallon" u="1"/>
        <s v="(INACTIVE) GARDENIA TWIGGIES CHOCO BROWN CAKE (in POLYBAG 8X20G)" u="1"/>
        <s v="SAN MARINO MACKEREL IN TOMATO SAUCE 165GX100" u="1"/>
        <s v="(INACTIVE) GARDENIA CLUSTERED PANDESAL W FREE CHEESE TOAST" u="1"/>
        <s v="RADAR 265/65R17 RENEGADE R/T+ 10PR 120/117Q" u="1"/>
        <s v="(INACTIVE) iColor Hair Dye Shampoo Medium Brown 30ml 10'sx12" u="1"/>
        <s v="H&amp;Y Cocoju Jelly Juice Lychee Flavor 200gx24cups (821)" u="1"/>
        <s v="Good Life Vermicelli 8ozX100" u="1"/>
        <s v="ARMOUR POTTED MEAT 5.5oz" u="1"/>
        <s v="(INACTIVE) CDO CORNED BEEF 48X175G (E.O)" u="1"/>
        <s v="H &amp; Y Marco Ballet Chew 24's x 40 packs (A932)" u="1"/>
        <s v="Mama Pina's Palm Oil 1L x 12 BAS" u="1"/>
        <s v="GARDENIA DINNER ROLL 250G" u="1"/>
        <s v="Family Rubbing Alcohol 70% 250ml" u="1"/>
        <s v="2SMCTR150G+1SMCTSS150G PROMO PACK" u="1"/>
        <s v="(INACTIVE) GripsWax3Doz w/ Free Gel1Doz(Save17)x24" u="1"/>
        <s v="(INACTIVE) PROMO-CDO HALU HALO PACK 6X4X340G" u="1"/>
        <s v="Good Life Pancit Egg Noodles 1kgX12" u="1"/>
        <s v="ARLA MILK GOODNESS FULL CREAM 12X1L" u="1"/>
        <s v="GARDENIA CLUSTERED PANDESAL 8S" u="1"/>
        <s v="H &amp; Y Mini Umbrella Chocolate 24'sx40packs (A945)" u="1"/>
        <s v="(INACTIVE) Promo-Fiona Rosy Red 100ml w/ Ice Glacier 75ml x 24" u="1"/>
        <s v="JOLLY WHOLE MUSHROOM 400G 2PCS SAVE P5" u="1"/>
        <s v="(INACTIVE) CDO HOLIDAY WHOLE-MEAT HAM EXACT 1.1KG" u="1"/>
        <s v="GARDENIA SOFT DELIGHT PANDESAL FAMILY PACK 300g" u="1"/>
        <s v="(INACTIVE) PROMO-2 SMCT 150G + 1 SMCCT 150G" u="1"/>
        <s v="SK 16 FLAP MADE IN KOREA" u="1"/>
        <s v="(INACTIVE) Winrox FL 1L + 1FREE BBPW 55G 1:1" u="1"/>
        <s v="Jolly Fresh 100% Prune Juice 32oz" u="1"/>
        <s v="(INACTIVE) CDO CHUNKISADO K.NORTE 48X175G" u="1"/>
        <s v="(INACTIVE) Grips Wax Promo 12+2 Hard &amp; Mat 5gx36" u="1"/>
        <s v="(INACTIVE) PROMO-1 CHICKEN V.LOAF 100G + 2 KARNE NORTE 100G" u="1"/>
        <s v="LALA LIQUID FC FLORAL MIST 30ML X6 +1FREE BY 48" u="1"/>
        <s v="(INACTIVE) Promo-Fiona Bubbly Pink 100ml w/ Cool Burst 75ml x 24" u="1"/>
        <s v="RAIMOL SPIRO GEAR OIL GL-4 SAE 90 (GP18L)" u="1"/>
        <s v="Grips Strong Hold Clear 60gx72" u="1"/>
        <s v="ARLA MILK GOODNESS LOW FAT 1L B2S10" u="1"/>
        <s v="OBERON AG38" u="1"/>
        <s v="Jolly Water Chestnut Whole (Peeled)560gX24" u="1"/>
        <s v="LPG DISPLAY CAGE" u="1"/>
        <s v="Fiona Bubbly Pink 25mlx36" u="1"/>
        <s v="SPEED Power Duo Pink/White 380g Det.Barx36" u="1"/>
        <s v="(INACTIVE) GARDENIA TWIGGIES YELLOW CAKE (in POLYBAG 8X20G)" u="1"/>
        <s v="(INACTIVE) CDO SAMBA BRAZILIAN C.BEEF 48X210G (EO)" u="1"/>
        <s v="Clox Liquid Bleach 100ml Natural Fresh" u="1"/>
        <s v="Jellybee Assorted 12'sx30 (207A)" u="1"/>
        <s v="BUENAS KAONG RED 24x8oz" u="1"/>
        <s v="(INACTIVE) CDO LAING 48X155G" u="1"/>
        <s v="PETLAS 195/65R15 IMPERIUM PT515" u="1"/>
        <s v="Tasty Palamig Chocolate 500gx20" u="1"/>
        <s v="MYBIDA PLAIN 10'SX20 (681)" u="1"/>
        <s v="POTCHI HOOLA HOOP JAR 120'SX12 (112)" u="1"/>
        <s v="(INACTIVE) GARDENIA B2T1 - CHR CHR RCR" u="1"/>
        <s v="Family Rubbing Alcohol 40% 473ml" u="1"/>
        <s v="(INACTIVE) iColor Hair Dye Shampoo Dark Brown 30ml 10'sx12" u="1"/>
        <s v="(INACTIVE) Promo - Grips Mat &amp; Shiny 5g 24+6 (Dagdag Kita)" u="1"/>
        <s v="DEXVOO 500ml &amp; PureOO 250 Free Dispenser" u="1"/>
        <s v="Tasty Palamig Pineapple 25gx288" u="1"/>
        <s v="KeratinPlus Gold 20g x 12's x 24 Packs" u="1"/>
        <s v="(INACTIVE) Foodcrafters Bacon 250g - PG" u="1"/>
        <s v="DON ELENA DICED CANNED TOMATOES 800G" u="1"/>
        <s v="Jellybee Long Cup Jelly Drink 12's x 20 (260)" u="1"/>
        <s v="(INACTIVE) CDO ASADO 48X155G" u="1"/>
        <s v="Fiona Raspberry 50ml Spray x36" u="1"/>
        <s v="ARLA ORGANIC FULL CREAM MILK 1L B2S10" u="1"/>
        <s v="BOUNTY CHICKEN LEGS QUARTER 1KG" u="1"/>
        <s v="PRESA 8.25-16 18PR C688" u="1"/>
        <s v="(INACTIVE) Fries Mccain Tator Tots 500g" u="1"/>
        <s v="Nanay's Beef Tapa Garlic &amp; Pepper 250g x 36" u="1"/>
        <s v="DURACELL EVERYDAY ALKALINE AAA4" u="1"/>
        <s v="SPD BBFR-L 2KGS+2FREE DSB 145G 1:2 BY6" u="1"/>
        <s v="PRESA 10.00 R20 16PR PR101 SET" u="1"/>
        <s v="(INACTIVE) Tipid Pack Speed SB 135g+Pow SB 55g" u="1"/>
        <s v="(INACTIVE) SAN MARINO TUNA FILLET SPANISH STYLE 48X180G" u="1"/>
        <s v="(INACTIVE) CDO KARNE NORTE 48X260G (E.O)" u="1"/>
        <s v="(INACTIVE) CDO SAMBA BRAZILIAN C.BEEF 24X380G" u="1"/>
        <s v="DR. COCO NATURAL LAVANDER LHW 250ML BOTTLE" u="1"/>
        <s v="Promo - Alcoplus Ethyl 70% 500ml w Sanitizer Blue" u="1"/>
        <s v="FEDERAL 205/65 R15 95H" u="1"/>
        <s v="Cricket Pocket Pastel 'Cricket Buddy' (25's/tray) (ED-4 Pocket)" u="1"/>
        <s v="Happy Day Cranberry 1L" u="1"/>
        <s v="GULF CROWN GREASE MP3 16KG" u="1"/>
        <s v="(INACTIVE) DANES CHEESE BALL 500G" u="1"/>
        <s v="DAILYFIX ALMOND AND DARK CHOCOLATE 100G" u="1"/>
        <s v="(INACTIVE) Tipid Pack-BBFR55g+Kal130g 1:1 by 40" u="1"/>
        <s v="(INACTIVE) 1 CDO NATA DE COCO WHITE 340G X24(SUP)" u="1"/>
        <s v="Promo-Alcoplus EthylClassic 500ml w SanitizerBlue" u="1"/>
        <s v="SPEED DAGDAG WHITE 145G BAR X 96" u="1"/>
        <s v="Jellybee Jelly Stick Assrt. 192g x 24 (288)" u="1"/>
        <s v="CJF SWALLOW 700-16 12PR S253" u="1"/>
        <s v="DRYPLUS B.DIAPER BUDGET PACK L 15'S+2x16" u="1"/>
        <s v="FEDERAL P265/60 R18 110H XUV" u="1"/>
        <s v="DRYPLUS B.DIAPER BUDGET PACK M 15'S+2x16" u="1"/>
        <s v="MP PROMO#001A - 2 Palm Oil 1L with FREE BML100g (6's) FD3" u="1"/>
        <s v="(INACTIVE) SEA QUEST TUNA FLAKES IN OIL 48X155G (E.O)" u="1"/>
        <s v="LALA LIQUID FABCON FLORAL MIST 30ML (6+1)" u="1"/>
        <s v="(INACTIVE) CDO DINUGUAN 48X155G" u="1"/>
        <s v="GOTYRE S.700-16 PR12 D.LUG SET" u="1"/>
        <s v="PROPERTY DAMAGES" u="1"/>
        <s v="(INACTIVE) Yumbites Jumbo Hotdog 1kg - Free" u="1"/>
        <s v="PINTOORA GUM BALL 25+3'SX40 (877)" u="1"/>
        <s v="DRYPLUS B.DIAPER BUDGET PACK S 15'S+2x16" u="1"/>
        <s v="DEESTONE 235/65R 16C PAYAK R402 8PR 121/119R" u="1"/>
        <s v="MP PROMO - 2 Palm Oil 1L with FREE BML100g (6's) FD3" u="1"/>
        <s v="GARDENIA CLASSIC WHITE BREAD 600g THICK SLICE" u="1"/>
        <s v="H &amp; Y Frosty Ice Pop Mango Flavor 90gx8'sx16packs (223)" u="1"/>
        <s v="SAN MARINO TUNA SPREAD 85GX48" u="1"/>
        <s v="(INACTIVE) HIGHLANDS C BEEF PROMO 260GX48" u="1"/>
        <s v="RESTOBAR HOTDOG PLATES LAMINATED 50'Sx20" u="1"/>
        <s v="FRUTOS CHEWY SOUR MINI BITS (SNACKPACK) 12'SX10 (726)" u="1"/>
        <s v="GULF XHD SAE40 200L (DRUM)" u="1"/>
        <s v="Dona Elena Capers In Vinegar 340g" u="1"/>
        <s v="GARDENIA NEUBAKE WHEATEN BREAD 480G" u="1"/>
        <s v="iColor Plus Hair Color Crème Ash Purple 40ml 10sx12" u="1"/>
        <s v="(INACTIVE) SEA QUEST TUNA HOT &amp; SPICY 48X180G (E.O)" u="1"/>
        <s v="SPD SK 1KG+2FREE LALA 1FM 1FB 30ML 1:2BY12" u="1"/>
        <s v="(INACTIVE) PROMO-SAN MARINO CORNED TUNA + CHILI 150G" u="1"/>
        <s v="(INACTIVE) CDO HOLIDAY TREASURE BRONZE" u="1"/>
        <s v="GOOD LIFE PREMIUM VERMICELI 80G" u="1"/>
        <s v="Family Alcologne w/ Baby Oil 150ml" u="1"/>
        <s v="DON FRANK APPLE JELLY 30GX10'SX24" u="1"/>
        <s v="Family Alcologne w/ Baby Oil 250ml" u="1"/>
        <s v="Promo - Alcoplus Ethyl Classic 500ml w/ Keratin Red x 24" u="1"/>
        <s v="GOOD LIFE EGG NOODLES 1KG" u="1"/>
        <s v="(INACTIVE)" u="1"/>
        <s v="SPEED SB-LZ 55Gx6'S+1FREE LALA LIQ FC 30MLx32" u="1"/>
        <s v="(INACTIVE) Fiona 25mlFt 5+1(5pcs 25ml w/Free 1pc Iso60ml)" u="1"/>
        <s v="PRESA 8.25-20 14PR P276 SET" u="1"/>
        <s v="Chibog Footlong Cheesedog (14+1) x 8" u="1"/>
        <s v="TOPTOP CHOCO PEANUT 12'SX10X20G (108)" u="1"/>
        <s v="DON FRANK ALMOND JELLY 30GX10'SX24" u="1"/>
        <s v="3K BATTERY N70L-70D31L-3SMF-LM" u="1"/>
        <s v="(INACTIVE) PROMO-3 CHICKEN V.LOAF 100G + 5 KN 100G + 4 KN150G" u="1"/>
        <s v="MAMA PINA'S BUNDLE E (1PF1SS200+D) x6" u="1"/>
        <s v="Crumpy Breadspread Choco 225g" u="1"/>
        <s v="CARP SUKANG SASA 3785ML PLASTIC" u="1"/>
        <s v="ARLA MILK GOODNESS FULL CREAM 1L" u="1"/>
        <s v="MEGA 750-15 14PR MX216 RIB SET" u="1"/>
        <s v="H &amp; Y Olive Bubble Gum 24's x 40packs (622)" u="1"/>
        <s v="SPEED 90g Babad Fresh Roses Powderx96" u="1"/>
        <s v="BUDGET 65g Purple Blossom Powderx192" u="1"/>
        <s v="LPG (1.4kg Cylinder) CTA -ECTA#149878" u="1"/>
        <s v="H &amp; Y Fresh on Soft Candy Assorted 72g x 40 packs (A902)" u="1"/>
        <s v="(INACTIVE) PROMO-3 SAN MARINO CORNED TUNA 180G" u="1"/>
        <s v="GULF CROWN GREASE MP2 16KG" u="1"/>
        <s v="Langnese Bee Easy Acacia Honey 250g" u="1"/>
        <s v="(INACTIVE) SPEED 500g Sunflower Burst Powder w/White 160(1:1)x24" u="1"/>
        <s v="SPEED 90g Kalamansix96(new)" u="1"/>
        <s v="Mama Pina's Paminta Whole 1gx15'sx6x24" u="1"/>
        <s v="CJF 21C ATF3 OIL 12X1" u="1"/>
        <s v="(INACTIVE) DANES CHEESE (PACKED BY 90G) 2.0 Kg" u="1"/>
        <s v="Mama Pina's Vegetable Oil 17KG" u="1"/>
        <s v="(INACTIVE) 3 KARNE NORTE 100GX16" u="1"/>
        <s v="Nabati Butter Caramel Wafer 48gx60pcs" u="1"/>
        <s v="EPI PROMO - 2 Cheesy PC + 2 Spicy PC + 2 Calamansi PC + 2 Ramen" u="1"/>
        <s v="(INACTIVE) PROMO-2 SM TUNA PAELLA 180G" u="1"/>
        <s v="WIN FL 1L+1FREE LALA LIQ. FC 30ML BY 12" u="1"/>
        <s v="DEESTONE 235/65R16C PAYAK R402 8PR 115/113R" u="1"/>
        <s v="CDO MEAT LOAF 48X100G" u="1"/>
        <s v="SPEED BBPW 55GX6'S+1FREE 55GMORE SW 150G 6:1" u="1"/>
        <s v="LOTTE PACK 2" u="1"/>
        <s v="SPEED Babad 216X60G" u="1"/>
        <s v="(INACTIVE) GARDENIA TWIGGIES PINK CAKE (in POLYBAG 8X20G)" u="1"/>
        <s v="(INACTIVE) PROMO-5 SAN MARINO CORNED TUNA 100GX8" u="1"/>
        <s v="(INACTIVE) PROMO-6 BINGO CBEEF 150G FREE 1 BINGO CB 60G" u="1"/>
        <s v="RESTOBAR TRASH BAG BLACK XL 10'Sx50" u="1"/>
        <s v="Jolly Coconut Cream 400ml" u="1"/>
        <s v="JUMBO MELON JAR 100'SX12 (705)" u="1"/>
        <s v="(INACTIVE) DANES CHEESE IN CADDY BOX 35GX144" u="1"/>
        <s v="(INACTIVE) PROMO-3 CDO KARNE NORTE 100G" u="1"/>
        <s v="(INACTIVE) PROMO-3 CDO KARNE NORTE 150G" u="1"/>
        <s v="(INACTIVE) PROMO-4 CDO KARNE NORTE 150G" u="1"/>
        <s v="CDO MEAT LOAF 48X210G" u="1"/>
        <s v="(INACTIVE) HIGHLANDS C BEEF PROMO 100GX48" u="1"/>
        <s v="ATLANTIC GREASE LITHIUM COMPLEX EP3 (16KG)" u="1"/>
        <s v="iColor Plus Hair Color Crème Ash Blue 40ml 10sx12" u="1"/>
        <s v="(INACTIVE) Promo-Alcoplus Ethyl60ml 3pcs + 3pcs pcs HM5g" u="1"/>
        <s v="Alcoplus Isopropyl 40% 500mlFtx24" u="1"/>
        <s v="Pagoda Toilet Deodorizer 50g Apple" u="1"/>
        <s v="GENKI TAPE XLARGE 48'SX3" u="1"/>
        <s v="Family Dishwashing Liquid Calamansi 1L" u="1"/>
        <s v="FEDERAL 195/55 R15 85V 595 EVO" u="1"/>
        <s v="Dona Elena Pure Olive Oil 500mlx12" u="1"/>
        <s v="2Jolly Whole Kernel Corn 425g w/ Gulamanx12" u="1"/>
        <s v="JOLLY WHOLE KERNEL CORN 2950G" u="1"/>
        <s v="Familite Methyl Alcohol 473ml" u="1"/>
        <s v="Alcoplus Isopropyl 70% Classic 250ml x 48" u="1"/>
        <s v="WINROX Bleach - Regular Scent 12X1000Ml" u="1"/>
        <s v="DRYPLUS B.DIAPER BUDGET PACK XL 15'S+2x16" u="1"/>
        <s v="(INACTIVE) Promo - Fiona Youthful Bless 100mlFTx24" u="1"/>
        <s v="SUNNY FARMS FROZEN FRENCH FRIES 1KGX12" u="1"/>
        <s v="Pagoda Toilet Deodorizer 50g Lemon" u="1"/>
        <s v="2 Jolly Cream Of Mushroom w/ Jolly Whole Mushroom 284g" u="1"/>
        <s v="DURACELL D2" u="1"/>
        <s v="DEESTONE 11.00R22.5 SC441 RIB 16PR 146/143L" u="1"/>
        <s v="(INACTIVE) PROMO-SAN MARINO CORNED TUNA 48X180G" u="1"/>
        <s v="DAILYFIX VERY NUTTY GRANOLA 350G" u="1"/>
        <s v="MEGA 700-16 14PR MX206 RIB SET" u="1"/>
        <s v="Bon Bon Pacifierx36x12" u="1"/>
        <s v="ODYKING 10.00R20 18PR OD869 LUG" u="1"/>
        <s v="Nanays Beef Tapa Garlic &amp; Pepper 230g" u="1"/>
        <s v="SPEED Powder - Kalamansi 288X35G" u="1"/>
        <s v="ROADSHINE 11R22.5 RS602 2" u="1"/>
        <s v="(INACTIVE) BINGO MEAT LOAF 150G - PROMO" u="1"/>
        <s v="DANES CLASSIC CHEESE 35GX144" u="1"/>
        <s v="WIN EB 1L+1FREE BBPW-LZ 55G 1:1 BY 12" u="1"/>
        <s v="CDO MEAT LOAF 48X150G" u="1"/>
        <s v="Fiona Youthful Bliss 100mlx24" u="1"/>
        <s v="(INACTIVE) SAN MARINO CORNED TUNA 48X100G" u="1"/>
        <s v="Doña Elena Al Dente Spaghetti Pasta 500g" u="1"/>
        <s v="Fiona Rosy Red 100mlFtx24" u="1"/>
        <s v="TENTAY PATIS FLAVOR 150ML POUCH" u="1"/>
        <s v="Familite Methyl Alcohol 350ml" u="1"/>
        <s v="(INACTIVE) SPEED BBSB 55GX6'S+1FREE 55GMORE B 150G 6:1" u="1"/>
        <s v="Family Fabric Conditioner 1Ltr w/ Handle - Floral Pink" u="1"/>
        <s v="Old Orchard Apple Berry Blend Cocktail 64oz" u="1"/>
        <s v="(INACTIVE) Winrox EB 1L + 1FREE BBPW 55g 1:1" u="1"/>
        <s v="(INACTIVE) GARDENIA UBE AND CHEESE LOAF 7 PESO OFF" u="1"/>
        <s v="MP PROMO - 2 Canolein Oil 1L with FREE BML100g (6's)" u="1"/>
        <s v="WISHBONE RANCH DRESSING 15OZ" u="1"/>
        <s v="Alcoplus HandSanitizer Gel w/ Vit E Beeds 60mlx36" u="1"/>
        <s v="DON FRANK RED GULAMAN 24GX10'SX24" u="1"/>
        <s v="(INACTIVE) DANES CHEESE BALL 500G (OLD)" u="1"/>
        <s v="Nextar Blueberry 34G x 8ib x 10pcs" u="1"/>
        <s v="MEN2 GENERIC LPG 50KG" u="1"/>
        <s v="Fiona Ice Glacier 25mlx36" u="1"/>
        <s v="(INACTIVE) Foodcrafters Budget Pack Beef Siomai (12pc)" u="1"/>
        <s v="(INACTIVE) PROMO-2 CDO KN150G + 2 CDO ML150G X 12" u="1"/>
        <s v="(INACTIVE) 2 DANES CHEESE SPREAD 220ML FREE 1 DANES 35G + 2 BINGO CB 60G" u="1"/>
        <s v="Brooke Farm Cocomilk 400ml x 24" u="1"/>
        <s v="GARDENIA COOKIES 'N CREAM CREAM ROLL 50G" u="1"/>
        <s v="LOTTE PACK 3" u="1"/>
        <s v="MEGA 6.50-14 8PR MX115 SET" u="1"/>
        <s v="(INACTIVE) CDO VIENNA SAUSAGE (NEW) 48X70G" u="1"/>
        <s v="3CDOKN150G+3CDOML150G+NEGOSYOPACK" u="1"/>
        <s v="(INACTIVE) CDO VIENNA SAUSAGE 48X114G (E.O)" u="1"/>
        <s v="ATLANTIC DEO 15W-40 CF-4/SG (DRUM)" u="1"/>
        <s v="(INACTIVE) Select Soy 1L w/Free SP 200ml(1:1)" u="1"/>
        <s v="MEN2 GENERIC LPG 11KG" u="1"/>
        <s v="KeratinPlus Shampoo Daily Nourishing 200ml x 24" u="1"/>
        <s v="Jolly Pineapple Tidbits 225gx24" u="1"/>
        <s v="Jolly Cream Corn 425gX24" u="1"/>
        <s v="(INACTIVE) 6 CDO KARNE NORTE 60G W/ FREE 20 TEXTS" u="1"/>
        <s v="(INACTIVE) Promo-Alcoplus Iso 500ml + 3pcs Keratin Gold" u="1"/>
        <s v="MAMA PINAS BUNDLE B x6" u="1"/>
        <s v="SOO-YOUNG SOAP FOR WOMEN 60Gx120" u="1"/>
        <s v="GREEN RUN 11 R22.5 MIX 18PLY" u="1"/>
        <s v="PROMO-ALCOPLUS ISO CLASSIC 500ML W/ SANITIZER RED" u="1"/>
        <s v="(INACTIVE) PROMO-2 CDO KN 100G+2 CDO BL 100GX12" u="1"/>
        <s v="Dona Elena Pure Olive Oil 1Lx12" u="1"/>
        <s v="GARDENIA POCKET SANDWICH PEANUT BUTTER 50G" u="1"/>
        <s v="CASUMINA 10.00-20 20PR CA402F LUG SET" u="1"/>
        <s v="3K BATTERY 1SNF V60L" u="1"/>
        <s v="Family Absorbent Cotton 400g" u="1"/>
        <s v="FEDERAL 185/65 R14 86H FORMOZA GIO" u="1"/>
        <s v="BINGO MEAT LOAF 48X150G (NEW)" u="1"/>
        <s v="H &amp; Y Frosty Ice Pop Bubble Gum Flavor 90gx8'sx16packs (224)" u="1"/>
        <s v="Happy Day Tomato Juice 1L" u="1"/>
        <s v="DANES MAYO DRESSING 220G X 24 SUP" u="1"/>
        <s v="H&amp;Y Mini Choco M 72g x 40 bags (626)" u="1"/>
        <s v="Capture Nature Tawas Calamansi 50ml" u="1"/>
        <s v="Brooke Farm Pieces &amp; Stems Mushrooms 425g x 24" u="1"/>
        <s v="(INACTIVE) CDO WHITE BEANS 24X340G" u="1"/>
        <s v="SAN MARINO CHILI CORNED TUNA 48X100G" u="1"/>
        <s v="CJF 7.00-16 12R DMASTER" u="1"/>
        <s v="Richoco Cookies- Chocolate 28g (10pcsx20bags) PHL" u="1"/>
        <s v="(INACTIVE) CDO MEAT LOAF W CHEESE 48X150G" u="1"/>
        <s v="Dona Elena Olive Oil Pomace 1Lx12" u="1"/>
        <s v="(INACTIVE) PROMO-1 CDO NATA 340G+1PCS CDO KAONG 340G FREEE 1 BINGO CB 60G" u="1"/>
        <s v="POTCHI STRAWBERRY SNACK PACK 12'SX10 (750)" u="1"/>
        <s v="(INACTIVE) iColor Plus Shampoo-In Hair Color Light Brown 30ml 5+1FREE" u="1"/>
        <s v="Winrox Fresh Lemon Bleach Gallon x 4" u="1"/>
        <s v="WINROX Bleach - Regular Scent 4X1Gal" u="1"/>
        <s v="GARDENIA DELICIA MILKY CHOCOLATE SPREAD 200G X 12" u="1"/>
        <s v="CARP SUKANG SASA 350ML PET" u="1"/>
        <s v="OBERON AG20" u="1"/>
        <s v="Players Styling Hair Extreme Matte &amp; Hard 3gms" u="1"/>
        <s v="SPEED 55G BABAD FC W/ POWER WHITENER POWDER FL x192 (new)" u="1"/>
        <s v="Welch 100% Grape Juice Purple 10oz" u="1"/>
        <s v="GOODTYRE S.12.00R20 PR20 DYB268 MIX TTF " u="1"/>
        <s v="CASUMINA 825-16 18PR CA402F LUG SET" u="1"/>
        <s v="(INACTIVE) WIN REG 1L+1FREE BBPW-LZ 55G 1:1 BY 12" u="1"/>
        <s v="Jolly Canola Oil 500ml" u="1"/>
        <s v="DE GOURMET TUYO IN MSPICY OLIVE OIL 228G" u="1"/>
        <s v="SAN MARINO CHILI CORNED TUNA 150GX48 (NEW)" u="1"/>
        <s v="Welch 100% Grape Juice Purple 24oz" u="1"/>
        <s v="(INACTIVE) PROMO-2 CDO LMEAT 350G FREE 1CBEEF 60G" u="1"/>
        <s v="FEDERAL 175/65 R14 SS-657" u="1"/>
        <s v="H &amp; Y Happy Love Chocolate 24's x 40 packs (A911)" u="1"/>
        <s v="Dona Elena Sliced Black Olives 330g" u="1"/>
        <s v="(INACTIVE) SEA QUEST HOT CORNED TUNA GUISADO 48X150G" u="1"/>
        <s v="CJF 7.50-16 14PR RIB D MASTER" u="1"/>
        <s v="SELECT Soy Sauce (1/2Gal) 6X1895Ml" u="1"/>
        <s v="SPEED BLUE 360G DET. BAR X 36" u="1"/>
        <s v="Argan Beauty Hair Mask w/ Argan Oil 25ml 10'sx48" u="1"/>
        <s v="(INACTIVE) CDO KARNE NORTE 48X175G (EASY-OPEN)" u="1"/>
        <s v="(INACTIVE) CDO PORK &amp; BEANS 48X220G" u="1"/>
        <s v="Promo-Grips Body Spray Momentum with fre Clay 5g" u="1"/>
        <s v="(INACTIVE) PROMO-4 HIGHLANDS REGULAR CORNED BEEF 150G" u="1"/>
        <s v="Nextar Soft Cookie 34G x 20ib x 10pcs" u="1"/>
        <s v="SPEED 55g Kalamansi Powderx192(new)" u="1"/>
        <s v="Family Bathroom Tissue (1 Ply) 350shtsx72" u="1"/>
        <s v="(INACTIVE) CDO KARNE NORTE CHUNKY 48X150G (EO)" u="1"/>
        <s v="SAN MARINO CHILI CORNED TUNA 48X180G" u="1"/>
        <s v="(INACTIVE) SAN MARINO TUNA FLAKES HOT &amp; SPICY 150G - PROMO" u="1"/>
        <s v="WINROX Bleach - Elegant Breeze 12X1000Ml" u="1"/>
        <s v="JOLLY CHERRY MILK BABY BATH 18ML X 288 (W/ 5+1 PROMO)" u="1"/>
        <s v="(INACTIVE) GARDENIA MULTIGRAIN SOFT BUN - 15 PERCENT OFF" u="1"/>
        <s v="(INACTIVE) PROMO - 3 CDO KN 100GX16" u="1"/>
        <s v="CDO LUNCHEON MEAT 24X350G" u="1"/>
        <s v="(INACTIVE) CDO RED MONGO 24X340G" u="1"/>
        <s v="(INACTIVE) Speed BBPW 55gx5's+1FREE 5:1" u="1"/>
        <s v="PETLAS 16.9-24 12PR IND25 " u="1"/>
        <s v="Jolly Claro Pet 1ltr Duo Pack" u="1"/>
        <s v="MARCHER S.8.15-15 (28X9-15) PNSH01 SOLID TL" u="1"/>
        <s v="GARDENIA CINNAMON RAISIN WHEAT BUN 120G" u="1"/>
        <s v="(INACTIVE) SEA QUEST IN HOT TOMATO SAUCE 48X155G" u="1"/>
        <s v="Sunfeel Young Corn Cut 425gx24" u="1"/>
        <s v="(INACTIVE) PROMO - 3 CDO KN 150GX16" u="1"/>
        <s v="TUBE ULTRA U-TUBE 8.25-20 MADE IN KOREA" u="1"/>
        <s v="(INACTIVE) 1 PROMO-3 CDO LIVER SPREAD 85GX16" u="1"/>
        <s v="PROMO BATHROOM TISSUE 1'Sx96" u="1"/>
        <s v="(INACTIVE) 3 KARNE NORTE 150GX16" u="1"/>
        <s v="(INACTIVE) PROMO-PACK 3 SQTUNA FLAKES IN OIL 180G" u="1"/>
        <s v="(INACTIVE) Mama Pina's Canolein Oil 350ml x 36" u="1"/>
        <s v="DAILYFIX STRAWBERRY &amp; YOGURT 700G 1" u="1"/>
        <s v="PORK MASK 1KG" u="1"/>
        <s v="V FRESH JR. 25'SX60 (860)" u="1"/>
        <s v="GARDENIA DELICIA HAZELNUT CHOCOLATE SPREAD 200G X 12" u="1"/>
        <s v="Jolly Red Pimientos 113g x24" u="1"/>
        <s v="AVIKO SUNNY FARMS SHOESTRING 7MMx12" u="1"/>
        <s v="CREAM DORY (PREMIUM) 1KG" u="1"/>
        <s v="CDO CORNED BEEF CHILI GARLIC 150GX48" u="1"/>
        <s v="(INACTIVE) JINLI KOJIC ACID SOAP 135GX48" u="1"/>
        <s v="I COOL MENTHOLATED GUM 50'SX40 (975)" u="1"/>
        <s v="Jolly Cream of Mushroom Soup10.5ozx24" u="1"/>
        <s v="AlcoPlus Iso. 60mlx36" u="1"/>
        <s v="Jolly Heart Mate Canola Oil SUP 500ml" u="1"/>
        <s v="FRENCH FRIES (LUTOSA) 2KG X 6" u="1"/>
        <s v="Select Soy 350ml PET x5's + 1FREE 5:1" u="1"/>
        <s v="Jolly Cow Pure Fresh Milk 1LX12" u="1"/>
        <s v="BUDGET 25kgs Industrial Det.Powder Speckles" u="1"/>
        <s v="HYBRID BRAKE FLUID DOT-3 (18L)" u="1"/>
        <s v="Dona Elena Flat Fillet Anchovies 365g" u="1"/>
        <s v="(INACTIVE) PROMO-KARNE NORTE 150G" u="1"/>
        <s v="Welch Sparkling White Grape Juice 25.4oz" u="1"/>
        <s v="SPEED 1KG BABAD DET. POWDER X 12" u="1"/>
        <s v="SPD KAL-L 2KGS+2FREE DSB 150G 1:2 BY6" u="1"/>
        <s v="SAN MARINO CORNED TUNA 48X180G" u="1"/>
        <s v="GOTYRE S.700-15 PR12 D.LUG" u="1"/>
        <s v="Welch Sparkling Red Grape Juice 25.4oz" u="1"/>
        <s v="(INACTIVE) Promo-Fiona Rosy Red 100mlFTx24" u="1"/>
        <s v="PRESA 185/70 R13 PS01" u="1"/>
        <s v="Langnese Golden Clear Honey 250g" u="1"/>
        <s v="(INACTIVE) SAN MARINO TUNA FILLET IN WATER 180GX48" u="1"/>
        <s v="Promo-Fiona 25ml 6+2 (with free Keratinplus Gold)" u="1"/>
        <s v="ATLANTIC DEO 15W-40 CI-4SL (JUG)" u="1"/>
        <s v="VEHICLE LOAN" u="1"/>
        <s v="Jolly Mush P&amp;S 400g + 2 Maggi 8g" u="1"/>
        <s v="(INACTIVE) PROMO-4 SMCTR 150G RSCI" u="1"/>
        <s v="JOLLY RICE MILK BABY BATH 200ML X 36" u="1"/>
        <s v="Cocio Natural Energy Chocolate 250ml" u="1"/>
        <s v="Fiona Raspberry 100mlx24" u="1"/>
        <s v="Brooke Farm Cream Style Corn 425g x 24" u="1"/>
        <s v="(INACTIVE) POSTER 15X21-CDO KN 1 MILLION PROMO" u="1"/>
        <s v="Richoco Milk Vanilla 22g x 20ib x 10pcs" u="1"/>
        <s v="DONA ELENA BLENDED OLIVE OIL 500ML" u="1"/>
        <s v="WINROX Bleach - Fresh Lemon 48X250Ml" u="1"/>
        <s v="2PCS JOLLY P&amp;S MUSHROOM 400G SAVE P7" u="1"/>
        <s v="SPEED 55GMORE KAL 150G X5'S+1 FREE 5:1" u="1"/>
        <s v="Nextar Choco 42G x 8ib x 10pcs" u="1"/>
        <s v="MEGA 825-20 MX328 STANDARD LUG SET" u="1"/>
        <s v="(INACTIVE) GARDENIA NEUBAKE WHITE BREAD 450G + BEAR BRAND" u="1"/>
        <s v="Mott's 100% Apple Juice 64oz w/ Crayon x 8" u="1"/>
        <s v="DEESTONE 185/55R15 VINCENTE R203 82V" u="1"/>
        <s v="RESTOBAR KIKIAM PLATES SILVER 50'Sx20" u="1"/>
        <s v="Jolly Pineapple Chunks 850g" u="1"/>
        <s v="iColor Plus Hair Color Crème Ash Brown 40ml 10sx12" u="1"/>
        <s v="GULF SHD BRAKEFLUID DOT3 20L" u="1"/>
        <s v="(INACTIVE) 3 TINS CDO LUNCHEON MEAT 165G" u="1"/>
        <s v="Pagoda Muriatic Acid Household Grade 250ml" u="1"/>
        <s v="MP PROMO#011 - 2 Canton 227g + 1 Bihon 454g Save 20 Pesos (6's)" u="1"/>
        <s v="COMFORSER 215/55R17 CF710 94V" u="1"/>
        <s v="(INACTIVE) CDO KARNE NORTE 100G - PROMO" u="1"/>
        <s v="(INACTIVE) HIGHLANDS CLASSIC CORNED BEEF 100GX48" u="1"/>
        <s v="PROMO-JINLI KOJIC ACID SOAP 65G'2 w/ AlcoPlus 60mlX48" u="1"/>
        <s v="KeratinPlus Shampoo Hair Fall Control 22ml (12+2)" u="1"/>
        <s v="(INACTIVE) PROMO-2 CDO KN 150G+1 BARN CHICKEN CURRY" u="1"/>
        <s v="LPG 11KG AS BORROWED TANK (SOL)" u="1"/>
        <s v="JINLI KOJIC ACID SOAP 65Gx2 w/ Alcohol 60ml (1x48)" u="1"/>
        <s v="(INACTIVE) SAN MARINO CHILI CORNED TUNA 48X180G(EO)" u="1"/>
        <s v="SELECT Soy Sauce 12X1000Ml" u="1"/>
        <s v="SMCTR180GX3_SAVE P7.50 S&amp;M PROMO" u="1"/>
        <s v="(INACTIVE) Promo-2pc Fiona 100ml w/ CP Ringx24" u="1"/>
        <s v="(INACTIVE) SAN MARINO CHILI CORNED TUNA 48X150G (EASY-OPEN)" u="1"/>
        <s v="(INACTIVE) Nyam Nyam King Size Hotdog 1.2kg" u="1"/>
        <s v="(INACTIVE) SAN MARINO CHILI CORNED TUNA 48X160G (Easy-Open)" u="1"/>
        <s v="H&amp;Y Cocoju Jelly Juice Strawberry Flavor 200gx10cups (832)" u="1"/>
        <s v="Empress Shampoo Smooth &amp; Shiny free Gold (12+2)" u="1"/>
        <s v="Grips Strong Hold Clear 130gx48" u="1"/>
        <s v="(INACTIVE) SAN MARINO CHILI CORNED TUNA 48X180G (EASY-OPEN)" u="1"/>
        <s v="(INACTIVE) MAMA PINA'S OIL 1L W/ SOYA 12X1" u="1"/>
        <s v="GARDENIA PREMIUM PANDESAL 350G FREE BEARBRAND" u="1"/>
        <s v="Dona Elena Olive Oil Pomace 5Lx4" u="1"/>
        <s v="BLOOMING PETALS BT BIG ROLL 1000'Sx4x6" u="1"/>
        <s v="CDO COCO JELLY BITS 340Gx24" u="1"/>
        <s v="KOKOLA CHOCOLATE 10'SX20 (5608)" u="1"/>
        <s v="Cricket Firepower Original (18's/case) (Firepower)" u="1"/>
        <s v="FRENCH FRIES (GOLDEN PHOENIX) 1KG X 10" u="1"/>
        <s v="GOTYRE S.900-20 PR16 D.LUG" u="1"/>
        <s v="POTCHI GUMMI POP JAR 120'SX12 (111)" u="1"/>
        <s v="DOLUX LEMON FRESH BLEACH 1000ML X 12" u="1"/>
        <s v="(INACTIVE) LOTTE PACK 1" u="1"/>
        <s v="GULF SUPER DIESEL PLUS 15W40 12X1L" u="1"/>
        <s v="WINROX Bleach - Regular Scent 72X100Ml" u="1"/>
        <s v="MAMA PINA'S BUNDLE XP" u="1"/>
        <s v="CJF RIM 22.5" u="1"/>
        <s v="FEDERAL 275/60 R20 119V XL FX" u="1"/>
        <s v="(INACTIVE) SPEED BBFR 55GX6'S+1FREE 55GMORE FC 150G 6:1" u="1"/>
        <s v="PRESA 750-16 C688 16PR" u="1"/>
        <s v="(INACTIVE) Promo Bundle Pabaon ni Nanay 650g" u="1"/>
        <s v="Jolly Cow Condensada 390gx48" u="1"/>
        <s v="Pagoda Muriatic Acid Super Strength 1L" u="1"/>
        <s v="ODYKING 195R15C 8PR D5805" u="1"/>
        <s v="AlcoPlus Ethyl 500mlx24" u="1"/>
        <s v="SPEED DAGDAG FABCON 145G X 6'S + 1 FREE BY16" u="1"/>
        <s v="Pagoda Muriatic Acid Household Grade 1L" u="1"/>
        <s v="FROOTY RAINBOW POP JAR 100'SX12 (760)" u="1"/>
        <s v="GULF EUROCOOL COOLANT 100% 12X1L" u="1"/>
        <s v="3K BATTERY V100L-N70ZL-75D31L-3SMF-MF" u="1"/>
        <s v="Fiona Sweet Breeze Spray 50mlx36" u="1"/>
        <s v="Dona Elena Al Dente Fettucine 500g" u="1"/>
        <s v="H &amp; Y Frosty Ice Pop Orange Flavor 90gx8'sx16packs (222)" u="1"/>
        <s v="JOLLY HEART MATE CANOLA OIL PET 5L" u="1"/>
        <s v="MP BUNDLE - Mama Pina's Carinderia Hub V1" u="1"/>
        <s v="MP BUNDLE - Mama Pina's Carinderia Hub V2" u="1"/>
        <s v="(INACTIVE) SELECT SOY 340ML ETC + SP 340ML 1:1" u="1"/>
        <s v="(INACTIVE) Chibog Jumbo Cheesedog 1kg - Free" u="1"/>
        <s v="JOLLY OAT MILK BABY BATH 18ML X 288" u="1"/>
        <s v="WISHBONE THOUSAND ISLAND DRESSING 15OZ" u="1"/>
        <s v="(INACTIVE) PROMO-SAN MARINO CHILI CORNED TUNA 48X180G" u="1"/>
        <s v="LALA LIQUID FC FRESH BREEZE 30ML X6 +1FREE BY 48" u="1"/>
        <s v="GENERIC DETERGENT BAR 1KG" u="1"/>
        <s v="(INACTIVE) DANES CHEESE BALL 350G" u="1"/>
        <s v="GOODTYRE 12.00R24 GT268 MIX 20PR" u="1"/>
        <s v="(INACTIVE) CDO KARNE NORTE 48X150G" u="1"/>
        <s v="EPI PROMO - Richeese Cheese Wafer 48G 9+1" u="1"/>
        <s v="GOODTYRE S.10.00R20 PR18 D.YB228 LUG TTF" u="1"/>
        <s v="ATLANTIC GEO 20W-50 API SN (12X1L) 2" u="1"/>
        <s v="BLOOMING PETALS BT BIG ROLL 1000'Sx1x30" u="1"/>
        <s v="Alcoplus Advance Antibacterial Sanitizer 500mlx24" u="1"/>
        <s v="KAPSEN 12R20 MIX 20PR HS268" u="1"/>
        <s v="CDO SEA QUEST TUNA FLAKES HOT &amp; SPICY 155GX48(NEW)" u="1"/>
        <s v="(INACTIVE) DANES CHEESE BALL 750G" u="1"/>
        <s v="DONA ELENA 100% TUNA CHUNKS IN SUNFLOWER OIL 100G" u="1"/>
        <s v="(INACTIVE) SPEED 55gMK 150gx5's+1FREE 40gMK 135g 5:1" u="1"/>
        <s v="CJF AS 403 P3F" u="1"/>
        <s v="(INACTIVE) POSTER 15X10-HIGHLANDS CORNED BEEF" u="1"/>
        <s v="Nabati Vitakrim Raspberry Yoghurt 39gx60pcs" u="1"/>
        <s v="LANGNESE BLACK FOREST HONEY 250G" u="1"/>
        <s v="(INACTIVE) SAN MARINO CORNED TUNA ADOBO 155GX48" u="1"/>
        <s v="H &amp; Y Milk Stick 175gx40 (602)" u="1"/>
        <s v="(INACTIVE) DANES CHEESE BLOCK 24X180G" u="1"/>
        <s v="(INACTIVE) Promo-Alcoplus Ethyl 500ml + 3pcs Keratin Gold" u="1"/>
        <s v="GOODTYRE S.12.00R22.5 PR16 D.GT298 MILER" u="1"/>
        <s v="JOLLY Rice Milk Baby Bath 18ml x 288" u="1"/>
        <s v="JIMMS ALL IN 1 CREAMER 6G" u="1"/>
        <s v="(INACTIVE) SPEED KAL 1kg Get 500 SK@50%off" u="1"/>
        <s v="CDO KARNE NORTE 48X175G" u="1"/>
        <s v="(INACTIVE) Promo-Fiona Bubbly Pink 50ml w/ Cool Burst 25ml" u="1"/>
        <s v="MEN2 XMAS IN BAG V1" u="1"/>
        <s v="H&amp;Y Cocoju Jelly Juice Strawberry Flavor 200gx24cups (822)" u="1"/>
        <s v="CDO SPICY MEAT LOAF" u="1"/>
        <s v="GOTYRE S.825-20 PR14 D.LUG" u="1"/>
        <s v="(INACTIVE) BUDGET 800g Purple Blossom Powderx12" u="1"/>
        <s v="JOLLY COCONUT CREAM 165ML" u="1"/>
        <s v="ROADSHINE 825-R20 16PR RS603 RIB SET" u="1"/>
        <s v="(INACTIVE) CDO BARN CHICKEN CURRY 150GX48" u="1"/>
        <s v="CDO LIVER SPREAD 48X85G" u="1"/>
        <s v="Fiona Raspberry 75mlx24" u="1"/>
        <s v="CARP PROMO PK x3 (SSVVES) 500ML PET" u="1"/>
        <s v="MEN2 XMAS IN BAG V2" u="1"/>
        <s v="GOTYRE S.23.5-25 PR20 D.E3/L3 YB816" u="1"/>
        <s v="EGO Food Supplement for Men" u="1"/>
        <s v="(INACTIVE) Promo-Grips Wax 3doz w/Free Gel 1doz" u="1"/>
        <s v="Pagoda Pure Acetone 60ml" u="1"/>
        <s v="iColor Hair Dye Shampoo 30ml Light Brown 10'sx12" u="1"/>
        <s v="Old Orchard Apple Blueberry Cocktail 64oz" u="1"/>
        <s v="SUPER Q - Q1 Misua 40g/12 x 24" u="1"/>
        <s v="(INACTIVE) Yumbites Jumbo Hotdog 1kg x 10" u="1"/>
        <s v="ARLA MILK GOODNESS SKIMMED 1L" u="1"/>
        <s v="MEN2 XMAS IN BAG V3" u="1"/>
        <s v="(INACTIVE) BUDGET Bongga Pack Purple Blossomx84" u="1"/>
        <s v="MP PROMO#005A - 1 Palm Oil 1L with FREE Magic Sarap 8g (12's) FD3" u="1"/>
        <s v="(INACTIVE) PROMO-CDO LUNCHEON MEAT 350G" u="1"/>
        <s v="Welch Grape Juice Cocktail 10oz" u="1"/>
        <s v="Nanays Sliced Sweet Ham230g x 40" u="1"/>
        <s v="Langnese Bee Easy Acacia Honey 500g" u="1"/>
        <s v="XCEED S.10.00-20 PR18 D.XD 301-C RIB TTF" u="1"/>
        <s v="GULF SHD BRAKEFLUID DOT3 20X1L" u="1"/>
        <s v="(INACTIVE) SAN MARINO CORNED TUNA 48X180G (EASY-OPEN)" u="1"/>
        <s v="GOTYRE S.700-15 PR12 D.MILER" u="1"/>
        <s v="(INACTIVE) PROMO-2 CDO ML 150G + 1 CDO TL 150G" u="1"/>
        <s v="MEN2 XMAS IN BAG V4" u="1"/>
        <s v="Franzia Chillable Red 3Lx6" u="1"/>
        <s v="(INACTIVE) PROMO-6 CDO KN BAON PACK 60GX4" u="1"/>
        <s v="Jolly Asparagus (Cut)430gX24" u="1"/>
        <s v="GOTYRE S.700-16 PR12 D.MILER" u="1"/>
        <s v="ARMOUR REGULAR VIENNA SAUSAGE 4.6oz" u="1"/>
        <s v="Crumpy Breadspread Choco 400g" u="1"/>
        <s v="H&amp;Y Star Cup Chocolate+Biscuits 100'sx12packs (645)" u="1"/>
        <s v="MEN2 XMAS IN BAG V5" u="1"/>
        <s v="Jolly Whole Mushrooms 100g 3pcs Save P5" u="1"/>
        <s v="ROADSHINE 225/80 R17.5 16PR RS615 (TL)" u="1"/>
        <s v="DEESTONE 175/70R13 NAKARA R201 82T" u="1"/>
        <s v="Alcoplus ECQ Isopropyl 70% 150mlFtx48" u="1"/>
        <s v="Jolly Canola Oil 2Lx6" u="1"/>
        <s v="(INACTIVE) CDO HAMON DE BOLA 1KG (OLD)" u="1"/>
        <s v="SOLUCKY CHOCOLATE FLAVOR CREAM 10'SX18 (621)" u="1"/>
        <s v="GOODTYRE S.10.00R20 PR18 DYB328 M.LUG" u="1"/>
        <s v="(INACTIVE) MEN2 SOL - COLLECTION RECEIPT" u="1"/>
        <s v="MEGA 825-20 16PR MX188 STANDARD RIB SET" u="1"/>
        <s v="Tasty Palamig Melon 500gx20" u="1"/>
        <s v="Jolly Corn Oil 1Lx12" u="1"/>
        <s v="RAIMOL REINDRO HYDRAULIC OIL ISO VG 10 (200L)" u="1"/>
        <s v="GARDENIA BIG SMILE TORTA TD" u="1"/>
        <s v="GOTYRE S.10.00-20 PR18 D. MILER" u="1"/>
        <s v="(INACTIVE) GARDENIA NEUBAKE SPANISH BREAD BUY 2 TAKE 1" u="1"/>
        <s v="PRESA 10.00-20 18PR C688 (SET)" u="1"/>
        <s v="(INACTIVE) PROMO-2 CDO KN 100G+1 KN AFR. 100G+1 KN CAL. 100G" u="1"/>
        <s v="WINROX Bleach - Fresh Lemon 12X1000Ml" u="1"/>
        <s v="DON FRANK GRASS JELLY BLACK GULAMAN 24GX10'SX24" u="1"/>
        <s v="MYBIDA PEANUT BUTTER 10'SX20 (655)" u="1"/>
        <s v="DON FRANK LYCHEE JELLY 30GX10'SX24" u="1"/>
        <s v="Family Dishwashing Liquid Calamansi 1.5L" u="1"/>
        <s v="Regulator AS" u="1"/>
        <s v="(INACTIVE) Yumbites King Hotdog 1kg" u="1"/>
        <s v="TRAVELER UNDERPAD L-XL 2'Sx36" u="1"/>
        <s v="WINROX BLEACH REGULAR 1000ML W/FREE BBPW" u="1"/>
        <s v="CARP VEGAN SEASONING 1L PET" u="1"/>
        <s v="SWEET KAONG (WHITE) 12X24OZX680G" u="1"/>
        <s v="H &amp; Y Sour City Fruit Flavoured Chewing Gum 72g x 40 packs (A903)" u="1"/>
        <s v="SPEED WHITE 360G DET. BAR X 36" u="1"/>
        <s v="19L Carboy Select Soy Sauce x 1" u="1"/>
        <s v="Foodcrafters Bacon 250g x 40" u="1"/>
        <s v="Richoco Big Rolls 16G x 6ib x 20pcs" u="1"/>
        <s v="(INACTIVE) 1 PROMO-2 CDO LUNCHEON MEAT 350G" u="1"/>
        <s v="GOTYRE S.900-20 PR16 D.MILER" u="1"/>
        <s v="Langnese Black Forest Honey 250g 2" u="1"/>
        <s v="Family Absorbent Cotton 200g" u="1"/>
        <s v="HAENO LARVACIDE LIQUID B" u="1"/>
        <s v="Grips Strong Hold Yellow 60gx72" u="1"/>
        <s v="DEESTONE 185/55R15 VINCENTE R203 82V 2" u="1"/>
        <s v="Mama Pina's Paminta Intro Pack 1gx15'sx9x24" u="1"/>
        <s v="BUNDLE MAMA PINAS BIHON WITH BINGO CB 150G" u="1"/>
        <s v="PRESA 12R22.5 16PR PR101 TL" u="1"/>
        <s v="Grips Ignite Body Spray 100mlx24" u="1"/>
        <s v="(INACTIVE) WOBBLER - SAN MARINO TUNA FLAKES" u="1"/>
        <s v="Jolly Tomato Past 70g Pillow Pack" u="1"/>
        <s v="Mama Pina's Paminta Combo 1gx15'sx6x24" u="1"/>
        <s v="(INACTIVE) PROMO-6 BINGO MEAT LOAF 150G FREE 1 BINGO CB 60G" u="1"/>
        <s v="DEESTONE 185/55R15 VINCENTE R203 82V 3" u="1"/>
        <s v="WELCH SPARKLING ROSE GRAPE JUICE COCKTAIL 25.4oz" u="1"/>
        <s v="POTCHI MINI STRAWBERRY CREAM (STRAPS) 10'SX50 (952)" u="1"/>
        <s v="(INACTIVE) PROMO-3 SAN MARINO CORNED TUNA 150G" u="1"/>
        <s v="Richeese Big Rolls 330gx6pcs" u="1"/>
        <s v="iColor Hair Dye Shampoo 30ml Medium Brown 10'sx12" u="1"/>
        <s v="GOODTYRE 10.00R20 YB288 RIB 18PR" u="1"/>
        <s v="SELECT Sukang Puti 72x100ml" u="1"/>
        <s v="GARDENIA CHOCOLATE MUFFIN 45G X 48" u="1"/>
        <s v="Mama Pina's Pancit Canton 227g x 15" u="1"/>
        <s v="CDO LUNCHEON MEAT 220G X 48" u="1"/>
        <s v="(INACTIVE) BINGO CORNED BEEF 100GX3-SAVER'S PACK" u="1"/>
        <s v="(INACTIVE) Select Soy 100mL x 5's+1Free SP 100mL 5:1" u="1"/>
        <s v="(INACTIVE) PROMO-CDO KARNE NORTE 100G" u="1"/>
        <s v="Drillo CCP PRM PHL 17g x 8ib x 12+1pcs" u="1"/>
        <s v="Fiona Youthful Bliss 75mlx24" u="1"/>
        <s v="(INACTIVE) Fiona CoolBurst 100mlx24 Promo" u="1"/>
        <s v="Grips Strong Hold Yellow 130gx48" u="1"/>
        <s v="(INACTIVE) PROMO-2 CDO KN 100G+2 CDO ML 100G" u="1"/>
        <s v="Fiona Raspberry 50mlx36" u="1"/>
        <s v="GARDENIA HIGH FIBER WHEAT CRANBERRY LOAF 400G" u="1"/>
        <s v="DISPOSABLE SURGICAL MASK 50'Sx40" u="1"/>
        <s v="DEESTONE 185/60R15 VINCENTE R203 84H" u="1"/>
        <s v="(INACTIVE) PROMO-SAN MARINO 100G + KARNET NORTE 100G" u="1"/>
        <s v="WELCH FRUIT SNACKS ISLAND FRUITS 2.25oz" u="1"/>
        <s v="Jolly Fresh Apple Juice 1Lx12" u="1"/>
        <s v="(INACTIVE) GARDENIA BUY 2 BREAD ROLL SAVE P11.50 BUNDLE B&amp;C" u="1"/>
        <s v="FRUTOS CHEWY FRUITS MINI BITS (SNACKPACK) 12'SX10 (717)" u="1"/>
        <s v="4CDOML150G+2CDOKN150G+FREE3IN1 COFFEE" u="1"/>
        <s v="CDO BINGO CORNED BEEF 48X100G" u="1"/>
        <s v="DON FRANK POWDER 1KG" u="1"/>
        <s v="AKOTO KOJIC ACID SOAP PILLOW PACK 50G" u="1"/>
        <s v="SAN MARINO PREMIUM GOURMET TUYO 220GX24" u="1"/>
        <s v="(INACTIVE) Fries Mccain Crispy Cajun 500g" u="1"/>
        <s v="(INACTIVE) SPEED BBPW 1kg Get 1kg BBPW@30%off" u="1"/>
        <s v="Welch 100% Grape Juice Purple 64oz" u="1"/>
        <s v="RAIMOL REINDRO HYDRAULIC OIL ISO VG 68 (200L)" u="1"/>
        <s v="(INACTIVE) ACRYLIC DISPENSER-CDO KN BAON PACK 11X4X5" u="1"/>
        <s v="(INACTIVE) DANES CHEESE BALL 350G (OLD)" u="1"/>
        <s v="XCEED S.700-15 PR12 DXD-302A RIB TTF" u="1"/>
        <s v="SWEET KAONG (WHITE) 24X8OZx240G" u="1"/>
        <s v="SUPER Q - Japanese Flat Noodles 250g/20 x 5" u="1"/>
        <s v="GOTYRE S.825-20 PR14 D.MILER" u="1"/>
        <s v="Dona Elena Extra Virgin Olive Oil 1Lx12" u="1"/>
        <s v="(INACTIVE) WOBBLER-KN BAON PACK (CARRY SA BULSA)" u="1"/>
        <s v="(INACTIVE) Brooke Farms Rice Flour 500gmx20" u="1"/>
        <s v="CJF DELIUM 700-16 STEEL TECHNO" u="1"/>
        <s v="Pasto 5G x 60ib x 20pcs" u="1"/>
        <s v="ROADSHINE 275/70 R22.5 16PR RS607 (TUBELESS)" u="1"/>
        <s v="GARDENIA NEUBAKE CHOCO BREAD ROLL 150G" u="1"/>
        <s v="SELECT Cane Vinegar 48x200ml w/Spout" u="1"/>
        <s v="(INACTIVE) PROMO-3 CDO MEAT LOAF 150G" u="1"/>
        <s v="FEDERAL 205/55 ZR16 94W XL 595EVO" u="1"/>
        <s v="FROOTY TWIN POP 20'SX50 (725)" u="1"/>
        <s v="SALMON BELLY 1KG" u="1"/>
        <s v="(INACTIVE) CanOlein 1L x 12" u="1"/>
        <s v="Jellybee Tutti Fruitti Pink 12's x 20 pks (262)" u="1"/>
        <s v="Lotus Biscoff Spread Crunchy 380g" u="1"/>
        <s v="Jolly Claro Oil 2Lx6" u="1"/>
        <s v="GULF GEAR EP 90 12X1L" u="1"/>
        <s v="(INACTIVE) CDO LUNCHEON MEAT 24X350G" u="1"/>
        <s v="Good Life Egg Noodles 200gX30" u="1"/>
        <s v="(INACTIVE) Fiona Snow Breeze 100mlx24" u="1"/>
        <s v="Jackpot Lumpiang Shanghai Pork Flavor 820G" u="1"/>
        <s v="Arla Organic Powdered Milk Drink 4L Pack x12" u="1"/>
        <s v="SUPER Q - Kan Mian 200g x 48" u="1"/>
        <s v="BINGO MEAT LOAF 48X100G (NEW)" u="1"/>
        <s v="(INACTIVE) Foodcrafters Honeycured Bacon 250g" u="1"/>
        <s v="PROMO-JINLI KOJIC ACID SOAP 45G w/ KERATINX48" u="1"/>
        <s v="CARP SOY SAUCE 19KG CARBOUY" u="1"/>
        <s v="(INACTIVE) BINGO BEEF LOAF 48X150G" u="1"/>
        <s v="GOODTYRE S.12R20 GT268 MIX" u="1"/>
        <s v="(INACTIVE) WIN FL 1L+1FREE BBPW-LZ 55G 1:1 BY 12" u="1"/>
        <s v="(INACTIVE) PROMO-3 HIGHLANDS CORNED BEEF 150GX16" u="1"/>
        <s v="(INACTIVE) SPEED BLUE 380Gx3'S+FREE BLUE 160G (3:1) x12" u="1"/>
        <s v="Mama Pina's Palm Oil 2L x 6 BAS" u="1"/>
        <s v="Mama Pina's Pancit Canton 300g x 18" u="1"/>
        <s v="FEDERAL LT235/85 R16 120/116Q 10PR M/T" u="1"/>
        <s v="Pagoda Air Freshener Sberry" u="1"/>
        <s v="JOLLY HEARTMATE BIG PESO SAVINGS PACK" u="1"/>
        <s v="CDO SEA QUEST TUNA FLAKES HOT AND SPICY 180GX48" u="1"/>
        <s v="(INACTIVE) Foodcrafters Hotdog Super King 1.2K x 8" u="1"/>
        <s v="H &amp; Y Peach 300gx20 (109)" u="1"/>
        <s v="RAIMOL TRIBOFILM ADDITIVE (12X320mL)" u="1"/>
        <s v="PRESA 11R22.5 16PR RIB PR101" u="1"/>
        <s v="CLARO 1L W/ FREE CDO MEAT LOAF 100GX12" u="1"/>
        <s v="Old Orchard Cranberry Raspberry 64oz" u="1"/>
        <s v="Jolly Pineapple Tidbits 567g" u="1"/>
        <s v="Brew Rite Coffee Filter 46-041 Cone 40 ct" u="1"/>
        <s v="Mama Pina's Canolein Oil 2L x 6" u="1"/>
        <s v="Comstock Strawberry 21oz" u="1"/>
        <s v="FRIOO COOL CHEWY LEMON MINT 50'SX40 (128)" u="1"/>
        <s v="Jolly Canola Oil 5Lx4" u="1"/>
        <s v="(INACTIVE) CDO SEA QUEST TUNA FLAKES IN OIL 155GX48" u="1"/>
        <s v="PETLAS 205/55R16 VELOX SPORT PT741" u="1"/>
        <s v="GOTYRE S.650-14 PR8 D.MILER" u="1"/>
        <s v="DANES HERB N GARLIC MAYO 220G X 24" u="1"/>
        <s v="(INACTIVE) PROMO-CDO SEA QUEST TUNA AFRITADA 48X155G" u="1"/>
        <s v="iColor Hair Dye Shampoo 30ml Chestnut Brown 10'sx12" u="1"/>
        <s v="AGATE 10.00-R20 18PR HF702 MIX (SET)" u="1"/>
        <s v="Good Life Egg Noodles 400gX30" u="1"/>
        <s v="SAN MARINO TUNA FLAKES IN OIL 150GX48 (NEW)" u="1"/>
        <s v="(INACTIVE) Select Cane Vinegar 1L w/ Free SP 200ml 1:1" u="1"/>
        <s v="Jolly Pcs &amp; Stems Mushroom 400gX24" u="1"/>
        <s v="JK TIRES 11R-22.5 16PR HWY JUC MIX" u="1"/>
        <s v="SAN MARINO CORNED TUNA 48X85G" u="1"/>
        <s v="Jolly Tropical Cocktail 850gX24" u="1"/>
        <s v="Old Orchard Hbalance Apple Cranberry Juice 64oz" u="1"/>
        <s v="SQUID RINGS 1KG" u="1"/>
        <s v="Jar-Wax Hard &amp; Mat 25gx48" u="1"/>
        <s v="SPEED 2kg Kalamansi Powderx6(new)" u="1"/>
        <s v="CJF X3000 ISW40 6X3" u="1"/>
        <s v="(INACTIVE) PROMO-2SMCT100G+5SMCT150G+2SMCCT150+3HCB150G" u="1"/>
        <s v="(INACTIVE) Cricket Mini Doggie Series (50's/tray) (4-12165023)" u="1"/>
        <s v="(INACTIVE) iColor Gift Set Black 25mlx 6 with FREE pouch,bowl &amp; brush" u="1"/>
        <s v="(INACTIVE) WOBBLER-HIGHLANDS C.BEEF JASMINE C. SMITH" u="1"/>
        <s v="(INACTIVE) Fiona Rosy Red 25ml 6pcs w/ Free 1doz gel Sachet" u="1"/>
        <s v="H &amp; Y Jellystick Promo Box 100's (221)" u="1"/>
        <s v="(INACTIVE) DIAMOND P.D.WATER 24X500ML" u="1"/>
        <s v="GULF SUPER FLEET SUPREME 15W40 200L (DRUM)" u="1"/>
        <s v="CHOCQUIK'O CHOCO MALT TABLET 12'SX50 (1048)" u="1"/>
        <s v="GARDENIA TOASTIES 25G X 24PACKS" u="1"/>
        <s v="SPEED Diswashing Liquid - Lemon 288X22Ml" u="1"/>
        <s v="SPEED WHITE 360G+1FREE LALA LIQ.FC 30ML BY36" u="1"/>
        <s v="Alcoplus Isopropyl 70% Classic 500ml x 24" u="1"/>
        <s v="(INACTIVE) SHELF TALKER 1.5X8.5-CDO GENERIC" u="1"/>
        <s v="(INACTIVE) Jimm's 3 plus 1 Coffee Mix with Ginseng 12's" u="1"/>
        <s v="OTSO CHOCOLATE SANDWICH 10'SX20 (601)" u="1"/>
        <s v="OTSO ORANGE 10'SX20 (605)" u="1"/>
        <s v="AVIKO SHOESTRING 7MM FRIES 2.5KGX4" u="1"/>
        <s v="Mama Pina's Palm Oil 2L x 6 BWS" u="1"/>
        <s v="SUPER Q - Special Palabok 454g x 12" u="1"/>
        <s v="Family Absorbent Cotton 100g" u="1"/>
        <s v="GARDENIA INDOMIE MI GORENG 5 PACK" u="1"/>
        <s v="CANOLA 1L PET SAVE 10 IN SELECT GT" u="1"/>
        <s v="Cebu Longanisa(12pcs)230g x 36" u="1"/>
        <s v="MYBIDEL FRIES 1KGX10" u="1"/>
        <s v="Essen Mangosteen 500mg x 100s" u="1"/>
        <s v="LOTUS BISCOFF SPREAD CRUNCHY 190G" u="1"/>
        <s v="TENTAY 5+1 PATIS 150ML SULIT PACK" u="1"/>
        <s v="(INACTIVE) PROMO-3 CDO KN 100GX16" u="1"/>
        <s v="Fiona Cool Burst 50mlx36" u="1"/>
        <s v="GENKI PANTS XXLARGE 36'SX3" u="1"/>
        <s v="(INACTIVE) DANES BACON CHEESE 35G (7+1 PROMO) x18" u="1"/>
        <s v="DOLUX Bleach 12X1000Ml" u="1"/>
        <s v="Doña Elena Al Dente Fusilli 500g" u="1"/>
        <s v="Fiona Bubbly Pink 50ml Spray x36" u="1"/>
        <s v="CHOCQUIK 300GX32 (8082)" u="1"/>
        <s v="Jolly Gelatin Corn Packx12" u="1"/>
        <s v="Brew Rite Coffee Filter # 2 Cone 40 ct" u="1"/>
        <s v="MP PROMO#013 - 2 C227g + 1 B454g + 15 PCRK1g Save 30 Pesos (6's)" u="1"/>
        <s v="SAN MARINO CORNED TUNA AFRITADA 155GX48 (NEW)" u="1"/>
        <s v="Cricket Firepower Mini BL1 (22's/tray) (9-34010101)" u="1"/>
        <s v="Grips Wax - Hard &amp; shiny 5gx12x36" u="1"/>
        <s v="DRYPLUS B.DIAPER TRIAL PACK SML 4'Sx72" u="1"/>
        <s v="Nabati Vitakrim Peach Yoghurt 39gx60pcs" u="1"/>
        <s v="(INACTIVE) Foodcrafters Budget Pack Siomai (12pc)" u="1"/>
        <s v="INNOVATIVE 700-15 ITR222 RIB" u="1"/>
        <s v="DONA ELENA SPANISH SARDINES IN CORN OIL 228G" u="1"/>
        <s v="SPEED BBPW 2KGS+4FREE 55GMORE 150G 1:4" u="1"/>
        <s v="Arla Milk Goodness Strawberry 1Lx10" u="1"/>
        <s v="PETLAS 245/70 R16 EXPLERO A/S PT411" u="1"/>
        <s v="ALIBABA FISH CRACKER 35GX50'S" u="1"/>
        <s v="(INACTIVE) PRO-KN100+SMCT100+SMCCT100+ML100+LM150+BKN100" u="1"/>
        <s v="(INACTIVE) PROMO-KERATIN PLUS GOLD 20G 10+2" u="1"/>
        <s v="SPEED Babad 96X120G" u="1"/>
        <s v="DOLUX LEMON FRESH BLEACH 500ML X 12" u="1"/>
        <s v="DONA ELENA SPANISH SARDINES IN MILD SPICY OLIVE OIL 228G" u="1"/>
        <s v="(INACTIVE) DANES CHEESE SPREAD 24 X 220G" u="1"/>
        <s v="(INACTIVE) SFC 380G+1FREE BBPW-LZ 55g x 36" u="1"/>
        <s v="ARLA CHEESY SPREAD LIGHT 240G" u="1"/>
        <s v="KeratinPlus Shampoo Hair Fall Control 22ml x 12's" u="1"/>
        <s v="VFRESH WINTERCOOL JAR 100'SX12 (1988)" u="1"/>
        <s v="MYCOCO W/ COOKIE BITS 20'SX24 (912)" u="1"/>
        <s v="Dona Elena Pitted Black Olives 140g" u="1"/>
        <s v="WINROX Bleach - Fresh Flower 4X1Gallon" u="1"/>
        <s v="Ego Pudding Jellystick 12 x 30pks (998)" u="1"/>
        <s v="Pork Lumpiang Shanghai Negosyo Pack 800g x 8" u="1"/>
        <s v="ARLA CHEESY SPREAD CHEDDAR 240G" u="1"/>
        <s v="CJF SWALLOW 750-15 S253" u="1"/>
        <s v="XCEED S.12.00-20 PR18 D.XD-102A LUG TFF" u="1"/>
        <s v="(INACTIVE) 2 BINGO CORNED BEEF 100G+1 BINGO MEAT LOAF 100G" u="1"/>
        <s v="CDO CHICKEN LUNCHEON MEAT 350G X 24" u="1"/>
        <s v="(INACTIVE) Nanays Ham Pork Tocino 250g" u="1"/>
        <s v="SMCTR150GX3_SAVE P6.00 S&amp;M PROMO" u="1"/>
        <s v="Fiona Pretty Mist 50mlx36" u="1"/>
        <s v="(INACTIVE) Alco 60ml 5+1(5pcs Iso 60ml + Ethyl 60ml)" u="1"/>
        <s v="Pagoda Air Freshener Lime" u="1"/>
        <s v="(INACTIVE) SEA QUEST BANGUS W/TAU 48X155G" u="1"/>
        <s v="Empress Advance Keratin Stunning Straight (11+1)" u="1"/>
        <s v="Foodcrafters Burger Patties(8pcs)240g x 32" u="1"/>
        <s v="Fiona Cool Burst 25mlx36" u="1"/>
        <s v="TENTAY PATIS FLAVOR 1L PE" u="1"/>
        <s v="Langnese Bee Easy Wildflower Honey 500g" u="1"/>
        <s v="Dona Elena Extra Virgin Oil 250mlx12" u="1"/>
        <s v="Marinated Chicken Wings Spicy Garlic 1kg" u="1"/>
        <s v="Empress Shampoo Smooth &amp; Shinny 21ml x 12 x 24 pck" u="1"/>
        <s v="Alcoplus Ethyl 70% Classic 250ml x 48" u="1"/>
        <s v="(INACTIVE) SAN MARINO CHILI CORNED TUNA 48X180G" u="1"/>
        <s v="Promo-Deoplus Tawas Powder 50g 24+6 (Save 37.50)" u="1"/>
        <s v="(INACTIVE) Nanay's Skinless Longanisa 1kg x 10" u="1"/>
        <s v="(INACTIVE) CDO SEA QUEST TUNA FLAKES HOT AND SPICY 155GX48" u="1"/>
        <s v="(INACTIVE) Mama Pina's Bundle A" u="1"/>
        <s v="Bertolli Extra Virgin Olive Oil 250ml" u="1"/>
        <s v="(INACTIVE) Tipid Pack Speed White 135g+Pow FR 55g x 40" u="1"/>
        <s v="MP PROMO#009 - MP Pancit Canton 300g with Free T-shirt (18's)" u="1"/>
        <s v="Dona Elena Pitted Black Olives 310g" u="1"/>
        <s v="(INACTIVE) Nyam Nyam Jumbo Hotdog 500g" u="1"/>
        <s v="(INACTIVE) Grips Hair Clay 5gx6x36" u="1"/>
        <s v="MAMA PINA'S BUNDLE D (1B1C1P350) x6" u="1"/>
        <s v="SPEED 55g Babad Fresh Roses Powderx192" u="1"/>
        <s v="PROMO-ALCOPLUS ADVANCE SANITIZER 500ML W/ 40ML SPRAY" u="1"/>
        <s v="GOTYRE S.10.00-20 PR18 D.LUG" u="1"/>
        <s v="BUDGET KALAMANSI 360G DET BAR X 36" u="1"/>
        <s v="Mama Pina's Soya Oil 2L x 6" u="1"/>
        <s v="GOTYRE S.12.00-20 PR18 D.LUG" u="1"/>
        <s v="(INACTIVE) CDO CHINESE HAM 2.5KG" u="1"/>
        <s v="BUDGET Purple Blossom 380g Det.Barx36" u="1"/>
        <s v="HUE SPEND LESS FOR COMPLETE IC (DARK BROWN+ARGAN) 25ML" u="1"/>
        <s v="SOO-YOUNG KOJIC ACID SOAP 60G TRIOx48" u="1"/>
        <s v="SPEED 2KGS BABAD FC W/ POWER WHITENER POWDER FL x6 (new)" u="1"/>
        <s v="(INACTIVE) PROMO-2 CDO LUNCHEON MEAT 165G" u="1"/>
        <s v="Jolly Claro PET 2L w/free Jolly Claro PET 250ml" u="1"/>
        <s v="(INACTIVE) PROMO-4 CDO LUNCHEON MEAT 165G" u="1"/>
        <s v="CDO BINGO CORNED BEEF 48X150G" u="1"/>
        <s v="(INACTIVE) PROMO-KERATIN PLUS BLACK 20G 10+2" u="1"/>
        <s v="DEESTONE 7.50-15 D102 RIB 14PR" u="1"/>
        <s v="(INACTIVE) Cricket Mini Doggie Series (50's/tray) (4-12165019)" u="1"/>
        <s v="(INACTIVE) PROMO-2 CDO KN 150G+1 BARN CHICKEN BBQ" u="1"/>
        <s v="CJF AS403 BRAKE FLUID" u="1"/>
        <s v="SELECT Sukang Puti 4X1Gal" u="1"/>
        <s v="DAILYFIX NUTTY AND NICE TRAIL MIX 100G" u="1"/>
        <s v="SPEED 1kg Sunflower Burst Powderx12" u="1"/>
        <s v="(INACTIVE) Chibog Footlong Cheesedog 1kg x 12" u="1"/>
        <s v="(INACTIVE) SAN MARINO CHILI CORNED TUNA 48X150G 1" u="1"/>
        <s v="(INACTIVE) HIGHLANDS CORNED BEEF EASY-OPEN 48X150G" u="1"/>
        <s v="GULF TEC PLUS 10W40 SEMI SYNT." u="1"/>
        <s v="(INACTIVE) SAN MARINO CHILI CORNED TUNA 48X150G 2" u="1"/>
        <s v="Family Absorbent Cotton 50g" u="1"/>
        <s v="Jimm's 5 in 1 Coffee Mix - Stand Up Pouch 400g x 24" u="1"/>
        <s v="CASUMINA 825-16 18PR CA405C-RIB SET" u="1"/>
        <s v="Catelli Lasagne 500g" u="1"/>
        <s v="(INACTIVE) SPEED 55GMORE BLUE 150G X5'S+1 FREE 5:1" u="1"/>
        <s v="(INACTIVE) Promo-Fiona Col. Raspberry 100ml Free Jinlikojic Soap" u="1"/>
        <s v="GOOD LIFE EGG NOODLES 1KG 2" u="1"/>
        <s v="H &amp; Y Lychee Conjac Jelly 160gx20 (101B)" u="1"/>
        <s v="GARDENIA DOUBLE DELIGHTS (UBE &amp; CHEESE) 400g" u="1"/>
        <s v="(INACTIVE) BINGO SAUCY ULAM - MECHADO 48X155G" u="1"/>
        <s v="SPEED DAGDAG BLUE 145G BAR X 96" u="1"/>
        <s v="DANES CHEESE SWEET AND CREAMY 165Gx24" u="1"/>
        <s v="Dona Elena Olive Oil Pomace 500mlx12" u="1"/>
        <s v="(INACTIVE) Tipid Pack Speed FC 135g+Pow FR 55g" u="1"/>
        <s v="BUENAS PURPLE YAM 24x12oz" u="1"/>
        <s v="Speed 1kg Babad FC w/ Power Whitener Powder FL x 12" u="1"/>
        <s v="(INACTIVE) SAN MARINO CORNED TUNA AFRITADA 155GX48" u="1"/>
        <s v="(INACTIVE) PROMO-5 BINGO KN100G + 5 BINGO ML 100G" u="1"/>
        <s v="(INACTIVE) PROMO-4 KN100G+2 KN AFR100G+2 KN CAL100G+4 KN150G" u="1"/>
        <s v="(INACTIVE) PROMO-3 CDO MEAT LOAF 100G AP" u="1"/>
        <s v="SPEED 2kg Babad Fresh Roses Powderx6" u="1"/>
        <s v="Jolly Pcs &amp; Stems Mushroom 850gx24" u="1"/>
        <s v="CDO CORNED BEEF HOME STYLE 260GX48" u="1"/>
        <s v="GOODTYRE S.11.00R22.5 PR16 GT328 M.LUG" u="1"/>
        <s v="(INACTIVE) SPEED BBSB 2kgs+Free HAMPER" u="1"/>
        <s v="(INACTIVE) SEA QUEST TUNA HOT &amp; SPICY 48X155G (E.O)" u="1"/>
        <s v="Doña Elena 100% Tuna Chunks in Sunflower Oil, 185g" u="1"/>
        <s v="FEDERAL 175/65 R14 82H FORMOZA GIO" u="1"/>
        <s v="(INACTIVE) CDO CHRISTMAS PEAR-SHAPED HAM 800G" u="1"/>
        <s v="Morinji 500mg x 100s" u="1"/>
        <s v="Family Dishwashing Liquid Lemon 1L" u="1"/>
        <s v="(INACTIVE) Mama Pina's Bundle B" u="1"/>
        <s v="CDO CHICKEN MEAT LOAF 150G X 48" u="1"/>
        <s v="Pagoda Pure Acetone 15ml" u="1"/>
        <s v="CIOCO MARIE 30'SX12 (645)" u="1"/>
        <s v="DON FRANK STRAWBERRY GUMALAN 24GX10'SX24" u="1"/>
        <s v="(INACTIVE) WIN FF 1L+1FREE BBPW-LZ 55G 1:1 BY 12" u="1"/>
        <s v="Cricket Orig Blister Pack 2s (12's/tray) (ED-1 Original)" u="1"/>
        <s v="(INACTIVE) Select Soy Sauce 1/2gal w/ Free SP 200ml 1:1" u="1"/>
        <s v="Brooke Farm Whole Kernel Corn 425g x 24" u="1"/>
        <s v="GULF GEAR EP140 20L" u="1"/>
        <s v="Mama Pina`s Boneless Bangus Singles XL(1)" u="1"/>
        <s v="KAPSEN 12.00R20 20PR MINING LUG HS801Q" u="1"/>
        <s v="(INACTIVE) PROMO-2 CDO LUNCHEON MEAT 350G" u="1"/>
        <s v="(INACTIVE) PROMO-3 CDO LUNCHEON MEAT 350G" u="1"/>
        <s v="(INACTIVE) Alcoplus Ethyl 60ml (6pcs + 1doz Hard&amp;Mat 5g)" u="1"/>
        <s v="HIGHLANDS CORNED BEEF GOLD 260GX48" u="1"/>
        <s v="Family Cotton Balls 50`s" u="1"/>
        <s v="GENKI PANTS LARGE 50'SX3" u="1"/>
        <s v="DAILYFIX STRAWBERRY &amp; YOGURT 350G 2" u="1"/>
        <s v="DON FRANK ORANGE GULAMAN 24GX10'SX24" u="1"/>
        <s v="ARLA CHEESY SPREAD 140G" u="1"/>
        <s v="RESTOBAR PLASTIC SPOON 25'Sx50" u="1"/>
        <s v="SPEED BBFR-LZ 55Gx6'S+1FREE LALA LIQ. FC 30MLx32" u="1"/>
        <s v="(INACTIVE) BUDGET PB 65G X 6'S+1 FREE BDGT SF 120G" u="1"/>
        <s v="Chibog Jumbo Cheesedog 1kg x 10" u="1"/>
        <s v="(INACTIVE) BINGO SAUCY ULAM - ADOBO 48X155G" u="1"/>
        <s v="(INACTIVE) Mama Pina's Bihon 454g x 12" u="1"/>
        <s v="DONA ELENA 100% TUNA SHREDDED IN SUN FLOWER OIL 100G" u="1"/>
        <s v="WOOF N TAIL TENDER BEEF 400G" u="1"/>
        <s v="ATLANTIC GEAR OIL EP SAE 90 GL-4 (JUG)" u="1"/>
        <s v="Crumpy Breadspread Nut 225g" u="1"/>
        <s v="Wilderness Royal Blueberry 21oz" u="1"/>
        <s v="(INACTIVE) CDO CORNED BEEF 48X150G" u="1"/>
        <s v="Jolly Canola Oil 1Lx12" u="1"/>
        <s v="(INACTIVE) CDO BINGO CORNED BEEF 150GX48" u="1"/>
        <s v="Motts 100% Apple Juice 64 oz." u="1"/>
        <s v="(INACTIVE) PROMO-2 KN 150G + FREE BARN CURRY OR BBQ 150G" u="1"/>
        <s v="MEGA 700-16 TR177A TUBE" u="1"/>
        <s v="(INACTIVE) HIGHLANDS CORNED BEEF 48X100G" u="1"/>
        <s v="DEESTONE 185/65R15 NAKARA R201 88H" u="1"/>
        <s v="(INACTIVE) PROMO-PACK 1 SQTUNA AFRITADA 155G" u="1"/>
        <s v="(INACTIVE) CDO AMERICAN HAM 500G" u="1"/>
        <s v="SUNNY FARMS FROZEN FRENCH FRIES 2.5KGX5" u="1"/>
        <s v="CJF BATTERY 4D CHAMPION" u="1"/>
        <s v="SPEED CUT BAR KALAMANSI 6+1" u="1"/>
        <s v="1 Dona Elena Extra Virgin 500ml + 1 Pure 250ml" u="1"/>
        <s v="PRESA 185/65 R14 PS01" u="1"/>
        <s v="(INACTIVE) Tipid Pack Speed Kal 135g+Pow Kal 55g" u="1"/>
        <s v="iColor Gift Set Light Brown 30ml x 5 with FREE pouch,bowl &amp; brush" u="1"/>
        <s v="SOO-YOUNG KOJIC ACID SOAP 90G TRIOx48" u="1"/>
        <s v="MAY SPARKLING RED+WHITE SAVE 40" u="1"/>
        <s v="BUENAS KAONG GREEN 24x360g" u="1"/>
        <s v="CDO KARNE NORTE 60GX24 (6's) N" u="1"/>
        <s v="Dryplus MOM&amp;BABY PROMO PACK XXL 16+8 PADS" u="1"/>
        <s v="(INACTIVE) SPEED SB x3's less 5pesos" u="1"/>
        <s v="(INACTIVE) 6 KARNE NORTE 60GX4" u="1"/>
        <s v="SALMON HEAD 1KG (L)" u="1"/>
        <s v="SALMON HEAD 1KG (M)" u="1"/>
        <s v="BUDGET BAR FABCON 120G (6+1)" u="1"/>
        <s v="(INACTIVE) Speed BBFR 55gx5's+1FREE 5:1" u="1"/>
        <s v="MEGA 640/650-13 6PR MX882 SET" u="1"/>
        <s v="DOLUX LEMON FRESH BLEACH 250ML X 12" u="1"/>
        <s v="Fiona Ice Glacier 50ml Spray x36" u="1"/>
        <s v="(INACTIVE) SPEED FC x3's less 5pesos" u="1"/>
        <s v="Jolly Garbanzos 425gx24" u="1"/>
        <s v="JOLLY CLARO SUP 1L" u="1"/>
        <s v="SAN MARINO CORNED TUNA ADOBO 155GX48 (NEW)" u="1"/>
        <s v="MEGA 16N 7.00 / 7.50 / 8.25 - 16 FLAP" u="1"/>
        <s v="(INACTIVE) DANES CLASSIC CHEESE BLOCK 24X180G - OLD" u="1"/>
        <s v="Chicken Lumpiang Shanghai 800g x 8" u="1"/>
        <s v="(INACTIVE) Mama Pina's Bundle C" u="1"/>
        <s v="MAXXIS 315-80 R22.5 18PR UL387" u="1"/>
        <s v="(INACTIVE) PROMO-KERATIN PLUS LUXURIOUS RED 20G 10+2" u="1"/>
        <s v="SPEED Diswashing Liquid - Lemon 36X190Ml" u="1"/>
        <s v="(INACTIVE) PROMO-2 MAMA PINA'S PALM OIL 500ML FREE ALIBABA BISCUITS" u="1"/>
        <s v="CARP SUKANG SASA 1L PET" u="1"/>
        <s v="BUDGET BAR KALAMANSI 120g (6+1)" u="1"/>
        <s v="Bon Bon Baby Oil Lightly Unscented 30mlx72" u="1"/>
        <s v="SELECT Cane Vinegar 144x60ml" u="1"/>
        <s v="(INACTIVE) MEN2 CORP - DELIVERY RECEIPT" u="1"/>
        <s v="(INACTIVE) SM PREM. MACKEREL IN NATURAL OIL 165GX100 (EO)" u="1"/>
        <s v="SWEET NATA DE COCO (RED) 24X12OZX340G" u="1"/>
        <s v="(INACTIVE) CDO NATA DE COCO WHITE 340G X24(SUP)" u="1"/>
        <s v="(INACTIVE) HIGHLANDS CORNED BEEF 48X150G" u="1"/>
        <s v="(INACTIVE) PROMO-SSS SAVINGS 3 KN150GX9 SMTUNA150GX3" u="1"/>
        <s v="Bragg Apple Cider Vinegar 32ozx12" u="1"/>
        <s v="2CDOHSCB150G+1CDOHSCG150G-GANADOPROMO" u="1"/>
        <s v="FEDERAL 185/70 R14 88T SS-657" u="1"/>
        <s v="WINROX Bleach - Fresh Flower 48X250Ml" u="1"/>
        <s v="FEDERAL 155 R12C 88/86P 8PR ECOVAN (CN)" u="1"/>
        <s v="MYSNAK CHEWY PEANUT NOUGAT (MINI) 20'SX40 (736)" u="1"/>
        <s v="DEESTONE 7.50-16 D102 RIB 14PR" u="1"/>
        <s v="DONA ELENA CLASSIC GREEN PESTOSAUCE 190G" u="1"/>
        <s v="Arla Organic Powdered Milk Drink 2L Pack x24" u="1"/>
        <s v="GARDENIA ROCKY ROAD CREAM ROLL 50G" u="1"/>
        <s v="(INACTIVE) 2 CDO KARNE NORTE 260G W/FREE 20 TEXTS" u="1"/>
        <s v="POTCHI GUMMY WORM JAR 120'SX12 (749)" u="1"/>
        <s v="KeratinPlus Black Tube 200g x 24 pcs" u="1"/>
        <s v="H &amp; Y Mango Pudding 160gx40 (117A)" u="1"/>
        <s v="H &amp; Y Taro Ube Conjac Jelly 160gx20 (105B)" u="1"/>
        <s v="GULF XHD 40 PLUS 12X1L" u="1"/>
        <s v="SAN MARINO TUNA FLAKES HOT &amp; SPICY 150GX48 (NEW)" u="1"/>
        <s v="Jolly Coconut Milk 400ml" u="1"/>
        <s v="Dona Elena Whole Peeled Canned Tomato 400g" u="1"/>
        <s v="Fiona Cool Burst 100mlx24" u="1"/>
        <s v="BIGTIME CHEESE 450GX12" u="1"/>
        <s v="GOTYRE S.11.00-20 PR 20 DYB310 M.LUG" u="1"/>
        <s v="(INACTIVE) MAMA PINA'S PALM OIL 1L W/ FREE 1 PC SELECT SOY 200ML" u="1"/>
        <s v="(INACTIVE) HIGHLANDS CORNED BEEF 48X180G" u="1"/>
        <s v="Negosyo Pack Siomai 500g All Chicken x 20" u="1"/>
        <s v="Jimm's 5 in 1 Coffee Mix - No Sugar Added 10'sx30ties" u="1"/>
        <s v="(INACTIVE) Fiona 25mlFt 5+1(5pcs 25ml w/Free 1pc Ethy60ml)" u="1"/>
        <s v="SELECT Soy Sauce 48X200Ml with Spout" u="1"/>
        <s v="(INACTIVE) Yumbites Classic Hotdog 480g" u="1"/>
        <s v="Richoco Big Rolls 330gx6pcs" u="1"/>
        <s v="SPEED 2KGS BABAD FRESH ROSES POWEDER FL x6" u="1"/>
        <s v="(INACTIVE) CDO KARNE NORTE CLASSIC 48X175G" u="1"/>
        <s v="Jolly Soya Oil 2Lx6" u="1"/>
        <s v="MONAMI STRAWBERRY &amp; CREAM 50+3'SX40 (965)" u="1"/>
        <s v="DON FRANK MELON JELLY 30GX10'SX24" u="1"/>
        <s v="LPG BURNER WITH HOSE CLIP" u="1"/>
        <s v="(INACTIVE) PROMO-2 KN 150G+1 KN AFR 150G+1 KN CAL 150G X 12" u="1"/>
        <s v="DEESTONE 7.50 R16LT SV402 RIB 14PR 122/121L" u="1"/>
        <s v="Select 1L Partner Pack3(Soy&amp;Vin) x6" u="1"/>
        <s v="(INACTIVE) DANES CHEESE BLOCK 2.000 Kg" u="1"/>
        <s v="LPG 11KG POL BORROWED TANK (SOL)" u="1"/>
        <s v="SPEED 90G BABAD FC W/ POWER WHITENER POWDER FL x96" u="1"/>
        <s v="(INACTIVE) PROMO-2 HIGHLANDS CORNED BEEF 180GX24" u="1"/>
        <s v="BUDGET Detergent Bar - White 36X390G" u="1"/>
        <s v="Mama Pina's Palm Oil 16KG BTC" u="1"/>
        <s v="Jolly Garbanzos 225gx24" u="1"/>
        <s v="Promo - Deoplus Deodorant Powder 80g w/ Free Puff" u="1"/>
        <s v="GOTYRE S.750-16 PR14 D.LUG" u="1"/>
        <s v="19L Carboy Select Sukang Puti x 1" u="1"/>
        <s v="SPEED BABAD FRESH ROSES 2KG + 2FREE" u="1"/>
        <s v="H &amp; Y Cola Mini Candy 24's x 40 pks (619)" u="1"/>
        <s v="(INACTIVE) Delizioso Ham 1kg" u="1"/>
        <s v="OX TONGUE 1KG" u="1"/>
        <s v="CDO VIENNA SAUSAGE CLASSIC 48X70G (NEW)" u="1"/>
        <s v="SWEET KAONG (WHITE) 24X12OZX340G" u="1"/>
        <s v="Protec Disinfectant Spray - Fresh Citrus 250mlx12 w/ Alcohol" u="1"/>
        <s v="CREAM DORY (SEMI-TRIMMED) 1KG" u="1"/>
        <s v="(INACTIVE) Foodcrafters Longanisa 240g" u="1"/>
        <s v="GOTYRE S.900-20 PR16 LUG" u="1"/>
        <s v="Mama Pina's Palm Oil 17KG BTC" u="1"/>
        <s v="H &amp; Y Sofee Assorted Jelly Strips 24's x 26 packs (233)" u="1"/>
        <s v="(INACTIVE) PROMO-CDO KARNE NORTE 150G FREE 1 BINGO CB 60G" u="1"/>
        <s v="(INACTIVE) DANES CHEESE 35G (7+1 PROMO) x18" u="1"/>
        <s v="Arla Organic Powdered Milk Drink 6L Pack" u="1"/>
        <s v="(INACTIVE) CDO KARNE NORTE SULIT PACK 24X60G" u="1"/>
        <s v="GLADLY BATHROOM TISSUE 300+10 PULLS FREE 6'Sx16" u="1"/>
        <s v="SPEED Detergent Bar - Blue 36X380G" u="1"/>
        <s v="DRYPLUS B.DIAPER ECONO PACK M 30'S+4x8" u="1"/>
        <s v="TRAVELER ADULT DIAPER M-L 2'Sx60" u="1"/>
        <s v="Promo - Grips Gel Clear60g3+2 (Save P8.70)" u="1"/>
        <s v="(INACTIVE) SPEED Specked Blue 380g+35g Babad w/FC Free(1:1)" u="1"/>
        <s v="DAILYFIX BERRY SPECIAL 700G" u="1"/>
        <s v="(INACTIVE) PROMO-2 MAMA PINA'S PALM OIL 1L FREE ALIBABA BISCUITS" u="1"/>
        <s v="FEDERAL 265/65 R17 113S" u="1"/>
        <s v="BUDGET FABCON 360G DET BAR X 36" u="1"/>
        <s v="(INACTIVE) PROMO-4 MAMA PINA'S PALM OIL 350ML FREE ALIBABA BISCUITS" u="1"/>
        <s v="JOLLY Cherry Milk Baby Bath 18ml x 288" u="1"/>
        <s v="HIGHLANDS CORNED BEEF REGULAR 150GX48" u="1"/>
        <s v="JCOM RECIPE BUNDLE BURGER SAVE P5" u="1"/>
        <s v="Jolly Heart Mate Canola Oil SUP 2L" u="1"/>
        <s v="GOODTYRE S.10.00R20 PR18 D.Y8268 MIX TTF SET" u="1"/>
        <s v="Alcoplus Isopropyl 70% Classic 150ml x 48" u="1"/>
        <s v="Family Dishwashing Liquid Lemon 1.5L" u="1"/>
        <s v="(INACTIVE) 1 SM CT 150G+1 SM CCT 150G+1 FREE KN 60G" u="1"/>
        <s v="DAILYFIX STRAWBERRY &amp; YOGURT 700G" u="1"/>
        <s v="(INACTIVE) CDO BINGO TUNA AFRITADA 155GX48" u="1"/>
        <s v="WINROX Bleach - Elegant Breeze 72X100Ml" u="1"/>
        <s v="LANGNESE GOLDEN CLEAR HONEY 125G" u="1"/>
        <s v="Mama Pina's Pancit Canton 227g x 18" u="1"/>
        <s v="Alcoplus HandSanitizer Gel w/ Moist. 60mlx36" u="1"/>
        <s v="(INACTIVE) CDO KN CLASSIC PACK 60GX24 (SINGLE)" u="1"/>
        <s v="(INACTIVE) PROMO-2 PCS BIGTIME NEGOSYO CHEESE 165G FREE 1 CBEEF 60G" u="1"/>
        <s v="ARLA MILK GOODNESS SKIMMED 1L B2S40" u="1"/>
        <s v="WINROX Bleach - Fresh Flower 72X100Ml" u="1"/>
        <s v="Good Life Oyster Sauce 630 ml" u="1"/>
        <s v="(INACTIVE) Yumbites Classic Hotdog 230g" u="1"/>
        <s v="(INACTIVE) 1 DANES BACON CHEESE 180GX24" u="1"/>
        <s v="(INACTIVE) PROMO-KERATIN PLUS SH DAILY NOURISHING 22ML 10+2" u="1"/>
        <s v="VFRESH WINTERCOOL BIG PACK 250'SX10 (773)" u="1"/>
        <s v="(INACTIVE) SAN MARINO CHILI CORNED TUNA 100G - PROMO" u="1"/>
        <s v="DEESTONE 12.00-20 LUG" u="1"/>
        <s v="Frozen Trio Pack (LumShang+SknLonga+ChickEmb)" u="1"/>
        <s v="CASUMINA 11R22.5 18PR GS611 RIB TL" u="1"/>
        <s v="PRESA 10.00-20 16PR P276 SET" u="1"/>
        <s v="(INACTIVE) GENERIC - DELIVERY RECEIPT" u="1"/>
        <s v="Speed Dagdag SB 150g x 6's + 1FREE by 16" u="1"/>
        <s v="Jimm's Grandee Brown Coffee Mix 10's x 30 ties" u="1"/>
        <s v="(INACTIVE) KeratinPlus Black 20g x 12's x 24 Pack w/ Iso 40% 60ml" u="1"/>
        <s v="FRENCH FRIES (MYDIBEL) 1KG X 10" u="1"/>
        <s v="Old Orchard Cranberry Juice 64oz." u="1"/>
        <s v="(INACTIVE) CDO PEAR-SHAPED HAM 800G" u="1"/>
        <s v="DONA ELENA SPANISH SARDINES IN MILD SPICY CORN OIL 228G" u="1"/>
        <s v="Old Orchard Ruby Red Grapefruit 64oz" u="1"/>
        <s v="(INACTIVE) PROMO-2 HIGHLANDS CORNED BEEF 180G" u="1"/>
        <s v="LOTUS BISCOFF SPREAD SMOOTH 400G" u="1"/>
        <s v="SPEED KALAMANSI 360G DET. BAR X 36" u="1"/>
        <s v="BUDGET Citrus Scent 380g Det.Barx36" u="1"/>
        <s v="GOTYRE S.825-16 PR14 D.LUG" u="1"/>
        <s v="SPEED 55G MORE FABCON 150G BARX96" u="1"/>
        <s v="ODYKING 11R22.5 16PR MIX OD901" u="1"/>
        <s v="BUENAS NATA RED 12x32oz" u="1"/>
        <s v="Alcoplus Ethyl 70% Alcohol 1 Gallon x 4" u="1"/>
        <s v="RAIMOL MEGA GOLD 5W40 SM/CJ4 (6X4)" u="1"/>
        <s v="TENTAY 1L PATIS FLVR W/2 MGCSARAP 8G FREE" u="1"/>
        <s v="Jolly Pineapple Chunks 225gx24" u="1"/>
        <s v="HIGHLANDS CORNED BEEF GOLD 320GX24" u="1"/>
        <s v="HAPPY DAY PINK GUAVA 1L" u="1"/>
        <s v="(INACTIVE) CDO HOLIDAY WHOLE-MEAT HAM EXACT 1KG" u="1"/>
        <s v="(INACTIVE) Mine Hazelnut Choco Bar 20g" u="1"/>
        <s v="MEN2 CREAM DORY 1KG (8256503052370)" u="1"/>
        <s v="Nextar Strawberry 34G x 8ib x 10pcs" u="1"/>
        <s v="GOODTYRE S.11.00R22.5 PR16 D.GT268 MIX" u="1"/>
        <s v="(INACTIVE) Nanay's Pork Tapa Garlic &amp; Pepper 1kg x 10" u="1"/>
        <s v="CJF 8.25-20 RIB 14PR D MASTER" u="1"/>
        <s v="ATLANTIC GEO 20W-50 API SN (12X1L)" u="1"/>
        <s v="MYBIDA COMBO MIX 10'SX20 (657)" u="1"/>
        <s v="CDO VIENNA SAUSAGE CLASSIC 48X114G" u="1"/>
        <s v="OBERON G53 5KG" u="1"/>
        <s v="Fiona Sweet Breeze 100x24" u="1"/>
        <s v="(INACTIVE) GARDENIA NEUBAKE SPANISH BREAD PRICE OFF" u="1"/>
        <s v="XCEED S.10.00-20 PR18 D.XD 101C LUG TTF" u="1"/>
        <s v="(INACTIVE) MEN2 SOL - SALES INVOICE" u="1"/>
        <s v="Crumpy Breadspread Duo 225g" u="1"/>
        <s v="Richeese Wafer 22g x 20ib x 10pcs" u="1"/>
        <s v="(INACTIVE) HIGHLANDS CB 180G PROMO PACK X 2" u="1"/>
        <s v="WISHBONE CHUNKY BLUE CHEESE DRESSING 15OZ" u="1"/>
        <s v="Richoco Wafer MLBB 48gx60pcs" u="1"/>
        <s v="MOTT's 100% APPLE JUICE 11.5oz (340ml)" u="1"/>
        <s v="DON FRANK CHOCOLATE JELLY 30GX10'SX24" u="1"/>
        <s v="Jolly Claro Palm Oil 500ml SUP" u="1"/>
        <s v="(INACTIVE) PROMO-SSS SAVINGS 2 KNX7 SMX2 MLX3" u="1"/>
        <s v="(INACTIVE) CDO KARNE NORTE CLASSIC 48X150G" u="1"/>
        <s v="GENKI TAPE MEDIUM 75'SX3" u="1"/>
        <s v="Fiona Sweet Breeze 25mlx36" u="1"/>
        <s v="Langnese Golden Clear Honey 125g 2" u="1"/>
        <s v="2PCS JOLLY WHOLE MUSHROOM 400G SAVE P7" u="1"/>
        <s v="(INACTIVE) PROMO-3 CDO LIVER SPREAD 85GX16" u="1"/>
        <s v="H &amp; Y Sofee Assorted Jelly 100's x 6 pks (265)" u="1"/>
        <s v="Chicken Lumpiang Shanghai 400g x 18" u="1"/>
        <s v="GOTYRE S.750-15 PR14 D.MILER" u="1"/>
        <s v="Promo-Alcoplus 60ml 6+2 (free Keratinplus Gold)" u="1"/>
        <s v="BUENAS MACAPUNO STRING 24x12oz" u="1"/>
        <s v="Jimm's Oil Liniment 30ml x 100 Bot" u="1"/>
        <s v="MADE FOR YOU MIX&amp;MATCH IC (C.NUT BROWN+WILDCHERRY) 25ML" u="1"/>
        <s v="GOTYRE S.750-16 PR14 D.MILER" u="1"/>
        <s v="(INACTIVE) SAN MARINO TUNA SPREAD 48X85G (EO)" u="1"/>
        <s v="(INACTIVE) 2 SM CT 180G+2 SM CCT 180G+1 FREE KN CHUNKY 150G" u="1"/>
        <s v="Jolly Tomato Paste 150g" u="1"/>
        <s v="SPEED POWDER KALAMANSI 55G 6+1" u="1"/>
        <s v="(INACTIVE) SELECT SOY SAUCE 350ML PET X5'S + 1FREE 5:1" u="1"/>
        <s v="ROADSHINE 11R22.5 16PR RS617 MINING LUG (TUBELESS)" u="1"/>
        <s v="Jolly Real Mayonnaise 443.60ml x12" u="1"/>
        <s v="DURACELL EVERYDAY ALKALINE HBDCAAA10" u="1"/>
        <s v="DailyFix Berry Special 350g" u="1"/>
        <s v="(INACTIVE) 10+2 DANES CHEESE 35G" u="1"/>
        <s v="(INACTIVE) GARDENIA CLUSTERED CHEESE BUNS PLUS BEAR BRAND" u="1"/>
        <s v="GOODTYRE S.12.00R20 PR18 D.GT228 LUG TTF" u="1"/>
        <s v="GUMBALLS 50'SX40 (816)" u="1"/>
        <s v="(INACTIVE) SPEED BBFR 1kg Get 1kg BBFR@30%off" u="1"/>
        <s v="SWEET NATA DE COCO (WHT) 12X24OZX680G" u="1"/>
        <s v="Foodcrafters Hotdog Classic(32pcs)1kg" u="1"/>
        <s v="(INACTIVE) 2 BINGO CORNED BEEF 150G+1 BINGO MEAT LOAF 150G" u="1"/>
        <s v="BUENAS KAONG WHITE 24x8oz" u="1"/>
        <s v="(INACTIVE) SPEED KAL x3's less 5pesos" u="1"/>
        <s v="2Jolly Cow Condensada 390g w/free 1Pc Gulaman" u="1"/>
        <s v="(INACTIVE) KeratinPlus Gold 20g x 24 packs 11 + 1 promo" u="1"/>
        <s v="Fiona Rosy Red 50mlx36 Spray" u="1"/>
        <s v="GOODTYRE S.11.00R20 PR18 D.YB228 LUG" u="1"/>
        <s v="TENTAY 1L PATIS FLVR W/1 SINIGANG MIX 12G F" u="1"/>
        <s v="Mama Pina`s Boneless Bangus Triplets M(3)" u="1"/>
        <s v="XM JOLLY WHOLE  MUSHROOMS 198G" u="1"/>
        <s v="DEESTONE 195R14C KACHA R101 8PR 106/104P" u="1"/>
        <s v="(INACTIVE) PROMO-2 MAMA PINA'S PALM OIL 500ML" u="1"/>
        <s v="POWERTUBE 7.00/7.50-16 MADE IN KOREA" u="1"/>
        <s v="(INACTIVE) 6 BINGO CBEEF 150G FREE 1 BINGO CB 60G" u="1"/>
        <s v="(INACTIVE) MAMA PINA'S OIL 500ML W/ SOYA" u="1"/>
        <s v="Family Rubbing Alcohol 70% w/ Tie Up 473ml" u="1"/>
        <s v="MP PROMO#006 - 1 Canolein Oil with FREE Bigtime Cheese (12's)" u="1"/>
        <s v="FEDERAL P265/70 R17 115S A/T" u="1"/>
        <s v="(INACTIVE) CDO CHICKEN VIENNA LOAF 48X150G" u="1"/>
        <s v="Foodcrafters Hotdog Queen Size 1kg x 10" u="1"/>
        <s v="Mama Pina's Palm Oil 2L x 6 FD3" u="1"/>
        <s v="(INACTIVE) SM PREM. TAWILIS IN CORN OIL 85GX48 (EO)" u="1"/>
        <s v="JUMBO FRUIT JAR 120'SX12 (979)" u="1"/>
        <s v="H &amp; Y Yogurt Long Stick 280g x 40 packs (395)" u="1"/>
        <s v="JACKPOT LUMPIANG SHANGHAI 220g x 32 PORK" u="1"/>
        <s v="(INACTIVE) SM PREM. TAWILIS IN CORN OIL 220GX24" u="1"/>
        <s v="ARLA CHEESY SPREAD 240G" u="1"/>
        <s v="(INACTIVE) ALCOPLUS ISOP 60mlx36 5+1" u="1"/>
        <s v="SPEED Babad 288X35G" u="1"/>
        <s v="DANES CLASSIC CHEESE BLOCK 12X450G" u="1"/>
        <s v="(INACTIVE) Nanays Beef Tapa Sweet &amp; Spicy 230g" u="1"/>
        <s v="DON FRANK YELLOW GULAMAN 24GX10'SX24" u="1"/>
        <s v="Jimm's Herbal Capsule - Food Supplement 500mg" u="1"/>
        <s v="H &amp; Y Assorted 160gx40 (111A)" u="1"/>
        <s v="Family Aloegel 100ml" u="1"/>
        <s v="MP BUNDLE - 2 Canton 227g + 1 Bihon 454g Save 20 Pesos (6's)" u="1"/>
        <s v="FEDERAL P235/75 R15 106S A/T" u="1"/>
        <s v="(INACTIVE) SPEED 1kg Kalamansi Powder w/2Pcs White 160(1:2)x12" u="1"/>
        <s v="SPEED Powder - High Impact 192X50G" u="1"/>
        <s v="Family Rubbing Alcohol 70% 60ml" u="1"/>
        <s v="(INACTIVE) CDO JAMON DE BOLA 1KG" u="1"/>
        <s v="Jolly Cow Chocolate Milk 1L" u="1"/>
        <s v="Family Rubbing Alcohol 70% 180ml" u="1"/>
        <s v="(INACTIVE) CDO BEEF LOAF 150GX4 - SAVING BUNDLE" u="1"/>
        <s v="Mama Pina`s Boneless Tinapa Singles XL(1)" u="1"/>
        <s v="Pink Lava Wafer MLBB 48gx60pcs" u="1"/>
        <s v="Ego V-Roll Candy Strawberry Flavor 24's x 40 pks (360)" u="1"/>
        <s v="FRUTOS DOUBLICIOUS 50'SX40 (878)" u="1"/>
        <s v="PETLAS 245/45ZR17 VELOX SPORT PT711 RF" u="1"/>
        <s v="SWEET NATA DE COCO (RED) 12X24OZX680G" u="1"/>
        <s v="EPI PROMO - Richoco Cholocate Wafer 48G 9+1" u="1"/>
        <s v="BUDGET BAR WHITE 120g (6+1)" u="1"/>
        <s v="CARP SOY SAUCE 100ML SUP" u="1"/>
        <s v="FEDERAL 215/70 R15 98T SS-657" u="1"/>
        <s v="Richoco Chocolate Cream Wafer 39gx60pcs" u="1"/>
        <s v="BIGTIME CHEESE 165 FREE 15G PROMO X 24" u="1"/>
        <s v="(INACTIVE) PROMO-CDO LM 350GX2" u="1"/>
        <s v="Chibog Jumbo Cheesedog 500g x 22" u="1"/>
        <s v="(INACTIVE) SEA QUEST BANGUS SPNSH STE 48X155G (Canned)" u="1"/>
        <s v="Sofee Gulaman Powder Mix - Black (unflavored) 15gx10sctx10DB (802)" u="1"/>
        <s v="JOLLY COW LOW FAT MILK 1L" u="1"/>
        <s v="Chibog Chicken Franks 1kg x 10" u="1"/>
        <s v="Welch Fiber 100% Grape Juice 64oz" u="1"/>
        <s v="GOTYRE S.825-16 PR14 D.MILER" u="1"/>
        <s v="(INACTIVE) DIAMOND P.D. WATER 48X240ML" u="1"/>
        <s v="(INACTIVE) BANNER-DANES CHEESE SPREAD (W-2FT X H-4FT)" u="1"/>
        <s v="ATLANTIC DEO SAE 40 API CD/SF (DRUM)" u="1"/>
        <s v="BUENAS NATA WHITE 12x32oz" u="1"/>
        <s v="Dragon Mosquito Coil Scented x60" u="1"/>
        <s v="AGATE 11R22.5 HF702 MIX (TUBELESS)" u="1"/>
        <s v="GLADLY BATHROOM TISSUE 300+10 PULLS FREE 1'Sx96" u="1"/>
        <s v="CJF 9.00-20 14PR RIB D MASTER" u="1"/>
        <s v="Grips Wax Hard &amp; Shiny 25g x 216" u="1"/>
        <s v="(INACTIVE) MEN2 CORP - SALES INVOICE" u="1"/>
        <s v="(INACTIVE) DANES CHEESE BLOCK 0.200Kg" u="1"/>
        <s v="(INACTIVE) MADE FOR YOU MIX&amp;MATCH IC (MID BROWN+BURGUNDY) 25ML" u="1"/>
        <s v="Jellybee Tutti Fruitti Blue 12's x 20 pks (261)" u="1"/>
        <s v="(INACTIVE) CDO SEA QUEST TUNA FLAKES IN OIL 180GX48" u="1"/>
        <s v="Bertolli Balsamic Vinegar 12x250ml" u="1"/>
        <s v="MAMA PINA'S BUNDLE F (CB60+E) x6" u="1"/>
        <s v="MP PROMO - 1 Palm Oil 1L with FREE Magic Sarap 8g (12's) BAS" u="1"/>
        <s v="(INACTIVE) Nanay's Primera Ball Ham 800g" u="1"/>
        <s v="(INACTIVE) SPEED 55gMW 150gx5's+1FREE 40gMW 135g 5:1" u="1"/>
        <s v="Coco Lava Wafer 48gx60pcs" u="1"/>
        <s v="(INACTIVE) DANES CHEESE BLOCK 0.500 Kg" u="1"/>
        <s v="CJF 195-R14 OVATION" u="1"/>
        <s v="Jolly Sotanghon Pack" u="1"/>
        <s v="Jolly Young Corn (Cut)425gX24" u="1"/>
        <s v="SPD BBPW-L 2KGS 2FREE DSB 150G 1:2 BY6" u="1"/>
        <s v="(INACTIVE) Tipid Pack Speed White 135g+Pow BB 55g" u="1"/>
        <s v="Nabati Richnuts Wafer 22g x 20ib x 10pcs" u="1"/>
        <s v="MAMA PINA'S BUNDLE L (ANK)" u="1"/>
        <s v="Family Absorbent Cotton 25g" u="1"/>
        <s v="(INACTIVE) BUDGET SF 800g+Free Budget Jr.PB 120g 1:1" u="1"/>
        <s v="Dona Elena Olive Oil Pomace 5Lx3" u="1"/>
        <s v="CASUMINA 750-16 16PR CA405C RIB SET" u="1"/>
        <s v="(INACTIVE) Promo-Fiona Rosy Red 50ml w/ Ice Glacier 25ml" u="1"/>
        <s v="Empress Advance Keratin Stunning Straight 12mlx12" u="1"/>
        <s v="iColor Gift Set Dark Brown 30ml x 5 with FREE pouch,bowl &amp; brush" u="1"/>
        <s v="DEESTONE 7.00-15 D102 RIB 12PR" u="1"/>
        <s v="GARDENIA CHOCOLATE CHIP LOAF 400g" u="1"/>
        <s v="(INACTIVE) 1 CDO KAONG RED 340GX24 (SUP)" u="1"/>
        <s v="HYFUN SHOESTRING FRIES 2.5KGX5" u="1"/>
        <s v="POTCHI STARWBERRY CREAM 50'SX40 (890)" u="1"/>
        <s v="FEDERAL 195 R14C 106/104R 8PR ECOVAN (CN)" u="1"/>
        <s v="GULF XHD PLUS 15W40 20L" u="1"/>
        <s v="Jellybee assorted 18'sx20 (208A)" u="1"/>
        <s v="Mama Pina's Paminta Fine 1gx15'sx6x24" u="1"/>
        <s v="OX TAIL 1K" u="1"/>
        <s v="JOLLY FRESH 100% PRUNE JUICE 6oz" u="1"/>
        <s v="BUDGET Jr Sunflower Fresh 120g Barx96" u="1"/>
        <s v="SPEED 500G SUNFLOWER BURST POWDER FL x 24" u="1"/>
        <s v="FEDERAL 195 R15C 106/104R 8PR ECOVAN (CN) " u="1"/>
        <s v="JOLLY CHERRY MILK BABY BATH 200ML X 36" u="1"/>
        <s v="(INACTIVE) CDO CORNED BEEF 48X150G (E.O)" u="1"/>
        <s v="H &amp; Y Taro Ube 160gx40 (105A)" u="1"/>
        <s v="SELECT Soy Sauce 36X340Ml w/Easy Twist Cap" u="1"/>
        <s v="Jimm's 5 in 1 Coffee Mix - Stand Up Pouch 200g x 36" u="1"/>
        <s v="Langnese Bee Easy Lavender Honey 500g" u="1"/>
        <s v="GARDENIA DELICIA HAZELNUT 30G X 24PACKS X 10PCS" u="1"/>
        <s v="(INACTIVE) DANES CHEESE SLICES (3.5KG)" u="1"/>
        <s v="(INACTIVE) 1 SM CT 180G+1 SM CCT 180G+1 FREE KN 60G" u="1"/>
        <s v="GARDENIA BANANA CHOCO MUFFIN 45G X 48" u="1"/>
        <s v="(INACTIVE) KeratinPlus Gold 20g x 12's x 24 Pack w/ Iso 40% 60ml" u="1"/>
        <s v="3K N150A - 140G51 (N150-4D-LM)" u="1"/>
        <s v="KAPSEN 11.00R22.5 16PR HS268 MIX" u="1"/>
        <s v="MAXXIS LT245/70 R16 8PR AT980" u="1"/>
        <s v="(INACTIVE) PROMO-2 HIGHLANDS GOLD CORNED BEEF 210G" u="1"/>
        <s v="WOOF N TAIL JUICY LAMB 400G" u="1"/>
        <s v="DEESTONE 165R13C KARRIER R101 8PR 94/92R" u="1"/>
        <s v="H &amp; Y Assorted Fruity Jelly 24's x 20 packs (255)" u="1"/>
        <s v="Lovely Look Hair Spray 120ml" u="1"/>
        <s v="Welch Cranberry Juice Cocktail 10ozx24" u="1"/>
        <s v="(INACTIVE) CDO MEAT LOAF 100G - PROMO" u="1"/>
        <s v="JUMBO GOLF JAR 120'SX12 (980)" u="1"/>
        <s v="DON ELENA 100% TUNA SHREDDED IN SUNFLOWER OIL 185G" u="1"/>
        <s v="Good Life Vermicelli 3.2ozX250" u="1"/>
        <s v="FG - BIGTIME NEGOSYO CHEESE 30G" u="1"/>
        <s v="(INACTIVE) BBPW-LZ 55GX6'S+1FREE DFC150G 6:1 BY32" u="1"/>
        <s v="SUPER Q - Pancit Canton 1kg x 12" u="1"/>
        <s v="Alcoplus Ethyl 70% Alcohol 1000mlx12 (1 Liter)" u="1"/>
        <s v="FRUTOS SAMPALOK 50'SX40 (1081)" u="1"/>
        <s v="GARDENIA AMAZING LOAF: BLACK FOREST 400G" u="1"/>
        <s v="Jolly Cow Condensada 390gx48 (promo)" u="1"/>
        <s v="MAY 100% SPARKLING WHITE JUICE 750ML" u="1"/>
        <s v="CHERRY GUM 200'SX24 (802)" u="1"/>
        <s v="(INACTIVE) Promo-Alcoplus Iso.60ml 3pcs + 3pcs clay5g" u="1"/>
        <s v="TRAVELER PREM. FACIAL TISSUE 400'SX36 (EMBOSSED BOX)" u="1"/>
        <s v="SMCCT180GX3_SAVE P7.50 S&amp;M PROMO" u="1"/>
        <s v="(INACTIVE) CDO KARNE NORTE 24X60G" u="1"/>
        <s v="Jackpot Lumpiang Shanghai All Chicken Flavor 820G" u="1"/>
        <s v="DRYPLUS B.DIAPER ECONO PACK L 30'S+4x8" u="1"/>
        <s v="(INACTIVE) Nanay's Pork Siomai 240g x 30" u="1"/>
        <s v="H &amp; Y Sofee Assorted Jelly 130 pcs x 6 jars (263)" u="1"/>
        <s v="WINROX Bleach - Fresh Lemon 24X500Ml" u="1"/>
        <s v="(INACTIVE) PALDO HWA RAMYUN CUP 65GX6" u="1"/>
        <s v="ROADSHINE 11R22.5 603" u="1"/>
        <s v="(INACTIVE) DANES CLASSIC CHEESE BLOCK 12X450G" u="1"/>
        <s v="GOODTYRE 750R16 PR14 D.YB268 MIX" u="1"/>
        <s v="MEGA 700-16 14PR MX218 LUG SET" u="1"/>
        <s v="SUPER Q - Sotanghon 35g/12 x 24" u="1"/>
        <s v="(INACTIVE) Alcoplus Isopropyl 500mlFtx24 Head Spray" u="1"/>
        <s v="Burger Steak Duo Pack" u="1"/>
        <s v="CDO BINGO BEEF LOAF 150GX3-SAVER'S PACK" u="1"/>
        <s v="(INACTIVE) CDO KAONG RED 340GX24 (SUP)" u="1"/>
        <s v="Cricket ED-1 Sulit 8 Pack (50's/strip) (ED-1 Original)" u="1"/>
        <s v="SPEED Diswashing Liquid - Kalamansi 36X190Ml" u="1"/>
        <s v="PORK PATA FRONT 1KG" u="1"/>
        <s v="ODYKING 185R14C 8PR DS805" u="1"/>
        <s v="Special Vermicelli Sotanghon 14ozx50" u="1"/>
        <s v="(INACTIVE) PROMO-ALCOPLUS ADVANCE SANITIZER 500ML W/ 40ML SPRAY" u="1"/>
        <s v="GARDENIA HIGH FIBER WHEAT BREAD 400g" u="1"/>
        <s v="BUENAS NATA GREEN 12x32oz" u="1"/>
        <s v="Negosyo Pack Lumpiang Shanghai Beef 200g x36" u="1"/>
        <s v="Family Alcologne w/ Baby Oil 60ml" u="1"/>
        <s v="BREW RITE 40-401 #2 CONE 40 CT" u="1"/>
        <s v="DURACELL EVERYDAY ALKALINE HBDCAA10" u="1"/>
        <s v="XM JOLLY PIECES &amp; STEMS MUSHROOMS 284G" u="1"/>
        <s v="CLASSIC WHITE BREAD 600G RS+FREE TOASTIES" u="1"/>
        <s v="(INACTIVE) CDO ALL PURPOSE MAYO DRESSING 220MLX24" u="1"/>
        <s v="H &amp; Y Frosty Ice Pop 720g x 16 pks (296)" u="1"/>
        <s v="PETLAS 16.0/70-20 (14PR) IND25 TL" u="1"/>
        <s v="iColor Hair Dye Shampoo 30ml Dark Brown 10'sx12" u="1"/>
        <s v="(INACTIVE) SAN MARINO TUNA FLAKES IN OIL 48X180G" u="1"/>
        <s v="Jolly Mandarin Orange 11oz" u="1"/>
        <s v="GENERIC DETERGENT POWDER 1KG" u="1"/>
        <s v="3K BATTERY N50L-50D26L (2SMF-LM)" u="1"/>
        <s v="(INACTIVE) DANES CHEESE SLICED 2.000 Kg" u="1"/>
        <s v="(INACTIVE) CDO PICADILLOS 48X155G" u="1"/>
        <s v="GARDENIA PREMIUM PANDESAL 350g" u="1"/>
        <s v="BINGO CORNED BEEF TIPID PACK 60GX24" u="1"/>
        <s v="(INACTIVE) SAN MARINO CORNED TUNA 48X180G (EO)" u="1"/>
        <s v="H &amp; Y Lychee 300gx20 (102)" u="1"/>
        <s v="Foodcrafters Sliced Ham 250g x 56" u="1"/>
        <s v="(INACTIVE) 1 PROMO-ALCOPLUS ISO CLASSIC 500ML W/ SANITIZER RED" u="1"/>
        <s v="RESTOBAR HOTDOG PLATES SILVER 50'Sx20" u="1"/>
        <s v="(INACTIVE) CDO KARNE NORTE CALDERETA 100G - PROMO" u="1"/>
        <s v="SPEED BLUE 360G+1FREE LALA LIQ.FC 30ML BY 36" u="1"/>
        <s v="(INACTIVE) PROMO-2 CDO KN 150G + 1 KN AFRITADA 150G" u="1"/>
        <s v="MEGA 700-15 12PR MX206 RIB SET" u="1"/>
        <s v="SPEED 50% Dagdag Bar - Blue 96X160G" u="1"/>
        <s v="AlcoPlus Ethyl 150mlx48" u="1"/>
        <s v="(INACTIVE) CDO MEAT LOAF 48X150G (OLD)" u="1"/>
        <s v="(INACTIVE) CDO KARNE NORTE CLASSIC 48X260G" u="1"/>
        <s v="(INACTIVE) PROMO-1KN+1ML+1BCB+1LM+1SMFIO+1SMFIOHS+FREE 2ML" u="1"/>
        <s v="(INACTIVE) POSTER 15X21-KN BAON PACK (CARRY SA PULSA)" u="1"/>
        <s v="MAMA PINA'S BUNDLE XC" u="1"/>
        <s v="CARP SOY SAUCE 200ML SUP" u="1"/>
        <s v="Jellybee Lychee 12'sx30 (201A)" u="1"/>
        <s v="CREAM DORY 1KG" u="1"/>
        <s v="CDO LUNCHEON MEAT 48X165G" u="1"/>
        <s v="Pagoda Toilet Deodorizer 100g Sampaguita" u="1"/>
        <s v="Good Life Bread Crumbs 80gX80" u="1"/>
        <s v="Grips Wax Extreme Hard &amp; Mat 75gx36" u="1"/>
        <s v="iColor Gift Set Chestnut Brown 30mlx 5 with FREE pouch,bowl &amp; brush" u="1"/>
        <s v="(INACTIVE) CDO KARNE NORTE 48X100G" u="1"/>
        <s v="(INACTIVE) CDO KARNE NORTE CALDERETA 48X100G" u="1"/>
        <s v="SPEED 2kg Sunflower Burst Powderx6" u="1"/>
        <s v="Family Fabric Conditioner 1Ltr w/ Handle - Dainty Lilac" u="1"/>
        <s v="Grips Hair Clay 75gx36" u="1"/>
        <s v="Pagoda Air Freshener Pine" u="1"/>
        <s v="(INACTIVE) SAN MARINO TUNA FILLET IN WATER 48X180G" u="1"/>
        <s v="Beef Lumpiang Shanghai Beef 800g x 8" u="1"/>
        <s v="BIGTIME BURGER MAYO 250G X 24" u="1"/>
        <s v="Foodcrafters Chicken Embutido 200g x 40" u="1"/>
        <s v="(INACTIVE) CDO SWEET &amp; SOUR 48X155G" u="1"/>
        <s v="iColor Hair Dye Shampoo Wild Cherry 25ml 10'sx64" u="1"/>
        <s v="Good Life Vermicelli 32ozX25" u="1"/>
        <s v="(INACTIVE) CDO KARNE NORTE CLASSIC 60GX6 SINGLES" u="1"/>
        <s v="ODYKING 12R22.5 18PR OD887 LUG" u="1"/>
        <s v="Special Vermicelli Sotanghon 1.59ozx500" u="1"/>
        <s v="CJF BATTERY 3SM GOLD" u="1"/>
        <s v="(INACTIVE) PROMO-CDO KN 260GX2" u="1"/>
        <s v="Family Bathroom Tissue (2 Ply) 500shtsx72" u="1"/>
        <s v="CJF 11 R 22.5 OVATION VI-III RIB" u="1"/>
        <s v="(INACTIVE) CDO KARNE NORTE CLASSIC 48X150G (NEW)" u="1"/>
        <s v="CJF 6 SM TRUCKMASTER" u="1"/>
        <s v="GARDENIA CHOCO CHIP BRIOCHE BUN 120G" u="1"/>
        <s v="ROADSHINE 9.5R17.5 16PR RS615 (TUBELESS)" u="1"/>
        <s v="Mama Pina's Palm Oil 1L x 12 FD3" u="1"/>
        <s v="Family Absorbent Cotton 10g" u="1"/>
        <s v="Beef Lumpaing Shanghai 400g x 18" u="1"/>
        <s v="CJF 185-R14 OVATION" u="1"/>
        <s v="Family Absorbent Cotton 12g" u="1"/>
        <s v="DRYPLUS B.DIAPER BUDGET PACK XXL 15'S+2x16" u="1"/>
        <s v="MALING 340Gx48" u="1"/>
        <s v="3K N120A-110F51 (2D-LM)" u="1"/>
        <s v="FEDERAL 195/50 82V 595 EVO" u="1"/>
        <s v="Family Absorbent Cotton 15g" u="1"/>
        <s v="Vaccum Sealed Boneless Tinapa Singles (XL)" u="1"/>
        <s v="2Jolly Whole Mushroom 400g free Small Canister" u="1"/>
        <s v="DANES CHEESE WITH BACON BITS 165Gx24" u="1"/>
        <s v="Capture Nature Tawas Deo Cologne 50ml" u="1"/>
        <s v="BERYL'S CHOCOCHIP COOKIES MIX 2KGX3" u="1"/>
        <s v="RESTOBAR TRASH BAG BLACK MED 10'Sx50" u="1"/>
        <s v="Tin-Tin Choco Snack-Chocolate 10x20 (517)" u="1"/>
        <s v="(INACTIVE) SAN MARINO TUNA EMBUTIDO 48X150G" u="1"/>
        <s v="SPD SB 2KGS+4FREE LALA 2FM 2FB 30ML 1:4BY6" u="1"/>
        <s v="BUENAS NATA RED 24x8oz" u="1"/>
        <s v="DAILYFIX STRAWBERRY &amp; YOGURT 350G" u="1"/>
        <s v="Dryplus MOM&amp;BABY PROMO PACK XL 20+10 PADS" u="1"/>
        <s v="WINROX Bleach - Elegant Breeze 24X500Ml" u="1"/>
        <s v="Sofee Gulaman Powder Mix - Green (unflavored) 15gx10sctx10DB (807)" u="1"/>
        <s v="DEESTONE 7.00-16 D102 RIB 12PR" u="1"/>
        <s v="Mama Pina's Bihon 454g x 20" u="1"/>
        <s v="(INACTIVE) Fiona COL ASSTD 5+1 25mlx6s" u="1"/>
        <s v="Wilderness Red Ruby Cherry 21oz" u="1"/>
        <s v="Dona Elena Sliced Black Olives 140g" u="1"/>
        <s v="TRAVELER ADULT DIAPER M-L 10'Sx12" u="1"/>
        <s v="H&amp;Y Swit Candy 24' x 40 pks" u="1"/>
        <s v="BUENAS KAONG WHITE 12x32oz" u="1"/>
        <s v="PROMO-SMCCT 150GX3" u="1"/>
        <s v="(INACTIVE) TARPAULIN 2X1 - SAN MARINO CORNED TUNA" u="1"/>
        <s v="(INACTIVE) CDO MEAT LOAF 48X210G" u="1"/>
        <s v="(INACTIVE) 2 PROMO-ALCOPLUS ISO CLASSIC 500ML W/ SANITIZER RED" u="1"/>
        <s v="(INACTIVE) PROMO-KERATIN PLUS HAIRFALL SH 22ML 10+2" u="1"/>
        <s v="SPEED Babad 24X480G" u="1"/>
        <s v="(INACTIVE) SEA QUEST BANGUS W/TAU 48X260G" u="1"/>
        <s v="(INACTIVE) BUNDLE MAMA PINAS BIHON WITH BINGO CB 150G" u="1"/>
        <s v="CDO KARNE NORTE H&amp;S 150GX48" u="1"/>
        <s v="(INACTIVE) 2 CDO KARNE NORTE 175G W/ FREE 20 TEXTS" u="1"/>
        <s v="(INACTIVE) CDO ALL PURPOSE MAYO DRESSING 470MLX12" u="1"/>
        <s v="Tasty Palamig Chocolate 25gx288" u="1"/>
        <s v="(INACTIVE) BBPW-LZ 1KG+2FREE DFC 150G 1:2 BY12" u="1"/>
        <s v="DEESTONE D201 7.50-16 LUG" u="1"/>
        <s v="(INACTIVE) PROMO-2 HIGHLANDS C.BEEF 180GX24" u="1"/>
        <s v="GBMC Newborn Tape Diaper x 33pcs" u="1"/>
        <s v="SPD KAL-L 1KG+FREE DSB 145G BY12" u="1"/>
        <s v="PINGPONG GUM 200'SX24 (801)" u="1"/>
        <s v="SCHOKO CARAMEL 50'SX40 (960)" u="1"/>
        <s v="PROMO CORELESS 2'Sx90" u="1"/>
        <s v="(INACTIVE) CDO KARNE NORTE CLASSIC 260GX48" u="1"/>
        <s v="GARDENIA NEUBAKE PAN DE COCO BREAD ROLL 150G" u="1"/>
        <s v="SWEET NATA DE COCO (WHT) 24X8OZX240G" u="1"/>
        <s v="MP PROMO - 2 Palm Oil 1L with FREE BML100g (6's) BTC" u="1"/>
        <s v="Old Orchard Apple Cranberry Juice 32oz" u="1"/>
        <s v="Family Rubbing Alcohol 40% 250ml" u="1"/>
        <s v="(INACTIVE) Foodcrafters Hotdog Classic 2.5kg x 4" u="1"/>
        <s v="BUTTERKIST 50'SX40 (837)" u="1"/>
        <s v="KeratinPlus Luxurious 20g x 24 packs 11 + 1 promo" u="1"/>
        <s v="(INACTIVE) Select Cane Vinegar 1/2gal w/ Free SP 200ml 1:1" u="1"/>
        <s v="(INACTIVE) PROMO-1KN+1HCB+1SMFIO+1SMFIOHS+1BML+1LS+FREE KN100" u="1"/>
        <s v="BUDGET WHITE W/ANTIBAC 360G BAR X 36" u="1"/>
        <s v="SPEED 50% Dagdag Bar - W/ Fabcon 96X160G" u="1"/>
        <s v="JOLLY PIECES &amp; STEMS 400G 2PCS SAVE P5" u="1"/>
        <s v="(INACTIVE) BINGO ALL PURPOSE DRESSING 3.5X4" u="1"/>
        <s v="GOODTYRE S.8.25R16 YB268 MIX" u="1"/>
        <s v="H &amp; Y Yogurt Fruit Stick 180g x 40 packs (394)" u="1"/>
        <s v="Grips Hair Clay 5gx6sx72" u="1"/>
        <s v="Pagoda Hair Spray Refill 4oz (120ml)" u="1"/>
        <s v="(INACTIVE) CDO KARNE NORTE CALDERETA 48X150G" u="1"/>
        <s v="SELECT Cane Vinegar 36x340ml w/Easy Twist Cap" u="1"/>
        <s v="MEN2 SALMON HEAD 1KG (9905)" u="1"/>
        <s v="MP PROMO#002 - 2 Canolein Oil 1L with FREE BML100g (6's)" u="1"/>
        <s v="TOP 6.00 - 16 (5H) RIM" u="1"/>
        <s v="Chibog Chicken Franks 500g x 20" u="1"/>
        <s v="Old Orchard Organic 100% Apple 64ozx8" u="1"/>
        <s v="(INACTIVE) SM PREM. MACKEREL IN T. SAUCE 165GX100 (EO)" u="1"/>
        <s v="(INACTIVE) CDO KARNE NORTE 24X60G (OLD)" u="1"/>
        <s v="GOTYRE S.11.00-20 PR18 D.LUG SET" u="1"/>
        <s v="HAWKWAY 11.00R22.5 HK802 MIX 16PR 146/143M" u="1"/>
        <s v="(INACTIVE) BUDGET Bongga Pack Sunflower Freshx84" u="1"/>
        <s v="(INACTIVE) PROMO-PACK 2 SQTUNA IN TOMATO SAUCE 155G" u="1"/>
        <s v="LALA LIQUID FABCON FREEZE BREEZE 30ML (6+1)" u="1"/>
        <s v="(INACTIVE) PROMO-6 SAN MARINO CORNED TUNA 85G X 8" u="1"/>
        <s v="CASUMINA 700-15 12PR CA402 LUG SET" u="1"/>
        <s v="Jolly Whole Mushroom 2840gx6" u="1"/>
        <s v="MEGA 7.50-16 TR177A TUBE" u="1"/>
        <s v="BIGTIME MAYO DRESSING 250G X 24" u="1"/>
        <s v="DEESTONE 205/65R16 NAKARA R201 95H" u="1"/>
        <s v="(INACTIVE) 2 DANES CLASSIC CHEESE 180G W/ FREE SANDWICH KPR" u="1"/>
        <s v="CDO CHICKEN FLAKES SWEET CHILI 150GX48" u="1"/>
        <s v="MEGA 7.00-15 TR75A TUBE" u="1"/>
        <s v="BEEF TRIPES 1KG" u="1"/>
        <s v="(INACTIVE) CDO KARNE NORTE CLASSIC 48X100G" u="1"/>
        <s v="Jolly Cow Pure Fresh Milk 1L Duo Packx6" u="1"/>
        <s v="GOODTYRE S.12.00R20 PR20 DYB388 MINING LUG" u="1"/>
        <s v="Jelly Stick Promo Box Assorted Flavor x 200pcs (200)" u="1"/>
        <s v="JOLLY HEART MATE CANOLA OIL PET 500ML" u="1"/>
        <s v="PRESA 195 R15C 8PR PV99" u="1"/>
        <s v="Sofee Gulaman Powder Mix - Buko Pandan flavor 15gx10sctx10DB (817)" u="1"/>
        <s v="CASUMINA 750-16 16PR CA402 LUG SET" u="1"/>
        <s v="FROOTY TROPI MIX 20+3'SX50 (969)" u="1"/>
        <s v="DISPOSABLE FACEMASK 50'Sx40" u="1"/>
        <s v="Jolly Young Corn (Whole)425gX24" u="1"/>
        <s v="Old Orchard Apple Cocktail 32oz" u="1"/>
        <s v="ALI BIG LOVE SNACK BBQ 500G" u="1"/>
        <s v="May 100% White Grape Juice 750mlX12" u="1"/>
        <s v="SELECT Soy Sauce 24X340Ml" u="1"/>
        <s v="(INACTIVE) SAN MARINO TUNA PAELLA 48X180G" u="1"/>
        <s v="Jolly Mush Whole 400g + 2 Maggi 8g" u="1"/>
        <s v="Cricket Firepower w/ Flex - Fluo (16's/tray) (Firepower)" u="1"/>
        <s v="SELECT 1L Partner Packx6" u="1"/>
        <s v="Daily Fix Very Nutty Granola 350g" u="1"/>
        <s v="FIRST PROTECT SURGICAL MASK 8'S" u="1"/>
        <s v="DONA ELENA AL DENTE LINGUINE 500G" u="1"/>
        <s v="Imilk 50'S'X40 (930)" u="1"/>
        <s v="FROOTY CHOCOLICIOUS 20+3'SX50 (868)" u="1"/>
        <s v="(INACTIVE) Promo-Fiona RaspberryDrops 100ml w/ Youthful 75ml x 24" u="1"/>
        <s v="(INACTIVE) PROMO-CDO KN 100GX3" u="1"/>
        <s v="SPEED Powder - High Impact 288X35G" u="1"/>
        <s v="WINROX BLEACH FRESH LEMON 1 GALLON" u="1"/>
        <s v="HIGHLANDS CB GOLD 210GX2 (GOLD BAR)" u="1"/>
        <s v="Jolly Premium Sliced Mushroom 198g" u="1"/>
        <s v="(INACTIVE) SPEED KAL 1kg Get 1kg SK@30%off" u="1"/>
        <s v="Speed BBFR 55gx6's+1FREEx32" u="1"/>
        <s v="(INACTIVE) SM PREM. MACKEREL IN SWEET &amp; SOUR 165GX100 (EO)" u="1"/>
        <s v="(INACTIVE) PROMO-CDO KN 150GX3" u="1"/>
        <s v="HAWKWAY 275/70R22.5 HK867 RIB 18PR" u="1"/>
        <s v="CDO CB CHEESY &amp; CREAMY SPAG 260GX48" u="1"/>
        <s v="SWEET KAONG (GREEN) 12X24OZX680G" u="1"/>
        <s v="(INACTIVE) CDO CHINESE HAM 2.5KG TO 3.5 KG" u="1"/>
        <s v="SPEED LAUNDRY DISKWENTO PACK - RED" u="1"/>
        <s v="(INACTIVE) SPEED 55gMB 150gx5's+1FREE 40gMB 135g 5:1" u="1"/>
        <s v="(INACTIVE) CDO SEA QUEST TUNA ADOBO 48X155G" u="1"/>
        <s v="Deoplus Deodorant Powder 80g x 24pcs" u="1"/>
        <s v="DON FRANK ORANGE JELLY 30GX10'SX24" u="1"/>
        <s v="SOO-YOUNG KOJIC ACID SOAP 90Gx48" u="1"/>
        <s v="(INACTIVE) CDO CHICKEN VIENNA LOAF 48X100G" u="1"/>
        <s v="(INACTIVE) PROMO-1 HCB 150G + 2 SMCT 150G" u="1"/>
        <s v="(INACTIVE) CDO SEA QUEST SPANISH STYLE BANGUS 24X220G" u="1"/>
        <s v="GLADLY BATHROOM TISSUE 500'Sx12x8" u="1"/>
        <s v="DANES MAYO ALL-PURPOSE DRESSING 220MLX24" u="1"/>
        <s v="HIGHLANDS CLASSIC CORNED BEEF 260GX48" u="1"/>
        <s v="MP BUNDLE - 2 Canton 227g + 1 Bihon 454g @50% off (6's)" u="1"/>
        <s v="Jolly Maraschino Cherries w/ Stem 26ozX12" u="1"/>
        <s v="PRESA 11R22.5 16PR BLOCK PD 868" u="1"/>
        <s v="Jimm's 5 in 1 Coffee Mix 20'sx30ib" u="1"/>
        <s v="Pagoda Muriatic Acid Household Grade Half Gallon" u="1"/>
        <s v="CHOCQUIK COOKIE 10'SX20 (685)" u="1"/>
        <s v="(INACTIVE) DANES CHEESE SLICES (7KG)X250G" u="1"/>
        <s v="BUENAS KAONG WHITE 24x12oz" u="1"/>
        <s v="LALA LIQUID FABCON FLORAL MIST 30ML X 288" u="1"/>
        <s v="CDO HOMESTYLE CHILI GARLIC CB 260GX48" u="1"/>
        <s v="Fresh Flower 2.5mlx12x12" u="1"/>
        <s v="(INACTIVE) BINGO BEEF LOAF 48x100G" u="1"/>
        <s v="(INACTIVE) GARDENIA POCKET SANDWICH BUNDLE BUY2 TAKE1" u="1"/>
        <s v="GBMC Medium Tape Diaper x 33pcs" u="1"/>
        <s v="SPEED Babad W/ Fabcon 12X1Kg" u="1"/>
        <s v="CJF BATTERY 2SM ENDURO" u="1"/>
        <s v="SPEED CUT BAR W/FABRIC CONDITIONER 6+1" u="1"/>
        <s v="RESTOBAR PAPER PLATES SILVER 9' 25'Sx20" u="1"/>
        <s v="CJF DELIUM 195R15 102" u="1"/>
        <s v="Mama Pina's Bihon 454g x 24" u="1"/>
        <s v="GOODTYRE S.11.00R20 R20 PR18 DYB288 RIB" u="1"/>
        <s v="PRESA 10.00 R20 16PR PL909 SET" u="1"/>
        <s v="DONA ELENA S.SARDINES PUREOLIVE OIL 228G" u="1"/>
        <s v="Family Aloegel 50ml" u="1"/>
        <s v="CDO LUNCHEON MEAT 48X150G" u="1"/>
        <s v="MP PROMO#010 - 2 Bihon 454g + 1 Canton 300g Save 30 Pesos (6's)" u="1"/>
        <s v="CASUMINA 825R16 16PR BS631 RIB SET" u="1"/>
        <s v="WILDERNESS-MIXES BERRY_PATCH STRA-21OZ" u="1"/>
        <s v="(INACTIVE) SPEED 55GMORE SB 150G X5'S+1 FREE 5:1" u="1"/>
        <s v="PROMO-ALCOPLUS ISO CLASSIC 500ML W/ SANITIZER RED 2" u="1"/>
        <s v="Dona Elena Flat Fillet Anchovies 56gx24" u="1"/>
        <s v="Speed Babad Kalamansi 1kg+2FREE 55g" u="1"/>
        <s v="Pagoda Toilet Deodorizer 100g Apple" u="1"/>
        <s v="ALIBABA ASSORTED BISCUIT 20GX10'SX10" u="1"/>
        <s v="Jolly Real Mayonnaise 887ml x12" u="1"/>
        <s v="JOLLY FRESH PITTED PRUINES 12oz" u="1"/>
        <s v="ATLANTIC HYDRAULIC OIL AWT 68 (JUG)" u="1"/>
        <s v="PIRELLI 265/70 R16" u="1"/>
        <s v="Old Orchard 100% Grape 64oz" u="1"/>
        <s v="AVIKO SUNNY FARMS SHOESTRING FRIES CN 1KGX12" u="1"/>
        <s v="GENKI PANTS MEDIUM 60'SX3" u="1"/>
        <s v="Drillo PBJ PRM PHL 17g x 8ib x 12+1pcs" u="1"/>
        <s v="(INACTIVE) PROMO-2 SMCT 100G + SMCCT 100G" u="1"/>
        <s v="MP PROMO - 2 Soya Oil 1L with FREE SMCT100g (6's)" u="1"/>
        <s v="BBPW-LZ 2KG+4FREE DFC 150G 1:4 BY6" u="1"/>
        <s v="Pagoda Air Freshener Orange" u="1"/>
        <s v="HUBAD BIHON" u="1"/>
        <s v="SELECT Sukang Puti 6X1/2Gal" u="1"/>
        <s v="AVIKO SHOESTRING FRIES 10X1000G" u="1"/>
        <s v="(INACTIVE) PROMO-SSS SAVINGS 4 KN150GX6 SMTUNA150GX6" u="1"/>
        <s v="3K N50L-50S26L (2SMF-LM)" u="1"/>
        <s v="(INACTIVE) CDO KARNE NORTE 48X150G (EASY-OPEN)" u="1"/>
        <s v="DR COCO GREEN TEA LHW 500ML BOTTLE" u="1"/>
        <s v="Promo-Alcoplus Isopropyl 40% 500ml w/ Iso 40% 60ml" u="1"/>
        <s v="KeratinPlus Luxurious 20g x 12's x 24 packs" u="1"/>
        <s v="(INACTIVE) TIPID PACK SPEED FABCON 130GPOW PW55" u="1"/>
        <s v="Mama Pina's Canolein Oil 1L x 12" u="1"/>
        <s v="(INACTIVE) SPEED 55GMORE FC 150G X5'S+1 FREE 5:1" u="1"/>
        <s v="Grips Hair Pomade 75g x 36 Jars" u="1"/>
        <s v="YAKEE! SUPER ASIM GUM BALL 25+3'SX40 (876)" u="1"/>
        <s v="Pagoda Cold Wave Lotion 946ml" u="1"/>
        <s v="Speed Babad Kalamansi 2kg+2FREE 55g" u="1"/>
        <s v="DONA ELENA SANGRIA 750ML" u="1"/>
        <s v="Jolly Whole Mushroom 284gx24" u="1"/>
        <s v="(INACTIVE) DANES BACON CHEESE 180GX24" u="1"/>
        <s v="(INACTIVE) PRO-1 SQ FIO 155+1 VS 70G+1 LS 85G" u="1"/>
        <s v="Jolly Maraschino Cherries w/ Stem 10ozx12" u="1"/>
        <s v="TRAVELER ADULT DIAPER ESSENTIALS L-XL 10'Sx10" u="1"/>
        <s v="(INACTIVE) BUDGET SF 65gx6's+Free Budget Powder PB 65g 6:2" u="1"/>
        <s v="Jolly Heart Mate Canola Oil SUP 1L" u="1"/>
        <s v="(INACTIVE) BINGO SAUCY ULAM - LECHON PAKSIW 48X155G" u="1"/>
        <s v="(INACTIVE) PROMO-2 BINGO CB 100G+1 BINGO ML 100G" u="1"/>
        <s v="Jolly Claro Pet 250mlx48" u="1"/>
        <s v="Lovely Look Hair Spray 240ml" u="1"/>
        <s v="Jolly Cow Fresh Milk 200mlx27" u="1"/>
        <s v="RAIMOL TITANIUM - DIESEL FUEL SAVER (24X100mL)" u="1"/>
        <s v="MP PROMO - 2 Palm Oil 1L with FREE BML100g (6's) BAS" u="1"/>
        <s v="Alcoplus Ethly 330ml x 24 - Spray" u="1"/>
        <s v="JOLLY RICE MILK BABY BATH 18ML X 288 (W/ 5+1 PROMO)" u="1"/>
        <s v="H &amp; Y Assorted Conjac Jelly 160gx20 (111B)" u="1"/>
        <s v="GOOD LIFE EGG NOODLES 100G" u="1"/>
        <s v="Empress Shampoo Long&amp;Healthy 12+2 pcs KeratinGold" u="1"/>
        <s v="CJF RUBIA 15W40 DRUM" u="1"/>
        <s v="SELECT Soy Sauce 72x100ml" u="1"/>
        <s v="Good Life Sesame Oil 650mlX12" u="1"/>
        <s v="(INACTIVE) S.Q.BANGUS SPAN.STYLE 48X155G" u="1"/>
        <s v="(INACTIVE) MEN2 CORP - COLLECTION RECEIPT" u="1"/>
        <s v="PETLAS 195/55R15 VELOX SPORT PT741" u="1"/>
        <s v="(INACTIVE) DANES CHEESE BLOCK 12X450G" u="1"/>
        <s v="Dona Elena Red Wine 750 ml" u="1"/>
        <s v="CARP SUKANG SASA 19KG CARBOUY" u="1"/>
        <s v="(INACTIVE) SAN MARINO TUNA FLAKES IN OIL 150G - PROMO" u="1"/>
        <s v="Pagoda Toilet Deodorizer 100g LEMON" u="1"/>
        <s v="JOLLY FRESH APPLE SAVE 10 PROMO" u="1"/>
        <s v="BUDGET 800g Purple Blossom Powderx12 1" u="1"/>
        <s v="(INACTIVE) CDO KARNE NORTE CHUNKY 48X150G" u="1"/>
        <s v="(INACTIVE) HIGHLANDS C BEEF PROMO 150GX48" u="1"/>
        <s v="(INACTIVE) TARPAULIN 1.5X2.5 - CDO KARNE NORTE" u="1"/>
        <s v="GULF HARMONY HYDRAULIC OIL 68 200L (DRUM) oil10" u="1"/>
        <s v="(INACTIVE) CDO LECHON PAKSIW 48X210G" u="1"/>
        <s v="Mama Pina's Coconut Oil 17KG" u="1"/>
        <s v="SPEED 55g Babad FC w/Power Whitener Powderx192" u="1"/>
        <s v="RESTOBAR TRASH BAG BLACK SML 10'Sx50" u="1"/>
        <s v="(INACTIVE) 2 KARNE NORTE 175GX24" u="1"/>
        <s v="FROOTY RAINBOW POP 25+4'SX40 (865)" u="1"/>
        <s v="Good Life Bihon 400gx30" u="1"/>
        <s v="(INACTIVE) FCI Marinated Chicken Skin 500g" u="1"/>
        <s v="ARLA MILK GOODNESS ORGANIC LOW FAT 1L" u="1"/>
        <s v="MAMA PINAS BUNDLE K (1P350ML1BIHON2BML1001BML150)" u="1"/>
        <s v="SMCCT150GX3_SAVE P6.00 S&amp;M PROMO" u="1"/>
        <s v="AlcoPlus Ethly 250mlx48" u="1"/>
        <s v="(INACTIVE) PRO-2KN100+2KN60+1SMCT100+1SMCCT100+2ML100" u="1"/>
        <s v="GARDENIA CHOCO CREAM ROLL 50G" u="1"/>
        <s v="(INACTIVE) PROMO-2 BINGO KN 150G + 2 BINGO ML 150G X 12" u="1"/>
        <s v="(INACTIVE) POSTER 15X10.5 - SAN MARINO CORNED TUNA" u="1"/>
        <s v="(INACTIVE) PROMO-2 BINGO C. BEEF 150G+1 BINGO ML 150GX16" u="1"/>
        <s v="LOTUS BISCOFF SPREAD SMOOTH 200G" u="1"/>
        <s v="SOLUCKY LEMON FLAVOR CREAM 10'SX18 (623)" u="1"/>
        <s v="(INACTIVE) PROMO-CDO KARNE NORTE CHUNKY 48X150G" u="1"/>
        <s v="(INACTIVE) Select Sukang Puti 1gal w/ Free SP 200ml 1:1" u="1"/>
        <s v="RAIMOL EP2 GREASE NLG12 (GP15KG)" u="1"/>
        <s v="(INACTIVE) Promo-Fiona RaspberryDrops 50ml w/ Youthful 25ml" u="1"/>
        <s v="YOKOHAMA BLUE EARTH 175/70 R13 ES32" u="1"/>
        <s v="ALIBABA FUN CRACKER CHEESE 20GX10'SX10" u="1"/>
        <s v="CJF BATTERY 3SM CHAMPION" u="1"/>
        <s v="WINROX Bleach - Regular Scent 24X500Ml" u="1"/>
        <s v="Tarpaulin 2 x 3" u="1"/>
        <s v="Jolly Creamy Duo Pack save 8" u="1"/>
        <s v="SPEED DAGDAG KALAMANSI 145G BAR X 96" u="1"/>
        <s v="(INACTIVE) CDO BINGO CORNED BEEF 100G - PROMO" u="1"/>
        <s v="Fiona Pretty Mist 100mlx24" u="1"/>
        <s v="ARLA MILK GOODNESS CHOCOLATE 1L" u="1"/>
        <s v="ARLA MILK GOODNESS LACTOSE FREE 1L" u="1"/>
        <s v="DON FRANK COFFEE JELLY 30GX10'SX24" u="1"/>
        <s v="COMFORSER 185/55R15 CF510 82V" u="1"/>
        <s v="Tarpaulin 2 x 5" u="1"/>
        <s v="Mama Pina's Palm Oil 1L x 12 BWS" u="1"/>
        <s v="SPEED Detergent Bar - Speckled Blue 36X380G" u="1"/>
        <s v="(INACTIVE) Mama Pina's Palm Oil 500ml x 24 (Inactive)" u="1"/>
        <s v="(INACTIVE) Cricket Sweet Series (50's/tray) (4-14165014)" u="1"/>
        <s v="TOP 8.25-22.5 (8) 32.5MM RIM" u="1"/>
        <s v="(INACTIVE) SPEED KAL 55Gx5'S+1FREE 5:1" u="1"/>
        <s v="iColor Plus Hair Color Crème Ash Pink 40ml 10sx12" u="1"/>
        <s v="(INACTIVE) Foodcrafters Bacon 250g - Free" u="1"/>
        <s v="HIGHLANDS LUNCHEON BEEF 165GX48" u="1"/>
        <s v="Jolly Peach Halves 825g" u="1"/>
        <s v="RESTOBAR INTERFOLDED P.TOWER 200'Sx30" u="1"/>
        <s v="Mama Pina's Palm Oil 500ml x 24 BAS" u="1"/>
        <s v="(INACTIVE) Nanays Beef Tapa Sweet &amp; Spicy 480g" u="1"/>
        <s v="(INACTIVE) GARDENIA CHOCO CHIP LOAF 7 PESO OFF" u="1"/>
        <s v="TOP 8.00 - 20 (8H) RIM" u="1"/>
        <s v="GULF MULTI G 20W50 12X1" u="1"/>
        <s v="(INACTIVE) FG-1CDCONG340G+1CDOKR340G+CDOCJ340G" u="1"/>
        <s v="DailyFix Strawberry &amp; Yogurt Granola - 350g" u="1"/>
        <s v="(INACTIVE) Pear Shaped Ham 800g" u="1"/>
        <s v="Grips Momentum Body Spray 100ml x 24" u="1"/>
        <s v="Family Rubbing Alcohol Ethyl 70% 1 Gallon x 4" u="1"/>
        <s v="Jimm's 7 in 1 Coffee Mix 12'sx30ib" u="1"/>
        <s v="3CDOKN 150G SAVE 5.00-GANADO BUNDLE" u="1"/>
        <s v="DON ELENA S.SARDINES PURE OLIVE OIL 228G" u="1"/>
        <s v="H &amp; Y Assorted 300gx20 (112)" u="1"/>
        <s v="MALING 170Gx48" u="1"/>
        <s v="(INACTIVE) BINGO MEAT LOAF 48X150G" u="1"/>
        <s v="FUNCEE 350MLx24" u="1"/>
        <s v="(INACTIVE) BIG SMILE SULIT BUNDLES" u="1"/>
        <s v="Sofee Gulaman Powder Mix - Strawberry flavor 15gx10sctx10DB (813)" u="1"/>
        <s v="(INACTIVE) CDO KARNE NORTE CALDERETA 48X100G (OLD)" u="1"/>
        <s v="Jolly Cow Non Fat Milk 200mlx27" u="1"/>
        <s v="Speed Dagdag White 150g x6's + 1 FREE by 16" u="1"/>
        <s v="Dona Elena Pure Olive 250 + Dona Elena Extra Virgin 500 w/ Oil Refiller X 6" u="1"/>
        <s v="DURACELL EVERYDAY ALKALINE AA2" u="1"/>
        <s v="SAN MARINO CORNED TUNA CALDERETA 155GX48 (NEW)" u="1"/>
        <s v="(INACTIVE) SAN MARINO CORNED TUNA 48X85G (Easy-Open)" u="1"/>
        <s v="Jolly Pineapple Chunks 567g" u="1"/>
        <s v="SOO-YOUNG SOAP FOR YOUNG WOMEN 60Gx120" u="1"/>
        <s v="EPI PROMO - 3 Richeese 39g + 4 Richoco 39g" u="1"/>
        <s v="DURACELL EVERYDAY ALKALINE AA4" u="1"/>
        <s v="Promo-Alcoplus Ethyl 70% 500ml w/ Keratinplus Gold" u="1"/>
        <s v="(INACTIVE) CDO MEAT LOAF 48X100G" u="1"/>
        <s v="JOLLY MIXED MUSHROOM 198G" u="1"/>
        <s v="DANES CHEESE SPREAD 220GX24 (NEW)" u="1"/>
        <s v="(INACTIVE) PROMO-CDO KN 175GX2" u="1"/>
        <s v="YELLOWFIN TUNA BELLY 1KG" u="1"/>
        <s v="GARDENIA INDOMIE MI GORENG 85G X 40" u="1"/>
        <s v="Bon Bon Feeding Bottle Plain 4oz" u="1"/>
        <s v="Good Life Bread Crumbs 230gx30" u="1"/>
        <s v="WINROX Bleach - Elegant Breeze 48X250Ml" u="1"/>
        <s v="Good Life Bihon 200gX30" u="1"/>
        <s v="BUDGET 800g Sunflower Fresh Powderx12" u="1"/>
        <s v="HAWKWAY 12.00 R 20 HK808 MINING LUG 20PR" u="1"/>
        <s v="SWEET KAONG (RED) 24X12OZX340G" u="1"/>
        <s v="Dona Elena Spanish Sardines Mild Spicy" u="1"/>
        <s v="Jolly Green Peas 425g" u="1"/>
        <s v="Foodcrafters Negosyo Pack Chicken 1k x 10" u="1"/>
        <s v="(INACTIVE) HIGHLANDS CB 150G PROMO PACK X 3" u="1"/>
        <s v="PRESA 7.00-16 14PR C688" u="1"/>
        <s v="Bon Bon Feeding Bottle Plain 8oz" u="1"/>
        <s v="JOLLY SWEET CORN COB WHOLE 250G X 30" u="1"/>
        <s v="Ego Milky Fruit Milk Drink 24's x 16pks (338)" u="1"/>
        <s v="DANES QUICKMELT CHEESE 165G" u="1"/>
        <s v="Bon Bon Baby Oil Lightly Scented 30mlx72" u="1"/>
        <s v="(INACTIVE) SPEED BBFR 1KG + 2 FREE 55G MORE 150G 1:2" u="1"/>
        <s v="PROMO-CDO LUNCHEON MEAT 350G" u="1"/>
        <s v="Mama Pina's Palm Oil 1L x 12 BTC" u="1"/>
        <s v="BEEF SHORT PLATE 1KG" u="1"/>
        <s v="GARDENIA INDOMIE MI GORENG HOT &amp; SPICY 85G X 40" u="1"/>
        <s v="Jellybee Ice Pop 12's x 15 pks (259)" u="1"/>
        <s v="Deoplus Deodorant Powder 40g x 36 pcs" u="1"/>
        <s v="Jellybee Choco M 24 x 40pks (A994)" u="1"/>
        <s v="ATLANTIC DEO SAE 40 API CD/SE (4X4L)" u="1"/>
        <s v="(INACTIVE) MAMA PINA'S OIL 350ML W/ SOYA 36X1" u="1"/>
        <s v="Alcoplus ECQ Isopropyl 70% 250mlFtx48" u="1"/>
        <s v="Dona Elena Sweet Red Wine 750ml" u="1"/>
        <s v="Cricket Elec Simplicity (50's/tray) (ED-4 Electronic)" u="1"/>
        <s v="Jellybee Jelly Stick 160g x 20 x 24pks (266)" u="1"/>
        <s v="SUPER Q - Q1 Misua 160g x 48" u="1"/>
        <s v="Bon Bon Baby Oil Lightly Scented 60mlx72" u="1"/>
        <s v="Jolly Salted Black Beans 100gx48" u="1"/>
        <s v="H &amp; Y Assorted Mini Fruits Candy 24's x 40 packs (618)" u="1"/>
        <s v="ALIBABA FUN STICK PEANUT 20GX10'SX10" u="1"/>
        <s v="(INACTIVE) CDO LUNCHEON MEAT 150G - PROMO" u="1"/>
        <s v="ARLA MILK GOODNESS ORGANIC LOW FAT 200ML" u="1"/>
        <s v="Mama Pina's Gallon Empty 17KG" u="1"/>
        <s v="CHOCO JOY 50'SX40 (809)" u="1"/>
        <s v="Tasty Palamig Sagot Gulaman 25gx288" u="1"/>
        <s v="EPI PROMO - 3cse CAL + 3cse SPY + 2cse CHSY + 2cse RMN at the price of 9cse" u="1"/>
        <s v="SELECT Cane Vinegar (1/2Gal) 6X1895Ml" u="1"/>
        <s v="(INACTIVE) CDO KARNE NORTE CLASSIC 24X60G" u="1"/>
        <s v="1CDOML150G+1CDOBL150G+CDOCL150GPRMPCK" u="1"/>
        <s v="SELECT Cane Vinegar (1 Gal) 4X3795Ml" u="1"/>
        <s v="(INACTIVE) CDO BARN CHICKEN BBQ 150GX48" u="1"/>
        <s v="Family Rubbing Alcohol 70% w/ Moist 500ml" u="1"/>
        <s v="GARDENIA CHEESE BUNS 250G" u="1"/>
        <s v="CJF DELIUM 185 R14" u="1"/>
        <s v="(INACTIVE) Yumbites Classic Hotdog 1kg x 10" u="1"/>
        <s v="Jimm's Grandee Black Coffee Mix 10's x30 ties" u="1"/>
        <s v="LOTUS BISCOFF SANDWICH MILK CHOCOLATE 150G" u="1"/>
        <s v="Select Soy Sauce 350mL PET x 24" u="1"/>
        <s v="Deoplus Tawas Powder 50g x 144 pcs" u="1"/>
        <s v="Pork Lumpiang Shanghai Negosyo Pack 400g x 18" u="1"/>
        <s v="GULF GEAR EP90 20L" u="1"/>
        <s v="Jolly Asparagus (Spears)430gX24" u="1"/>
        <s v="Pagoda Toliet Deodorizer 50g Orange" u="1"/>
        <s v="TOP 8.25-22.5 10H 14MM RIM" u="1"/>
        <s v="SPEED POWDER DUO PINK/WHITE 360G DET.BAR X 36" u="1"/>
        <s v="GLADLY BATHROOM TISSUE 500'Sx1x96" u="1"/>
        <s v="H &amp; Y Assrtd. Artificially Flavoured Bub.Gum 72gx40 pks (A901)" u="1"/>
        <s v="iColor Plus Shampoo-In Hair Color Medium Brown 30ml 5+1FREE" u="1"/>
        <s v="CJF 17.5 RIM 6 HOLES" u="1"/>
        <s v="(INACTIVE) PROMO-6 SAN MARINO CHILI CORNED TUNA 85G X 8" u="1"/>
        <s v="BINGO CORNED BEEF 150GX3-SAVER'S PACK" u="1"/>
        <s v="H &amp; Y Taro Ube 300gx20 (106)" u="1"/>
        <s v="GBMC Small Tape Diaper x 33pcs" u="1"/>
        <s v="(INACTIVE) Nyam Nyam Jumbo Hotdog 250g" u="1"/>
        <s v="Pagoda Air Freshener Apple" u="1"/>
        <s v="Good Life Premium Vermicelli 500g" u="1"/>
        <s v="SPEED 500g Babad Fresh Roses Powderx24" u="1"/>
        <s v="Mama Pina's Palm Oil 500ml x 24 BWS" u="1"/>
        <s v="(INACTIVE) Mama Pina's Bundle E (1B+1B+1OIL350)" u="1"/>
        <s v="MP PROMO#006 - 1 Canolein Oil 1L with FREE Bigtime Cheese (12's)" u="1"/>
        <s v="Jolly Spreads Swirl Hazelnut 400g" u="1"/>
        <s v="CDO LUNCHEON MEAT X 2 COMBO SAVERS" u="1"/>
        <s v="Jolly Corn Oil 2Lx6" u="1"/>
        <s v="CJF BATTERY NS40 GOLD" u="1"/>
        <s v="(INACTIVE) Alcoplus ECQ Ethyl Alcohol 250mlFtx48" u="1"/>
        <s v="Alcoplus Advance Antibacterial Sanitizer 40mlx36" u="1"/>
        <s v="(INACTIVE) Fiona Snow Breeze 50mlx36" u="1"/>
        <s v="(INACTIVE) CDO SAMBA BRAZILIAN C.BEEF 48X150G" u="1"/>
        <s v="Arla Organic Low Fat Milk 200ml" u="1"/>
        <s v="(INACTIVE) PROMO-4 KN150G # PUREGOLD2014" u="1"/>
        <s v="(INACTIVE) CDO RICE IN A CAN CALDERETA 48X180G" u="1"/>
        <s v="Richoco Cookies - Cookies &amp; Cream 28G x 20ib x 10+1pcs" u="1"/>
        <s v="HAENO LARVACIDE POWER C" u="1"/>
        <s v="BUDGET 65g Sunflower Fresh Powderx192" u="1"/>
        <s v="Family Rubbing Alcohol 70% w/ Moist 150ml" u="1"/>
        <s v="Family Rubbing Alcohol 70% w/ Moist 250ml" u="1"/>
        <s v="Promo-Hard &amp; Mat5g w/ Free KeratinPlusGold (24+6)" u="1"/>
        <s v="(INACTIVE) SPEED BBFR 1kg Get 500g BBFR@50%off" u="1"/>
        <s v="MON'AMI BUTTERCREAM 50'SX40 (968)" u="1"/>
        <s v="(INACTIVE) WOBBLER-HIGHLANDS C.BEEF JAMES YOUNGHUSBAND" u="1"/>
        <s v="(INACTIVE) PROMO-2 BINGO CB 150G+1 BINGO ML 150G" u="1"/>
        <s v="Pagoda Ointment 10g" u="1"/>
        <s v="KeratinPlus Black 20g x 24 packs (12+2)" u="1"/>
        <s v="RESTOBAR MINI FOLDED TN 40'Sx96" u="1"/>
        <s v="(INACTIVE) SEA QUEST TUNA HOT &amp; SPICY 48X180G" u="1"/>
        <s v="LPG 1.4KG EMPTY CYLINDER" u="1"/>
        <s v="Fiona Bubbly Pink 50mlx36" u="1"/>
        <s v="FRENCH FRIES (LUTOSA) 1KG X 10" u="1"/>
        <s v="Pagoda Toilet Deodorizer 100g Strawberry" u="1"/>
        <s v="GARDENIA BUTTER TOAST 2SLICES X 12PACKS" u="1"/>
        <s v="GOODTYRE S.12.00R20 PR18 D.YB338 MINING LUG" u="1"/>
        <s v="Grips Wax - Extreme Hard &amp; Mat 5gx12x36" u="1"/>
        <s v="H &amp; Y Gold Coin 100's x 12 jars (A905)" u="1"/>
        <s v="DEESTONE 8.25-20 D103 RIB 14PR" u="1"/>
        <s v="Grips Strong Hold Green 60gx72" u="1"/>
        <s v="BUDGET POWERBLUE 360G DET. BAR X 36" u="1"/>
        <s v="Promo-KeratinPlus Shampoo Hair Fall Control 22ml(11+1)" u="1"/>
        <s v="HAENO LARVACIDE POWER D" u="1"/>
        <s v="CJF BATTERY 2D TRUCKMASTER" u="1"/>
        <s v="(INACTIVE) CDO BEEFIO LUNCHEON BEEF 24X350G" u="1"/>
        <s v="(INACTIVE) Yumbites King Hotdog 1k - Free" u="1"/>
        <s v="CARP SOY SAUCE 350ML PET" u="1"/>
        <s v="ROADSHINE 12R22.5 18PR RS617 MINING LUG (TUBELESS)" u="1"/>
        <s v="ALIBABA FUN CRACKER MILK 20GX10'SX10" u="1"/>
        <s v="Old Orchard Apple Cranberry Juice 64oz" u="1"/>
        <s v="(INACTIVE) SPEED FABCON 380Gx3'S+FREE FABCON 160G (3:1)X12" u="1"/>
        <s v="MIRAGE 11.00R22.5 MIX" u="1"/>
        <s v="(INACTIVE) Fiona Col Assrtd 100mlx24 w/ Free Face Towel" u="1"/>
        <s v="ATLANTIC GEAR OIL EP SAE 90 GL-4 (DRUM)" u="1"/>
        <s v="Welch 100% Grape Juice Purple 16oz" u="1"/>
        <s v="Dona Elena Flat Fillet Anchovies 56g" u="1"/>
        <s v="PROMO-2 MAMA PINA'S PALM OIL 1L FREE ALIBABA BISCUITS" u="1"/>
        <s v="MP PROMO#005C - 1 Palm Oil 1L with FREE Magic Sarap 8g (12's) BAS" u="1"/>
        <s v="PRESA 185 R14C PV99 8PR" u="1"/>
        <s v="iColor Hair Dye Shampoo 30ml Burgundy 10'sx12" u="1"/>
        <s v="iColor Plus Hair Color Crème Ash Gray 40ml 10sx12" u="1"/>
        <s v="ROADSHINE 185 R14C 8PR RS901" u="1"/>
        <s v="DONA ELENA WHOLE PEELED TOMATOES 800G" u="1"/>
        <s v="GULF SDP 15W40 200L (DRUM)" u="1"/>
        <s v="DONA ELENA DICED CANNED TOMATOES 2550G" u="1"/>
        <s v="(INACTIVE) CDO KARNE NORTE CLASSIC 100GX48 NL" u="1"/>
        <s v="PETLAS 185R14C 8PR POWER PT825" u="1"/>
        <s v="BUENAS NATA WHITE 24x12oz" u="1"/>
        <s v="(INACTIVE) Fries Mccain Smile 500g" u="1"/>
        <s v="SPEED LAUNDRY DISKWENTO PACK - BLUE" u="1"/>
        <s v="(INACTIVE) Nyam Nyam Super King Hotdog 1.2k" u="1"/>
        <s v="Mama Pina's Paminta Whole 15'sx30" u="1"/>
        <s v="SAN MARINO PREMIUM SPANISH SARDINES 24X240G" u="1"/>
        <s v="Jolly Claro Merienda Packx6" u="1"/>
        <s v="Jolly Claro Palm Oil 2Lx6 SUP" u="1"/>
        <s v="Dryplus MOM&amp;BABY CONVI PACK L24" u="1"/>
        <s v="(INACTIVE) Grips Hair Clay 75gx24" u="1"/>
        <s v="Jimm's Grandee White Coffee Mix 10's x 30 ties" u="1"/>
        <s v="WISHBONE THOUSAND ISLAND DRESSING 8OZ" u="1"/>
        <s v="Jolly Pcs &amp; Stems Mushroom 2840gx6" u="1"/>
        <s v="Family Aguardiente 180ml" u="1"/>
        <s v="WIN REG 1L+1FREE LAAL LIQ FC 30ML BY12" u="1"/>
        <s v="BUDGET Jr Purple Blossom 120g Barx96" u="1"/>
        <s v="PORK JOWLS 1KG" u="1"/>
        <s v="ARMOUR CHICKEN VIENNA SAUSAGE 4.6oz" u="1"/>
        <s v="2Jolly Cream of Mushroom Soup 10.5oz Save 8" u="1"/>
        <s v="GENKI TAPE LARGE 62'SX3" u="1"/>
        <s v="Good Life Oyster Sauce 210mlx12" u="1"/>
        <s v="ARLA MILK GOODNESS ORGANIC 1L" u="1"/>
        <s v="SAN MARINO CORNED TUNA 150GX48 (NEW)" u="1"/>
        <s v="Good Life Premium 1st Class Vermacelli 1kg" u="1"/>
        <s v="(INACTIVE) Foodcrafters Hotdog Super King 1.2kx16s" u="1"/>
        <s v="Vaccum Sealed Boneless Bangus Triples (M)" u="1"/>
        <s v="(INACTIVE) Nanays Pork Tocino Ham 230g x 36" u="1"/>
        <s v="Brooke Farm Whole Mushrooms 425g x 24" u="1"/>
        <s v="REMITTANCE SHORTAGES" u="1"/>
        <s v="DR COCO GREEN TEA LHW 500ml REFILL" u="1"/>
        <s v="(INACTIVE) Nanays Pork Tocino Classic 480g" u="1"/>
        <s v="Family Rubbing Alcohol 70% 473ml" u="1"/>
        <s v="ARLA CHEESY SPREAD 240G 2" u="1"/>
        <s v="(INACTIVE) WINROX FRESH FLOWER 1 GAL" u="1"/>
        <s v="CJF BATTERY 3SMF ENDURO" u="1"/>
        <s v="PRESA 195 R14C PV99 8PR" u="1"/>
        <s v="SPEED 1kg Kalamansi Powderx12(new)" u="1"/>
        <s v="(INACTIVE) BINGO CARNE NORTE 100GX48" u="1"/>
        <s v="(INACTIVE) HANGER - KN BAON PACK SINGLES" u="1"/>
        <s v="(INACTIVE) 3 CDO KARNE NORTE 100G W/ FREE 20 TEXTS" u="1"/>
        <s v="_x000d__x000a_(INACTIVE) JINLI KOJIC ACID SOAP 65Gx2 w/ Alcohol 60ml (1x48_x000d__x000a_(INACTIVE) JINLI KOJIC ACID SOAP 65Gx2 w/ Alcohol 60ml (1x48)" u="1"/>
        <s v="DAILYFIX NUTTY GRANOLA 700G" u="1"/>
        <s v="(INACTIVE) CDO KARNE NORTE CHUNKY 48X175G" u="1"/>
        <s v="SPEED BBPW 1KG + 2 FREE 55G MORE 150G 1:2" u="1"/>
        <s v="HIGHLANDS CORNED BEEF GOLD KOREAN BBQ 150GX48" u="1"/>
        <s v="TRAVELER PREM. FACIAL TISSUE 150'SX48 (FANCY)" u="1"/>
        <s v="iColor Plus Shampoo-In Hair Color Chestnut Brown 30ml 5+1FREE 2" u="1"/>
        <s v="GULF SDP 15W40 20L" u="1"/>
        <s v="AVIKO CRINKLE CUT 2.5KGX4" u="1"/>
        <s v="(INACTIVE) iColor Hair Dye Shampoo Dark Brown 30ml 10'sx48" u="1"/>
        <s v="(INACTIVE) Tipid Pack Speed Kal 135g+Pow FR 55g" u="1"/>
        <s v="Capture Nature Tawas Super Strength 50ml" u="1"/>
        <s v="(INACTIVE) CDO SEA QUEST TUNA AFRITADA 48X155G" u="1"/>
        <s v="SPEED 90g Babad FC w/Power Whitener Powderx96 2" u="1"/>
        <s v="ARLA MILK GOODNESS ORGANIC 200ML" u="1"/>
        <s v="BUDGET WHITE W/ANTIBAC 360G DET. BAR X 36" u="1"/>
        <s v="DEESTONE 10.00-20 NYLON LUG" u="1"/>
        <s v="(INACTIVE) BUDGET PB 65gx6's+Free Budget Powder SF 65g 6:2" u="1"/>
        <s v="Nanays Beef Tapa Garlic &amp; Pepper 480g x 20" u="1"/>
        <s v="(INACTIVE) Cricket Mini Faces Series (50's/tray) (4-12165021)" u="1"/>
        <s v="(INACTIVE) Cricket Mini Simplicity Glossy Series (50's/tray) (4-12165005)" u="1"/>
        <s v="(INACTIVE) Mama Pina's Bundle P" u="1"/>
        <s v="(INACTIVE) Dona Elena Capers in Vinegar 100g" u="1"/>
        <s v="Happy Day Orange Juice 1L Twin Pack Save 10.00" u="1"/>
        <s v="H &amp; Y Frosty J.r Icy Cone Candy 24'sx16packs (295)" u="1"/>
        <s v="H &amp; Y Lychee 1500gx6 (103)" u="1"/>
        <s v="SWEET NATA DE COCO (GRN) 24X12OZX340G" u="1"/>
        <s v="XM JOLLY PIECES &amp; STEMS MUSHROOMS 400G" u="1"/>
        <s v="Cricket Elec Simplicity (25's/tray) (ED-4 Electronic)" u="1"/>
        <s v="(INACTIVE) DANES CHEESE BACON IN CADDY BOX 35GX144" u="1"/>
        <s v="BERYL'S DOUBLE CHOCOLATE CHUNK COOKIES MIX 500Gx18" u="1"/>
        <s v="(INACTIVE) CDO LIVER SPREAD 48X85G (EO)" u="1"/>
        <s v="Mama Pina's Palm Oil 350ml x 36 BAS" u="1"/>
        <s v="Tasty Palamig Pineapple 500gx20" u="1"/>
        <s v="TOFIKO CHOCO CRISP 10'SX12X26G (658)" u="1"/>
        <s v="CARP VEGAN SEASONING 19KG CARBOUY" u="1"/>
        <s v="HIGHLANDS CORNED BEEF REGULAR 100GX48" u="1"/>
        <s v="Jar-Wax Extreme Hard &amp; Mat 25gx48" u="1"/>
        <s v="PETLAS 225/70 R16 EXPLERO A/S P1411" u="1"/>
        <s v="3 Jolly Pcs &amp; Stem 198g w/ 2 Jolly Green Pies 155g" u="1"/>
        <s v="(INACTIVE) iColor ABKDT Color Protect Plus Keratic &amp; Lavander Oil 20ml 12'sx144x4" u="1"/>
        <s v="GARDENIA CLASSIC WHITE BREAD 400g" u="1"/>
        <s v="BUENAS NATA GREEN 24x12oz" u="1"/>
        <s v="Tasty Palamig Buko Pandan 500gx20" u="1"/>
        <s v="(INACTIVE) Promo-2pcs RosyRed100ml w/1pc Iso 60ml" u="1"/>
        <s v="(INACTIVE) PROMO-SAN MARINO TUNA PAELLA 48X180G" u="1"/>
        <s v="Mama Pina's Pancit Canton 227g x 18 with Free T-shirt" u="1"/>
        <s v="Dona Elena White Wine 750 ml" u="1"/>
        <s v="Tasty Palamig Blue Lemonade 25gx288" u="1"/>
        <s v="SELECT Cane Vinegar 72X100Ml" u="1"/>
        <s v="Promo - Alcoplus Iso Classic 500ml w/ Keratin Gold x 24" u="1"/>
        <s v="RAIMOL MONO 40 SG/CD (RD200L)" u="1"/>
        <s v="CHOCQUIK FIVE 10'SX20X25G (849)" u="1"/>
        <s v="MP PROMO - 1 Palm Oil 1L with FREE Keratin Gold 20g (12's) FD3" u="1"/>
        <s v="Jolly Whole Kernel Corn 120gx48" u="1"/>
        <s v="JOLLY MIXED MUSHROOMS 100G" u="1"/>
        <s v="Foodcrafters Negosyo Pack Beef 1k x 10" u="1"/>
        <s v="(INACTIVE) PROMO-CDO MEAT LOAF 150G" u="1"/>
        <s v="(INACTIVE) CDO VIENNA SAUSAGE 48X70G" u="1"/>
        <s v="GARDENIA POCKET SANDWICH CHOCOLATE 50G" u="1"/>
        <s v="TOP 8.5 - 20 (10H) RIM" u="1"/>
        <s v="Fiona Pretty Mist 75mlx24" u="1"/>
        <s v="Family Rubbing Alcohol 70% w/ Moisturizer Spray 60ml" u="1"/>
        <s v="Jolly Cow Non Fat Milk 1LX12" u="1"/>
        <s v="(INACTIVE) CDO LIVER SPREAD 48X85G" u="1"/>
        <s v="SWEET KAONG (GREEN) 24X12OZX340G" u="1"/>
        <s v="GARDENIA DELIZIO CAFFINO CLASSIC LATTE 30G X 24TIES X 10PCS" u="1"/>
        <s v="Mama Pina's Palm Oil 17KG FD3" u="1"/>
        <s v="ALI BIG LOVE SNACK NACHO 500G" u="1"/>
        <s v="Select 1L Partner Pack (Soy&amp;SP) x 6" u="1"/>
        <s v="Jolly Vegetable Oil 16.2" u="1"/>
        <s v="(INACTIVE) PROMO-SSS SAVINGS 5 ML150GX9 SQTS150GX3" u="1"/>
        <s v="DANES CLASSIC CHEESE BLOCK 165Gx24" u="1"/>
        <s v="SPEED 90G BABAD FRESH ROSES POWDER FL x96" u="1"/>
        <s v="CONAPLORE UHT FULL CREAM MILK 1LX12" u="1"/>
        <s v="MAMA PINA'S PALM OIL 350ML W/ FREE 4 SACHET PREMIUM PAMINTA" u="1"/>
        <s v="(INACTIVE) Select Soy Sauce 1gal w/ Free SP 200ml 1:1" u="1"/>
        <s v="(INACTIVE) PROMO-2 SM MAC S.S 180G+1 SM MAC T.S 180G" u="1"/>
        <s v="DON FRANK BUKO PANDAN GULAMAN 24GX10'SX24" u="1"/>
        <s v="GBMC Extra Large Tape Diaper x 33pcs" u="1"/>
        <s v="FEDERAL LT285/75 R16 122/119Q 8PR A/T" u="1"/>
        <s v="SELECT Sukang Puti 24X350Ml" u="1"/>
        <s v="ARLA Milk Goodness Organic 200ml 2" u="1"/>
        <s v="(INACTIVE) FREE MUFFIN FACE MASK" u="1"/>
        <s v="2Jolly Whole Mush400g+1Cream of Mush10.5oz Save 15" u="1"/>
        <s v="JACKPOT LUMPIANG SHANGHAI 220g x 32 CHICKEN" u="1"/>
        <s v="Fiona Rosy Red 50mlFtx36" u="1"/>
        <s v="(INACTIVE) PROMO-6 CDO KN150G+4 KN 100G+2 CVL 150G" u="1"/>
        <s v="Sofee Jelly Powder Mix - Orange Flavor 15g x 10 sachets x 10DB (816)" u="1"/>
        <s v="Cricket Orig Simplicity (50's/tray) (ED-1 Original)" u="1"/>
        <s v="GENKI TAPE SMALL 82+5'SX3" u="1"/>
        <s v="BUENAS NATA RED 24x360g" u="1"/>
        <s v="(INACTIVE) SPEED 500g Kalamansi Powder w/1Pc White 160(1:1)x24" u="1"/>
        <s v="(INACTIVE) CDO CHINESE HAM 3.3KG" u="1"/>
        <s v="Tasty Palamig Lemon Iced Tea 500gx20" u="1"/>
        <s v="(INACTIVE) Nanay's Pork Tocino Classic 1kg x 10" u="1"/>
        <s v="KeratinPlus Shampoo Daily Nourishing 22ml x 12's" u="1"/>
        <s v="CHAMPI TSOKO PNUTS PREMIUM 20'SX48 (795)" u="1"/>
        <s v="Good Life Vermicelli 16ozX50" u="1"/>
        <s v="ARLA MILK GOODNESS FULL CREAM 1L B2S10" u="1"/>
        <s v="Mama Pina`s Boneless Bangus Double L(2)" u="1"/>
        <s v="(INACTIVE) DIAMOND P.D.WATER 36X350ML" u="1"/>
        <s v="(INACTIVE) SEA QUEST CORNED TUNA GUISADO 48X100G" u="1"/>
        <s v="TUBE ULTRA U-TUBE 6.50/7.00-16 MADE INKOREA" u="1"/>
        <s v="Dona Elena Pure Olive Oil 5L x 3" u="1"/>
        <s v="Langnese Bee Easy Lavender Honey 250g" u="1"/>
        <s v="SELECT Sukang Puti 36x340ml w/Easy Twist cap" u="1"/>
        <s v="SELECT Soy Sauce 144x60ml" u="1"/>
        <s v="Fiona Ice Glacier 50mlx36" u="1"/>
        <s v="MP PROMO - 1 Canolein Oil with FREE Bigtime Cheese (12's)" u="1"/>
        <s v="JOLLY MIXED MUSHROOMS 400G" u="1"/>
        <s v="PROMO CORELESS 10'Sx18" u="1"/>
        <s v="(INACTIVE) Mama Pina's Pancit Canton 227g x 5" u="1"/>
        <s v="(INACTIVE) PROMO-SSS SAVINGS 1 KNX8 LMX3" u="1"/>
        <s v="H &amp; Y Sofee Assorted w/ Nata De CoCo 24'sx20packs (282)" u="1"/>
        <s v="(INACTIVE) PROMO-2 SM MAC T.S 180G+1 SM MAC S.S 180G" u="1"/>
        <s v="PROMO-SAN MARINO CTR 180GX3" u="1"/>
        <s v="HIGHLANDS CORNED BEEF GOLD BLACK PEPPER 150GX48" u="1"/>
        <s v="(INACTIVE) BINGO CORNED BEEF 60GX24 (SINGLE)" u="1"/>
        <s v="(INACTIVE) Promo - Deoplus Deodorant Powder 80g w/ Free Puff" u="1"/>
        <s v="ALIBABA FISH CRACKER 16GX10'SX20" u="1"/>
        <s v="Jimm's 5 in 1 Coffee Mix - No Sugar Added 20'sx30ib" u="1"/>
        <s v="Richoco Cookies- Cookies and Cream 28g (10pcsx20bags) PHL" u="1"/>
        <s v="Mama Pina's Palm Oil 350ml x 36 BWS" u="1"/>
        <s v="CHOCQUIK 20g 12'SX18 (8080)" u="1"/>
        <s v="Pagoda Pure Acetone 946ml" u="1"/>
        <s v="iColor Hair Dry Shampoo Triple Color Changer 25ml 10'sx12" u="1"/>
        <s v="SPEED 55GMORE WHITE 150GX5'S+1FREE 5:1" u="1"/>
        <s v="BIGTIME CHEESE 165GX24" u="1"/>
        <s v="BON CHEF PANKO BREAD CRUMBS 1KGX10" u="1"/>
        <s v="DEESTONE 185/65R14 NAKARA R201 86H" u="1"/>
        <s v="CLARO PET DUO PACK WITH KING CUPX6" u="1"/>
        <s v="Brooke Farms Sweetened Condensed Creamer 380gx48" u="1"/>
        <s v="Jolly Salted Black Beans 180gx48" u="1"/>
        <s v="(INACTIVE) POSTER 15X21-CDO KN MADISHKARTE" u="1"/>
        <s v="POTCHI GUMMY BEAR 50'SX40 (891)" u="1"/>
        <s v="(INACTIVE) SAN MARINO TUNA LAING 180GX48" u="1"/>
        <s v="TWO FOR HUE IC (LIGHT BROWNx2) 25ML" u="1"/>
        <s v="(INACTIVE) 2 KARNE NORTE 260GX24" u="1"/>
        <s v="ATLANTIC DEO 15W-40 CF-4/SG (JUG)" u="1"/>
        <s v="GOODTYRE S.12.00R22.5 PR16 D.GT918 LUG" u="1"/>
        <s v="Welch 100% Grape Juice Purple 46oz" u="1"/>
        <s v="(INACTIVE) CDO LECHON PAKSIW 48X155G (EO)" u="1"/>
        <s v="BUDGET Power Blue 380g Det.Barx36" u="1"/>
        <s v="(INACTIVE) 2 TINS CDO LUNCHEON MEAT 350G" u="1"/>
        <s v="(INACTIVE) 1 DANES CHEESE BALL 750G" u="1"/>
        <s v="AlcoPlus Ethyl 60mlx36-Spray" u="1"/>
        <s v="RESTOBAR TRASH BAG BLACK XXL 10'Sx50" u="1"/>
        <s v="V FRESH SPEARMINT 50+5'SX40 (1018)" u="1"/>
        <s v="RESTOBAR PLASTIC FORKS 25'Sx50" u="1"/>
        <s v="Alcoplus Isoproply 70% 330ml x 24 - Spray" u="1"/>
        <s v="H &amp; Y Taro Ube 1500gx6 (107)" u="1"/>
        <s v="Richeese Cheesy Ramen 74gx40pcs" u="1"/>
        <s v="TIPID PACK SPEED BLUE 135G+POW FR 55G x 40" u="1"/>
        <s v="TRAVELER ADULT DIAPER ESSENTIALS M-L 10'Sx10" u="1"/>
        <s v="Dona Elena Blended Oil 1Lx15" u="1"/>
        <s v="BUENAS NATA RED 24x12oz" u="1"/>
        <s v="PETLAS 155/80R13 ELEGANT PT311" u="1"/>
        <s v="iColor Plus Shampoo-In Hair Color Dark Brown 30ml 5+1FREE" u="1"/>
        <s v="MP PROMO#005B - 1 Palm Oil 1L with FREE Magic Sarap 8g (12's) BTC" u="1"/>
        <s v="CJF DELIUM 165/65 R13" u="1"/>
        <s v="CJF DELIUM 185/60 R15" u="1"/>
        <s v="(INACTIVE) SM BLUE MACKEREL STEAK IN T. SAUCE 48X180G (E.O)" u="1"/>
        <s v="DEESTONE 11.00R22.5 SV401 RIB 18PR 151/148K" u="1"/>
        <s v="(INACTIVE) iColor Hair Dry Shampoo Triple Color Changer 25ml 10'sx64" u="1"/>
        <s v="GARDENIA HIGH FIBER WHEAT RAISIN LOAF 400g" u="1"/>
        <s v="(INACTIVE) CDO LUNCHEON MEAT 48X150G" u="1"/>
        <s v="ALIBABA HAPPY BEAR PLAIN 20GX10'SX10" u="1"/>
        <s v="H &amp; Y Star Cup Chocolate + Biscuit 24's x 30 packs (644)" u="1"/>
        <s v="BUNGE NON-DAIRY WHIP TOPPING 1LX12" u="1"/>
        <s v="GARDENIA PANDESAL + FREE NESCAFE (2GX3PCS)" u="1"/>
        <s v="SPEED Babad 12X1Kg" u="1"/>
        <s v="SWEET KAONG (RED) 24X8OZX240G" u="1"/>
        <s v="DEESTONE 11.00R20 SK421 BLOCK MIX 16PR 150/147K" u="1"/>
        <s v="WINROX BLEACH FRESH LEMON 1000ML W/FREE" u="1"/>
        <s v="(INACTIVE) Fiona Snow Breeze 75mlx24" u="1"/>
        <s v="GARDENIA NUEBAKE WHEATEN 560G" u="1"/>
        <s v="H &amp; Y Golden Coin Chocoloate Candy 24's x 30 pks (A321)" u="1"/>
        <s v="(INACTIVE) CDO HOLIDAY HAM SLICES 200G" u="1"/>
        <s v="OPERATIONAL SHORTAGES" u="1"/>
        <s v="GARDENIA UBE FILLED BUNS 80G" u="1"/>
        <s v="DON FRANK GREEN GULAMAN 24GX10'SX24" u="1"/>
        <s v="ARLA MILK GOODNESS CHOCOLATE 200ML" u="1"/>
        <s v="Jolly Whole Corn Kernels 425gX24" u="1"/>
        <s v="SUPER Q - Golden Bihon 454g x 15" u="1"/>
        <s v="(INACTIVE) SEA QUEST IN TOMATO SAUCE 48X155G" u="1"/>
        <s v="Jolly Canola Oil 1L-Duo" u="1"/>
        <s v="WINROX Bleach - Fresh Lemon 6X1/2Gallon" u="1"/>
        <s v="Pagoda Liquid Sosa 250ml" u="1"/>
        <s v="Time Break Cheese 20G x 20ib x 10pcs" u="1"/>
        <s v="PROMO BATHROOM TISSUE 2PLY 300'Sx12x8" u="1"/>
        <s v="CHRISTMAS PACK" u="1"/>
        <s v="(INACTIVE) HANVIN - CHARGE SALES INVOICE" u="1"/>
        <s v="Sofee Gulaman Powder Mix - Red (unflavored) 15gx10sctx10DB (803)" u="1"/>
        <s v="BUENAS KAONG GREEN 24x8oz" u="1"/>
        <s v="(INACTIVE) CDO LUNCHEON MEAT 48X165G (OLD)" u="1"/>
        <s v="Jolly Green Peas 155gx50" u="1"/>
        <s v="ODYKING 11R22.5 16PR RIB OD176" u="1"/>
        <s v="Delicious Spaghetti 1kx10w/Dole Butter &amp; C" u="1"/>
        <s v="WINROX Bleach - Regular Scent 6X1/2Gal" u="1"/>
        <s v="2 Jolly Whole Corn + 2 Jolly Cream Corn" u="1"/>
        <s v="(INACTIVE) PLASTIC STREAMER 2.5X1.5-DANES SLICED CHEESE" u="1"/>
        <s v="WINEDERFUL BAG" u="1"/>
        <s v="Fiona Cool Burst 50ml Spray x36" u="1"/>
        <s v="(INACTIVE) SPEED KAL 55GX6'S+1FREE 55GMORE SK 150G 6:1" u="1"/>
        <s v="(INACTIVE) SPEED Kalamansi 380g+35g Kal Free 1:1" u="1"/>
        <s v="Jackpot Hotdog Super King Size With Cheese 1.2kg" u="1"/>
        <s v="Chibog Regular Cheesedog 200g x 45" u="1"/>
        <s v="KeratinPlus Black 20g 11 + 1 promo" u="1"/>
        <s v="(INACTIVE) CDO BINGO KARNE NORTE 48X100G" u="1"/>
        <s v="PETLAS 255/60 R18 EXPLERO NT PT431 RF" u="1"/>
        <s v="GARDENIA MULTIGRAIN SOFT BUN" u="1"/>
        <s v="SPEED Detergent Bar - Kalamansi 36X380G" u="1"/>
        <s v="MAY 100% SPARKLING RED JUICE 750ML" u="1"/>
        <s v="Jolly Green Peas 100gx48" u="1"/>
        <s v="(INACTIVE) 3 TINS CDO LUNCHEON MEAT 150G" u="1"/>
        <s v="EPI PROMO - Richoco 39g Buy 10cse at the price of 9cse" u="1"/>
        <s v="FCI Bacon 12inch 1kg" u="1"/>
        <s v="Bon Bon Silicon Nipple" u="1"/>
        <s v="(INACTIVE) Cricket Orig Matte (25's/tray) (4-11162570)" u="1"/>
        <s v="Happy Day Apple Juice 1L" u="1"/>
        <s v="(INACTIVE) BINGO CORNED BEEF 60GX8 BUNDLE" u="1"/>
        <s v="3CDOKN 100G SAVE 4.00-GANADO BUNDLE" u="1"/>
        <s v="2Jolly Whole Mush 400g w/free Olive Oil Pure 20ml" u="1"/>
        <s v="GARDENIA NEUBAKE SPANISH BREAD 150g" u="1"/>
        <s v="Promo-Alcoplus Advance 500ml w/ HandSanitizer 60ml" u="1"/>
        <s v="ARMOUR TREET LITE 12OZ" u="1"/>
        <s v="SUNSTAR 11R22.5 16PR AM888 MIX" u="1"/>
        <s v="Richeese Cheesy Pancit Canton 74gx40pcs" u="1"/>
        <s v="Promo - Alcoplus Iso Classic 150ml w/ Keratin Gold" u="1"/>
        <s v="KOOL'EM SOFT CHEWY 50'SX40 (808)" u="1"/>
        <s v="JOLLY HEART MATE CANOLA OIL PET 2L" u="1"/>
        <s v="(INACTIVE) JINLI KOJIC ACID SOAP 65Gx2 w/ Alcohol 60ml (1x48)" u="1"/>
        <s v="(INACTIVE) SPEED BBPW55Gx6's+2FREE" u="1"/>
        <s v="Jimm's 3 plus 1 Coffee Mix with Ginseng 12's" u="1"/>
        <s v="Wilderness Berry Strawberry 21oz" u="1"/>
        <s v="Jellybee Assorted Fruity Jelly 12x30 (254)" u="1"/>
        <s v="GLADLY CORELESS TISSUE 30G 10'Sx18" u="1"/>
        <s v="Good Life Premium Vermicelli 250g" u="1"/>
        <s v="(INACTIVE) CDO PORK &amp; BEANS 48X165G" u="1"/>
        <s v="JUMBO CHERRI JAR 120'SX12 (710)" u="1"/>
        <s v="Jolly Pineapple Chunks 432gx24" u="1"/>
        <s v="Good Life Sesame Oil 100mlx24" u="1"/>
        <s v="SPEED 55G MORE SPECK. BLUE 150G BARX96" u="1"/>
        <s v="(INACTIVE) Alcoplus Ethyl 500mlFtx24 Head Spray" u="1"/>
        <s v="RESTOBAR TRASH BAG BLACK LGR 10'Sx50" u="1"/>
        <s v="WINROX Bleach - Fresh Flower 24X500Ml" u="1"/>
        <s v="MP BUNDLE - 2 C227g + 1 B454g + 15 PCRK1g Save 30 Pesos (6's)" u="1"/>
        <s v="Cocio Classic Chocolate Milk 270mlx8" u="1"/>
        <s v="(INACTIVE) Speed BBPW 1kg+1FREE 55gMore FC 150g 1:1" u="1"/>
        <s v="TENTAY PATIS FLAVOR 350ML PET" u="1"/>
        <s v="CDO KARNE NORTE HNS 100GX48 NL" u="1"/>
        <s v="PROMO BATHROOM TISSUE 1'Sx16x3 (PLASTIC BUNDLE)" u="1"/>
        <s v="(INACTIVE) Fiona Snow Breeze 25mlx36" u="1"/>
        <s v="SPARKLING BAG" u="1"/>
        <s v="Speed Dagdag Kal 150g x6's + 1 FREE by 16" u="1"/>
        <s v="Richeese Cheese Cream Wafer 39gx60pcs" u="1"/>
        <s v="Pagoda Muriatic Acid Household Grade 500ml" u="1"/>
        <s v="(INACTIVE) Delizioso Bacon 200g" u="1"/>
        <s v="GULF MAX X 20W50 12X1L" u="1"/>
        <s v="SAN MARINO TUNA FILLET SS 180GX48EO (IN)" u="1"/>
        <s v="Good Life Sesame Oil 210mlX24" u="1"/>
        <s v="Grips Wax Hard &amp; Mat 25g x 216" u="1"/>
        <s v="(INACTIVE) iColor Organic Hair Dye Shampoo Black 25ml 10'sx64" u="1"/>
        <s v="(INACTIVE) CDO CHUNKY SISIG 48X155G (E.O)" u="1"/>
        <s v="Cricket Orig Simplicity (25's/tray) (ED-1 Original)" u="1"/>
        <s v="(INACTIVE) Fiona 25ml 6pcs w/ Free 1doz Gel Sachet" u="1"/>
        <s v="OTSO VANILLA SANDWICH 10'SX20 (602)" u="1"/>
        <s v="(INACTIVE) CDO PISTA HAM 1KG (OLD)" u="1"/>
        <s v="SWEET NATA DE COCO (GRN) 12X24OZX680G" u="1"/>
        <s v="(INACTIVE) SM BLUE MACKEREL STEAK SPANISH STYLE 48X180G" u="1"/>
        <s v="Alcoplus Isopropyl 40% 250mlFx48" u="1"/>
        <s v="CJF TIRE 175R13 8P OVATION" u="1"/>
        <s v="SPEED 500g Kalamansi Powderx24(new)" u="1"/>
        <s v="Tasty Palamig Mango 25gx288" u="1"/>
        <s v="(INACTIVE) PROMO-2 SMCT 100G+5 SMCT 150G+2 SMCCT 150G+2 SMTP" u="1"/>
        <s v="CDO MEAT LOAF 150GX4 - SAVING BUNDLE" u="1"/>
        <s v="Jolly Canola 500 ml Duo Packx12" u="1"/>
        <s v="Alcoplus Isopropyl 40% 60mlFtx36" u="1"/>
        <s v="ALIBABA HAPPY BEAR CHOCO 20GX10'SX10" u="1"/>
        <s v="CASUMINA 10.00-20 18PR CA405J RIB SET" u="1"/>
        <s v="Promo-Alcoplus Isopropyl 500ml w/ Keratinplus Gold" u="1"/>
        <s v="Pagoda Toilet Deodorizer 50g S-berry" u="1"/>
        <s v="MP PROMO - 1 Palm Oil 1L with FREE Magic Sarap 8g (12's) FD3" u="1"/>
        <s v="SUPER BUBBLE 40'SX40 (832)" u="1"/>
        <s v="Pagoda Cold Wave Lotion 473ml" u="1"/>
        <s v="Tasty Milktea Chocolate 500gx20" u="1"/>
        <s v="Grips Strong Hold Green 130gx48" u="1"/>
        <s v="ROADSHINE 225/80 R17.5 16PR RS615" u="1"/>
        <s v="Good Life Sesame Oil 420mlx24" u="1"/>
        <s v="CJF 7.00-16 12PR S253" u="1"/>
        <s v="Richoco Vervet Cookies 36g x 20ib x 10pcs" u="1"/>
        <s v="(INACTIVE) MAMA PINA'S OIL 350ML W/FREE 4 SACHET PREMIUM PAMINTA" u="1"/>
        <s v="(INACTIVE) SEA QUEST CORNED TUNA GUISADO 48X150G" u="1"/>
        <s v="HUE SPEND LESS FOR COMPLETE IC (BLACK+ARGAN) 25ML" u="1"/>
        <s v="3K BATTERY SOLUTION" u="1"/>
        <s v="CJF BATTERY 2SM GOLD" u="1"/>
        <s v="Promo-Alcoplus Ethyl Classic 500 w/ Keratin Gold" u="1"/>
        <s v="PROMO BATHROOM TISSUE 2PLY 300'Sx4x24" u="1"/>
        <s v="(INACTIVE) GARDENIA B2T1 - CHR CHR CSR" u="1"/>
        <s v="PRESA 10.00-20 16PR P276 SETxx" u="1"/>
        <s v="MAMA PINA'S BUNDLE H (1C1L1SV200) x 12" u="1"/>
        <s v="PETLAS 195/55 IMPERIUM PT515" u="1"/>
        <s v="DANES HG MAYO 220G W/ SAUCER PROMO" u="1"/>
        <s v="Jolly Grass Jelly 540gx24" u="1"/>
        <s v="JOLLY BOX 1" u="1"/>
        <s v="COMFORSER R13/55R17 CF710 94V" u="1"/>
        <s v="JOLLY BOX 2" u="1"/>
        <s v="(INACTIVE) CDO HAMON DE BOLA 850G (OLD)" u="1"/>
        <s v="CARP VEGAN SEASONING 3785ML PLASTIC" u="1"/>
        <s v="Jolly Pancit Pack Save 10" u="1"/>
        <s v="DANES CHILI CHEESE 165G" u="1"/>
        <s v="Motts 100% Apple Juice 32oz" u="1"/>
        <s v="(INACTIVE) Grips Ignite 100ml w/ Free Clay 25g" u="1"/>
        <s v="(INACTIVE) 2 SM CT 85G+2 SMCCT 85G+1 FREE KN H&amp;S 100G" u="1"/>
        <s v="(INACTIVE) Nissin Chicken Bowl 103gmx12" u="1"/>
        <s v="Jolly Corn Oil 5Lx4" u="1"/>
        <s v="DRYPLUS B.DIAPER TRIAL PACK XL 4'Sx72" u="1"/>
        <s v="1CDOKR340G+1CDONG340G CELEB PACK" u="1"/>
        <s v="TOP 7.00-20 (8H) RIM" u="1"/>
        <s v="PETLAS 205/55R15 VELOX SPORT PT711" u="1"/>
        <s v="(INACTIVE) GARDENIA BUY 2 BREADROLL SAVE P11.50 - BUNDLE A" u="1"/>
        <s v="Richoco Milk Vanilla Wafer MLBB 48gx60pcs" u="1"/>
        <s v="SUPER Q - Kan Mian 50g/12 x 24" u="1"/>
        <s v="(INACTIVE) PROMO-SMCTR 150GX3 + CTRAFT 155GX1" u="1"/>
        <s v="LPG 11KG POL EMPTY TANK (OB)" u="1"/>
        <s v="Tasty Palamig Sagot Gulaman 500gx20" u="1"/>
        <s v="(INACTIVE) CDO KARNE NORTE 150G - PROMO" u="1"/>
        <s v="TOP 7.50-20 (8H) RIM" u="1"/>
        <s v="DOLUX Bleach 24X500Ml" u="1"/>
        <s v="Fiona Pretty Mist 25mlx36" u="1"/>
        <s v="CHAMPI CHOCO PREMIUM 20'SX48 (791)" u="1"/>
        <s v="(INACTIVE) Promo-Keratin Plus 20gx12 Free Jinlikojic Soap" u="1"/>
        <s v="SPEED Powder - Kalamansi 24X480G" u="1"/>
        <s v="GARDENIA CLASSIC WHITE BREAD 600g REGULAR SLICE" u="1"/>
        <s v="RAIMOL LUBRO DEO SAE 15W40 CF-4/SG (GP18L)" u="1"/>
        <s v="Franzia California Red 750mlx12" u="1"/>
        <s v="GARDENIA POCKET SANDWICH STRAWBERRY PASTILLAS" u="1"/>
        <s v="(INACTIVE) Alcoplus ISO 60ml(6pcs+1pckClaySachet5g)" u="1"/>
        <s v="SPEED 2Kg Babad FC w/Power Whitener Powderx6" u="1"/>
        <s v="GOODTYRE S.10R20 PR18 D.YB268 MIX TFF" u="1"/>
        <s v="(INACTIVE) 3 CDO KARNE NORTE 150G W/ FREE 20 TEXTS" u="1"/>
        <s v="(INACTIVE) iColor Organic Hair Dye Shampoo Black 25ml 10'sx48" u="1"/>
        <s v="Foodcrafters Hotdog Super King 1.2k" u="1"/>
        <s v="DONA ELENA DICED CANNED TOMATOES 800G" u="1"/>
        <s v="BUENAS NATA WHITE 24x360g" u="1"/>
        <s v="GARDENIA BS - CHEESE ENSAYMADA" u="1"/>
        <s v="(INACTIVE) CDO HOLIDAY HAM 1KG (OLD)" u="1"/>
        <s v="AlcoPlus Ethyl 60mlx36" u="1"/>
        <s v="(INACTIVE) SEA QUEST IN TOMATO SAUCE 48X110G" u="1"/>
        <s v="(INACTIVE) CDO LIVER SPREAD 85G - PROMO" u="1"/>
        <s v="Pink Lava Wafer PHL 22g x 20ib x 10pcs" u="1"/>
        <s v="BUDGET Pink Carnation 380g Det.Barx36" u="1"/>
        <s v="RAIMOL LUBRO DEO SAE 15W40 CF-4S/G(RD200L)" u="1"/>
        <s v="Ego V-Roll Candy Chocolate Flavor 24's x 40 pks (361)" u="1"/>
        <s v="May 100% Red Grape Juice 750mlX12" u="1"/>
        <s v="GLADLY CORELESS TWIN 30G 2'SX90" u="1"/>
        <s v="(INACTIVE) Nyam Nyam Jumbo Hotdog 1.2kg" u="1"/>
        <s v="(INACTIVE) SAN MARINO CORNED TUNA 48X150G 1" u="1"/>
        <s v="ALIBABA FISH CRACKER 150GX15'S" u="1"/>
        <s v="Family Tawas Powder 50g" u="1"/>
        <s v="Negosyo Pack Lumpiang Shanghai Chicken 200g x36" u="1"/>
        <s v="(INACTIVE) CDO KARNE NORTE CHUNKY 48X150G (OLD)" u="1"/>
        <s v="Jolly Whole Mushroom 400gx24" u="1"/>
        <s v="(INACTIVE) SAN MARINO TUNA FLAKES IN HOT &amp; SPICY 48X180G" u="1"/>
        <s v="(INACTIVE) BUDGET SF 65gx6's+Free Budget Powder PB 65g 6:2x24" u="1"/>
        <s v="TENTAY FISHBALL SAUCE - SPICY 350G" u="1"/>
        <s v="DANES CHEESE SWEET &amp; CREAMY 35G x144" u="1"/>
        <s v="BUENAS FRUIT MIX 24x12oz" u="1"/>
        <s v="2Jolly Kernel Corn 425g w/Master Chef Corn Starch" u="1"/>
        <s v="Family Dishwashing Liquid Calamansi 500ml" u="1"/>
        <s v="Jolly Claro Palm Oil 1Lx12 SUP" u="1"/>
        <s v="(INACTIVE) CDO KARNE NORTE AFRITADA 48X100G" u="1"/>
        <s v="iColor Gift Set Medium Brown 30ml x 5 with FREE pouch,bowl &amp; brush" u="1"/>
        <s v="(INACTIVE) CDO CHUNKY SISIG 48 X 210G" u="1"/>
        <s v="(INACTIVE) CDO KARNE NORTE AFRITADA 48X150G" u="1"/>
        <s v="(INACTIVE) SPEED SPECK BLUE 380Gx3'S+ FREE SPECK BLUE 160G (3:1)x12" u="1"/>
        <s v="HIGHLANDS CLASSIC CORNED BEEF 150GX48" u="1"/>
        <s v="LOTUS BISCOFF ORIGINAL 124G" u="1"/>
        <s v="DON FRANK CHOCO JELLY 30GX10'SX24" u="1"/>
        <s v="LOTUS BISCOFF ORIGINAL 125G" u="1"/>
        <s v="SPEED 50% Dagdag Bar - Speckled Blue 96X160G" u="1"/>
        <s v="(INACTIVE) CDO HOLIDAY HAM 1.1KG (OLD)" u="1"/>
        <s v="Mama Pina's Pancit Canton 1kg x 12" u="1"/>
        <s v="(INACTIVE) Promo - Grips Extreme HM 5g 24+6 (Dagdag Kita)" u="1"/>
        <s v="iColor Shampoo in Hair Color Dark Brown 30ml 5+1FREE" u="1"/>
        <s v="FROOTY KISSY POP 20'SX50 (772)" u="1"/>
        <s v="KeratinPlus Gold 20g x 24 packs 11 + 1 promo" u="1"/>
        <s v="(INACTIVE) Promo-Fiona Rosy Red 100mlFTx24 w/ Shampoo" u="1"/>
        <s v="HIGHLANDS CORNED BEEF GOLD 210GX48" u="1"/>
        <s v="(INACTIVE) CDO VIENNA SAUSAGE 48X114G" u="1"/>
        <s v="LALA LIQUID FABCON FRESH BREEZE 30ML X 288" u="1"/>
        <s v="Jolly Claro SUP 1L Duo Pack" u="1"/>
        <s v="Bertolli Extra Virgin Olive Oil 500ml" u="1"/>
        <s v="WINROX Bleach - Fresh Flower 12X1000Ml" u="1"/>
        <s v="CDO KARNE NORTE CLASSIC 175GX48 N20,20" u="1"/>
        <s v="SAN MARINO CHILI CORNED TUNA 48X85G" u="1"/>
        <s v="LOTUS BISCOFF SANDWICH VANILLA 150G" u="1"/>
        <s v="(INACTIVE) Icolor Organic Hair Dye Shampoo 25ml Black 10'sx12" u="1"/>
        <s v="(INACTIVE) Nyam Nyam Jumbo Hotdog 1kg" u="1"/>
        <s v="(INACTIVE) PROMO-2 BINGO C.BEEF 150G+1 BINGO BL 150GX16" u="1"/>
        <s v="GARDENIA AMAZING BUTTERSCOTCH LOAF 400G" u="1"/>
        <s v="(INACTIVE) HIGHLANDS CORNED BEEF 48X180G (E.O)" u="1"/>
        <s v="MP PROMO#014 - Mama Pina's Pancit Canton 227g x 18 with Free T-shirt" u="1"/>
        <s v="ALIBABA FISH CRACKER 330GX35'S" u="1"/>
        <s v="DAILYFIX VERY NUTTY GRANOLA 700G" u="1"/>
        <s v="Doña Elena Diced Canned Tomatoes 400g" u="1"/>
        <s v="(INACTIVE) Foodcrafters Super Kingsize 1.5kg" u="1"/>
        <s v="Dona Elena Pure Olive Oil 5Lx4" u="1"/>
        <s v="ARLA ORGANIC FULL CREAM 800G" u="1"/>
        <s v="Nyam Nyam Super Kingsize Brown Hotdog 1.2kg x 8" u="1"/>
        <s v="Sofee Gulaman Powder Mix - White (unflavored) 15gx10sctx10DB" u="1"/>
        <s v="MEGA 750-16 16PR MX206 RIB SET" u="1"/>
        <s v="Pagoda Pure Acetone 473ml" u="1"/>
        <s v="INOVATIVE 10.00-20 16PR ITL444E LUG SET" u="1"/>
        <s v="Fiona Raspberry 25mlx36" u="1"/>
        <s v="FRUTOS TROPICAL FRUITS 50+3'SX40 (907)" u="1"/>
        <s v="Richeese Cheesy Calamansi Pancit Canton 74gx40pcs" u="1"/>
        <s v="WHITE BREAD 600G RS + FREE LADYSCHOICE" u="1"/>
        <s v="(INACTIVE) 6 CDO MEAT LOAF 150G FREE 1 BINGO CB 60G" u="1"/>
        <s v="ARMOUR VIENNA SAUSAGE REDUCED FAT 4.6oz" u="1"/>
        <s v="Jolly Claro Pet 1L w/Lucky Me PC" u="1"/>
        <s v="KeratinPlus Gold Tube 200g x 24 pcs" u="1"/>
        <s v="PROMO-JINLI KOJIC ACID SOAP 135G w/ AlcoPlus 60mlX48" u="1"/>
        <s v="(INACTIVE) Cricket Sweet Series (25's/tray) (4-14162519)" u="1"/>
        <s v="DANES BACON CHEESE 35GX144" u="1"/>
        <s v="ALIBABA FUN STICK CHOCO 20GX10'SX10" u="1"/>
        <s v="Brooke Farms Glutinous Rice Flour 500gmx20" u="1"/>
        <s v="SOO-YOUNG KOJIC ACID 60Gx48" u="1"/>
        <s v="SPD BBPW-L 1KGS+2FREE DSB 145G 1:2 BY12" u="1"/>
        <s v="BINGO MEAT LOAF 150GX3-SAVER'S PACK" u="1"/>
        <s v="Doña Elena Al Dente Lasagna 500g" u="1"/>
        <s v="WHOLE PRE-CUT FOLDED 1000'SX20" u="1"/>
        <s v="DEESTONE 165/65R13 NAKARA R201 77T" u="1"/>
        <s v="Dragon Mosquito Coil Unscentedx60" u="1"/>
        <s v="Family Rubbing Alcohol 70% w/ Moist 500mlx36 (PET)" u="1"/>
        <s v="(INACTIVE) CDO JAMON DE BOLA 850G" u="1"/>
        <s v="(INACTIVE) HIGHLANDS CORNED BEEF 48X260G (EO)" u="1"/>
        <s v="PROMO-JINLI KOJIC ACID SOAP 45G'3 w/ ALCOPLUSX16" u="1"/>
        <s v="(INACTIVE) CDO KARNE NORTE 60G - PROMO" u="1"/>
        <s v="(INACTIVE) CDO VIENNA SAUSAGE 70G - PROMO" u="1"/>
        <s v="MYBIDA CHOCOLATE 10'SX20 (653)" u="1"/>
        <s v="AKOTO KOJIC SOAP W/ COLLAGEN - SAVERS PACK 65G" u="1"/>
        <s v="(INACTIVE) Promo Bundle Meal &amp; Merienda Pack 640g" u="1"/>
        <s v="(INACTIVE) SAN MARINO PREM. S. SARDINES GIFT SET 240G" u="1"/>
        <s v="GARDENIA BUTTER SUGAR CREAM ROLL 50G" u="1"/>
        <s v="(INACTIVE) PROMO-2 CDO LUNCHEON MEAT 350G (NEW)" u="1"/>
        <s v="Pagoda Cold Lotion 60ml" u="1"/>
        <s v="(INACTIVE) CDO BINGO TUNA HOT &amp; SPICY 155GX48" u="1"/>
        <s v="SPEED Powder - Kalamansi 192X50G" u="1"/>
        <s v="Jolly Whole Mushroom 850gx24" u="1"/>
        <s v="ARLA CHEESY SPREAD 500G" u="1"/>
        <s v="Dona Elena Pitted Green Olives 140g" u="1"/>
        <s v="LPG (11kg AS Cylinder) CTA - ECTA# 71932" u="1"/>
        <s v="Foodcrafters Bacon 1kg x 10" u="1"/>
        <s v="Crumpy Breadspread Nut 400g" u="1"/>
        <s v="GARDENIA BS - CHEESE ENSAYMAMON" u="1"/>
        <s v="CJF BATTERY 1SM ENDURO" u="1"/>
        <s v="(INACTIVE) POSTER 15X11 - HIGHLANDS LUNCHEON BEEF" u="1"/>
        <s v="(INACTIVE) TARPAULIN-KN BAON PACK (CARRY SA BULSA)" u="1"/>
        <s v="POTCHI GUMMY WORMS SNACKPACK 12'SX10X25G (755)" u="1"/>
        <s v="SMCT SPANISH STYLE 180GX48" u="1"/>
        <s v="BUENAS KAONG GREEN 12x32oz" u="1"/>
        <s v="Fiona Sweet Breeze 50mlx36" u="1"/>
        <s v="SPEED CUT BAR BLUE 145G 6+1" u="1"/>
        <s v="SPEED Babad 6X2Kg" u="1"/>
        <s v="(INACTIVE) CDO K.NORTE HOT&amp;SPICY 48X100G" u="1"/>
        <s v="CJF 22.5/65 R17 GO" u="1"/>
        <s v="SELECT Cane Vinegar 12X1000Ml" u="1"/>
        <s v="(INACTIVE) 1 PROMO-3 CDO MEAT LOAF 100G" u="1"/>
        <s v="(INACTIVE) 1 PROMO-3 CDO MEAT LOAF 150G" u="1"/>
        <s v="CASUMINA 700-16 14PR CA405 RIB SET" u="1"/>
        <s v="PRESA 9.00-20 14PR P276 SET" u="1"/>
        <s v="SPEED BBPW-LZ 55Gx6'S+1FREE LALA LIQ.FC 30MLx32" u="1"/>
        <s v="(INACTIVE) TARPAULIN 1.5X2.5 - SAN MARINO CORNED TUNA" u="1"/>
        <s v="CDO SEA QUEST TUNA FLAKES IN OIL 155GX48 (NEW)" u="1"/>
        <s v="Nanay's Corned Beef 1kg" u="1"/>
        <s v="KLICX CRUNCHER MINI 24'SX20 (763)" u="1"/>
        <s v="GARDENIA PS RASPBERRY AND PEANUT BUTTER" u="1"/>
        <s v="(INACTIVE) Primera Ham 400g" u="1"/>
        <s v="(INACTIVE) GARDENIA NEUBAKE WHEATEN BREAD 480G PLUS BEAR BRAND" u="1"/>
        <s v="(INACTIVE) CDO TOCINO LOAF 48X150G" u="1"/>
        <s v="Franzia Wine Cal. Red 3L w/ F Wine Bag" u="1"/>
        <s v="(INACTIVE) SPEED BBFR 55gx12's+4 Free" u="1"/>
        <s v="GENKI PANTS XLARGE 44'SX3" u="1"/>
        <s v="Mama Pina's Bundle A" u="1"/>
        <s v="XM JOLLY WHOLE  MUSHROOMS 400G" u="1"/>
        <s v="Time Break Choco 20G x 20ib x 10pcs" u="1"/>
        <s v="Jimm's 5 in 1 Coffee Mix - Sugar Free 20'sx30ib" u="1"/>
        <s v="(INACTIVE) PROMO-CDO KARNE NORTE 48X100G" u="1"/>
        <s v="Dona Elena Pitted Green Olives 310g" u="1"/>
        <s v="GULF GEAR EP 140 12X1L" u="1"/>
        <s v="(INACTIVE) Shanghai Roll Chicken" u="1"/>
        <s v="RESTOBAR KIKIAM PLATES LAMINATED 50'Sx20" u="1"/>
        <s v="(INACTIVE) SPEED SB 1kg Get 1kg SB@30%off" u="1"/>
        <s v="(INACTIVE) Marinated Chicken Wings Garlic 1kg" u="1"/>
        <s v="TENTAY SPECIAL PATIS 1L PE" u="1"/>
        <s v="iColor Shampoo-In Hair Color Black 25ml 10'sx12" u="1"/>
        <s v="GARDENIA CLUSTERED PANDESAL FREE DELICIA SACHET" u="1"/>
        <s v="(INACTIVE) PROMO-5 SAN MARINO CHILI CORNED TUNA 100GX8" u="1"/>
        <s v="(INACTIVE) CDO KARNE NORTE AFRITADA 100G - PROMO" u="1"/>
        <s v="(INACTIVE) SAN MARINO  MACKEREL IN SWEET&amp; SOUR SAUCE 165GX100" u="1"/>
        <s v="DANES HERB AND GARLIC 165G" u="1"/>
        <s v="Comstock Royal Blueberry 21oz" u="1"/>
        <s v="MP PROMO#001C - 2 Palm Oil 1L with FREE BML100g (6's) BAS" u="1"/>
        <s v="Tasty Palamig Blue Lemonade 500gx20" u="1"/>
        <s v="2SMCCT150G+1SMCTSS150G PROMO PACK" u="1"/>
        <s v="MP PROMO#012 - 2 Canton 227g + 1 Bihon 454g @50% off (6's)" u="1"/>
        <s v="SPEED 55g Sunflower Burst Powderx192" u="1"/>
        <s v="(INACTIVE) Grips Momentum Body Spray 100mlx24" u="1"/>
        <s v="Speed BBPW 55gx6's+1FREEx32" u="1"/>
        <s v="Nanay's Skinless Longanisa 200g x 60" u="1"/>
        <s v="CJF 265 70 R16 GIO LAND" u="1"/>
        <s v="(INACTIVE) CDO SAMBA BRAZILIAN C.BEEF 48X150G (EO)" u="1"/>
        <s v="Jolly Whole Mushroom 198gx48" u="1"/>
        <s v="Bon Bon Baby Oil Lightly Unscented 60mlx72" u="1"/>
        <s v="SUPER Q - Q1 Misua 1 Dozen x 24" u="1"/>
        <s v="FEDERAL 185/60 R15 84H" u="1"/>
        <s v="HLCB GOLD CHILI GARLIC 150GX48" u="1"/>
        <s v="(INACTIVE) SAN MARINO TUNA FLAKES IN OIL 150GX48 1" u="1"/>
        <s v="TOP 5.50-15 (6H) RIM" u="1"/>
        <s v="LOTUS BISCOFF ORIGINAL 250G" u="1"/>
        <s v="Bragg Apple Cider Vinegar 16ozx12" u="1"/>
        <s v="AlcoPlus Iso. 500mlx24" u="1"/>
        <s v="SELECT Soy Sauce (1 Gal) 4X3795Ml" u="1"/>
        <s v="(INACTIVE) CDO SEA QUEST TUNA AFRITADA 48X110G" u="1"/>
        <s v="(INACTIVE) SAN MARINO MACKEREL IN TOMATO SAUCE 165GX100" u="1"/>
        <s v="SPEED DAGDAG BLUE 145G X6+1FREE BY16" u="1"/>
        <s v="ALIBABA FUN CRACKER CHOCO 20GX10'SX10" u="1"/>
        <s v="PROMO-SAN MARINO CCT 180GX3" u="1"/>
        <s v="(INACTIVE) PROMO-CDO KARNE NORTE 48X150G" u="1"/>
        <s v="Traveler STANDARD L-XL10's" u="1"/>
        <s v="Fresh Flower 1.5ccx12x12" u="1"/>
        <s v="Grips Hair Pomade 5g x 6's x 72 pck" u="1"/>
        <s v="SWEET NATA DE COCO (GRN) 24X8OZX240G" u="1"/>
        <s v="Jolly Fresh Orange Juice 1Lx12" u="1"/>
        <s v="Arla Organic Low Fat Milk 1L B2S10" u="1"/>
        <s v="(INACTIVE) PROMO-LOTTE PACK 3" u="1"/>
        <s v="SPEED CUTBAR WHITE 160G 6+1 PROMO" u="1"/>
        <s v="(INACTIVE) SM PREM. TAWILIS IN CORN OIL 180GX48 (EO)" u="1"/>
        <s v="GOODTYRE 12.00R22.5 GT268 MIX 18PR" u="1"/>
        <s v="DON FRANK WHITE GULAMAN 24GX10'SX24" u="1"/>
        <s v="ARLA ORGANIC FULL CREAM MILK 533G" u="1"/>
        <s v="SPEED 90g Sunflower Burst Powderx96" u="1"/>
        <s v="WINROX Bleach - Regular Scent 48X250Ml" u="1"/>
        <s v="(INACTIVE) PROMO-CDO LUNCHEON MEAT 48X165G" u="1"/>
        <s v="GARDENIA NEUBAKE MONGO BREAD ROLL" u="1"/>
        <s v="WHOLESALE INTERFOLDED P.TOWER 175'Sx30" u="1"/>
        <s v="SUPER Q - Sunny Margarine 250g x 60" u="1"/>
        <s v="Pagoda Cold Wavel Lotion 120ml" u="1"/>
        <s v="Jolly Pcs &amp; Stems Mushroom 284gX24" u="1"/>
        <s v="Nanays Pork Tocino Classic 230g x 36" u="1"/>
        <s v="Tasty Palamig Orange 500gx20" u="1"/>
        <s v="(INACTIVE) SPD KAL-L 2KGS+1FREE KAL-L 500G 1:1 BY 6" u="1"/>
        <s v="Pagoda Toilet Deodorizer 100g Orange" u="1"/>
        <s v="LOTUS BISCOFF SANDWICH CHOCOLATE 150G" u="1"/>
        <s v="DON FRANK BUKO JELLY 30GX10'SX24" u="1"/>
        <s v="SPEED 500g Babad FC w/Power Whitener Powderx24" u="1"/>
        <s v="Langnese Bee Easy Wildflower Honey 250g" u="1"/>
        <s v="GARDENIA CHEESE TOASTIES 25G X 24PACKS X 10PCS" u="1"/>
        <s v="Good Life Vermicelli 1.59ozX500" u="1"/>
        <s v="(INACTIVE) SAN MARINO CORNED TUNA 24X380G" u="1"/>
        <s v="(INACTIVE) CDO PREMIUM CORNED BEEF 24X350G" u="1"/>
        <s v="Jolly Spreads Choco Hazelnut 200g" u="1"/>
        <s v="(INACTIVE) SPEED KAL 380G X 2'S + 1FREE POW SK 55G 2:1" u="1"/>
        <s v="(INACTIVE) CDO SPANISH SARDINES 24X240G" u="1"/>
        <s v="(INACTIVE) SM BLUE MACKEREL STEAK SPANISH STYLE 48X180G (E.O)" u="1"/>
        <s v="Yumbites Super King Size Hotdog 1kg x 10" u="1"/>
        <s v="Jolly Spreads Choco Hazelnut 400g" u="1"/>
        <s v="BUENAS KAONG GREEN 24x12oz" u="1"/>
        <s v="(INACTIVE) SAN MARINO TUNA FILLET IN WATER 48X180G (E.O)" u="1"/>
        <s v="(INACTIVE) iColor Hair Dye Shampoo Light Brown 30ml 10'sx12" u="1"/>
        <s v="VITOUR 265-65 R17" u="1"/>
        <s v="Fiona Rosy Red 75mlFtx24" u="1"/>
        <s v="(INACTIVE) SPEED Powder - High Impact 24X500G" u="1"/>
        <s v="(INACTIVE) iColor ABKDT Healthy Shine Plus Vit.E ml 12'sx144x4" u="1"/>
        <s v="RESTOBAR PAPER PLATES LAMINATED 9' 25'Sx20" u="1"/>
        <s v="Jolly Pieces and Stems 100g 3pcs Save P5" u="1"/>
        <s v="(INACTIVE) SAN MARINO CORNED TUNA CALDERETA 155GX48" u="1"/>
        <s v="MAMA PINA'S BUNDLE C (1PF1SS350+D) x6" u="1"/>
        <s v="(INACTIVE) SAN MARINO TAWILIS IN CORN OIL 85GX48" u="1"/>
        <s v="WELCH FRUIT SNACKS MIXED FRUITS 10x0.9oz" u="1"/>
        <s v="JOLLY CLARO SUP 2L" u="1"/>
        <s v="SELECT Sukang Puti 48X200Ml" u="1"/>
        <s v="SPEED CUTBAR SPECKLED BLUE 160G 6+1 PROMO" u="1"/>
        <s v="(INACTIVE) PROMO-CDO JAR 6 KN 60G+3 KN 100GX6" u="1"/>
        <s v="BUDGET W/FABCON 360G DET. BAR X 36" u="1"/>
        <s v="(INACTIVE) PROMO- CDO 6KN 150G+4 KN 100G + 2 TL 150G" u="1"/>
        <s v="(INACTIVE) 6 SAN MARINO CTUNA 150G FREE 2 BINGO CB 60G" u="1"/>
        <s v="Jolly Whole Mushroom SUP 100gx48" u="1"/>
        <s v="Pagoda Muriatic Acid Super Strength 500ml" u="1"/>
        <s v="SPEED 55G MORE WHITE 150G BAR X 96" u="1"/>
        <s v="(INACTIVE) PROMO-3 CHICKEN VIENNA LOAF 100G" u="1"/>
        <s v="(INACTIVE) CDO BEEFIO L.BEEF 24X350G (with hashed beef)" u="1"/>
        <s v="(INACTIVE) SPEED Blue 380g+35g Babad w/FC Free(1:1)" u="1"/>
        <s v="DEESTONE 185R14C KACHA R101 8PR 102/100Q" u="1"/>
        <s v="(INACTIVE) PROMO-2 CDO ML 150G + 1 CDO CVL 150G" u="1"/>
        <s v="DEESTONE 245/70R19.5 SV401 RIB 16PR" u="1"/>
        <s v="Jolly Cow Non Fat Milk 1Lx6 Duo Pack" u="1"/>
        <s v="(INACTIVE) SEA QUEST TUNA HOT &amp; SPICY 48X155G" u="1"/>
        <s v="Fiona Youthful Bliss 50ml Spray x36" u="1"/>
        <s v="Grips Wax Extreme Hard &amp; Mat 25g x 216" u="1"/>
        <s v="(INACTIVE) SAN MARINO TUNA FLAKES IN OIL 150GX48 2" u="1"/>
        <s v="Fiona Pretty Mist Spray 50mlx36" u="1"/>
        <s v="Dona Elena Extra Virgin Olive Oil 500mlx12" u="1"/>
        <s v="TOP 22.5-8.25 (8H) 14MM RIM" u="1"/>
        <s v="GOTYRE 14.00-24 28PR YB917" u="1"/>
        <s v="Vaccum Sealed Boneless Bangus Singles (XL)" u="1"/>
        <s v="CREAM DORY TRIMMED(RED STRAP) 1KG" u="1"/>
        <s v="HAWKWAY 315/80R22.5 HK802 MIX 22PR" u="1"/>
        <s v="CARP VEGAN SEASONING 350ML PET" u="1"/>
        <s v="(INACTIVE) CDO KARNE NORTE CLASSIC 60GX8 BUNDLE" u="1"/>
        <s v="(INACTIVE) Promo-Alcoplus Isopropyl 70% 500ml w/ SanitizerRed" u="1"/>
        <s v="Jar-Wax HArd &amp; Shiny 25gx48" u="1"/>
        <s v="Protec Disinfectant Spray - Natural Lavander Scent 250mlx12 w/ Alcohol" u="1"/>
        <s v="SPEED DAGDAG FABCON 145G BAR X 96" u="1"/>
        <s v="JOLLY CLARO SUP 500ML" u="1"/>
        <s v="(INACTIVE) CDO PISTA COOKED HAM 1KG" u="1"/>
        <s v="FROOTY CHOCO POP 25+3'SX40 (863)" u="1"/>
        <s v="MAMA PINA'S BUNDLE K (1P350ML1BIHON2BML1001BML150)" u="1"/>
        <s v="(INACTIVE) PROMO-CDO LUNCHEON MEAT 48X150G" u="1"/>
        <s v="2CDOML150+2CDOBCB150+MPB454+SSS350+J3P1CMG" u="1"/>
        <s v="PRESA 11R22.5 16PR PL909 TL" u="1"/>
        <s v="Mama Pina's Paminta Cracked 15'sx30" u="1"/>
        <s v="SPEED DAGDAG WHITE 145G X 6'S+1FREE BY 16" u="1"/>
        <s v="GULF PRIDE 4T PLUS 20W40 10X1L" u="1"/>
      </sharedItems>
    </cacheField>
    <cacheField name="AltDesc1" numFmtId="0">
      <sharedItems containsString="0" containsBlank="1" count="1">
        <m/>
      </sharedItems>
    </cacheField>
    <cacheField name="AltDesc2" numFmtId="0">
      <sharedItems containsString="0" containsBlank="1" count="1">
        <m/>
      </sharedItems>
    </cacheField>
    <cacheField name="DivisionCode" numFmtId="0">
      <sharedItems containsBlank="1" count="4">
        <s v="MLTI"/>
        <m u="1"/>
        <s v="NONE" u="1"/>
        <s v="MAMA" u="1"/>
      </sharedItems>
    </cacheField>
    <cacheField name="CategoryCode" numFmtId="0">
      <sharedItems count="6">
        <s v="CDO-GP"/>
        <s v="CDO-FISH"/>
        <s v="CDO-DAIRY"/>
        <s v="SKN-KER"/>
        <s v="ILC-OTH"/>
        <s v="WMC-POW"/>
      </sharedItems>
    </cacheField>
    <cacheField name="SupplierCode" numFmtId="0">
      <sharedItems count="5">
        <s v="CDO"/>
        <s v="SKN"/>
        <s v="NPD"/>
        <s v="APC"/>
        <s v="FPEI"/>
      </sharedItems>
    </cacheField>
    <cacheField name="SegmentCode" numFmtId="0">
      <sharedItems containsString="0" containsBlank="1" count="1">
        <m/>
      </sharedItems>
    </cacheField>
    <cacheField name="BrandCode" numFmtId="0">
      <sharedItems containsString="0" containsBlank="1" count="1">
        <m/>
      </sharedItems>
    </cacheField>
    <cacheField name="Unit" numFmtId="0">
      <sharedItems containsString="0" containsBlank="1" count="1">
        <m/>
      </sharedItems>
    </cacheField>
    <cacheField name="Measure" numFmtId="0">
      <sharedItems containsString="0" containsBlank="1" count="1">
        <m/>
      </sharedItems>
    </cacheField>
    <cacheField name="Markup" numFmtId="0">
      <sharedItems containsSemiMixedTypes="0" containsString="0" containsNumber="1" containsInteger="1" minValue="0" maxValue="0" count="1">
        <n v="0"/>
      </sharedItems>
    </cacheField>
    <cacheField name="Seq" numFmtId="0">
      <sharedItems containsString="0" containsBlank="1" count="1">
        <m/>
      </sharedItems>
    </cacheField>
    <cacheField name="Palletsize" numFmtId="0">
      <sharedItems containsSemiMixedTypes="0" containsString="0" containsNumber="1" containsInteger="1" minValue="0" maxValue="0" count="1">
        <n v="0"/>
      </sharedItems>
    </cacheField>
    <cacheField name="piecesPerCase" numFmtId="0">
      <sharedItems containsSemiMixedTypes="0" containsString="0" containsNumber="1" containsInteger="1" minValue="48" maxValue="1296" count="8">
        <n v="48"/>
        <n v="144"/>
        <n v="288"/>
        <n v="960"/>
        <n v="1296"/>
        <n v="182"/>
        <n v="240"/>
        <n v="72"/>
      </sharedItems>
    </cacheField>
    <cacheField name="piecesPerBag" numFmtId="0">
      <sharedItems containsSemiMixedTypes="0" containsString="0" containsNumber="1" containsInteger="1" minValue="1" maxValue="18" count="4">
        <n v="1"/>
        <n v="6"/>
        <n v="18"/>
        <n v="14"/>
      </sharedItems>
    </cacheField>
    <cacheField name="GCostPerPiece" numFmtId="0">
      <sharedItems containsSemiMixedTypes="0" containsString="0" containsNumber="1" minValue="1.85" maxValue="29" count="11">
        <n v="14.75"/>
        <n v="29"/>
        <n v="8"/>
        <n v="5.75"/>
        <n v="3.8003999999999998"/>
        <n v="2.5"/>
        <n v="15.615399999999999"/>
        <n v="4.9653"/>
        <n v="13.25"/>
        <n v="1.85"/>
        <n v="6.75"/>
      </sharedItems>
    </cacheField>
    <cacheField name="pricePerCaseA" numFmtId="0">
      <sharedItems containsSemiMixedTypes="0" containsString="0" containsNumber="1" minValue="0" maxValue="3648.4" count="6">
        <n v="708"/>
        <n v="1392"/>
        <n v="1152"/>
        <n v="1656"/>
        <n v="3648.4"/>
        <n v="0"/>
      </sharedItems>
    </cacheField>
    <cacheField name="pricePerCaseB" numFmtId="0">
      <sharedItems containsSemiMixedTypes="0" containsString="0" containsNumber="1" minValue="0" maxValue="1705.68" count="5">
        <n v="729.24"/>
        <n v="1433.76"/>
        <n v="1186.56"/>
        <n v="1705.68"/>
        <n v="0"/>
      </sharedItems>
    </cacheField>
    <cacheField name="pricePerCaseC" numFmtId="0">
      <sharedItems containsSemiMixedTypes="0" containsString="0" containsNumber="1" minValue="0" maxValue="1705.68" count="5">
        <n v="729.24"/>
        <n v="1433.76"/>
        <n v="1186.56"/>
        <n v="1705.68"/>
        <n v="0"/>
      </sharedItems>
    </cacheField>
    <cacheField name="pricePerCaseD" numFmtId="0">
      <sharedItems containsSemiMixedTypes="0" containsString="0" containsNumber="1" minValue="0" maxValue="1689.12" count="4">
        <n v="584.99279999999999"/>
        <n v="1172.6568"/>
        <n v="0"/>
        <n v="1689.12"/>
      </sharedItems>
    </cacheField>
    <cacheField name="pricePerCaseE" numFmtId="0">
      <sharedItems containsSemiMixedTypes="0" containsString="0" containsNumber="1" containsInteger="1" minValue="0" maxValue="1656" count="2">
        <n v="0"/>
        <n v="1656"/>
      </sharedItems>
    </cacheField>
    <cacheField name="pricePerCaseF" numFmtId="0">
      <sharedItems containsSemiMixedTypes="0" containsString="0" containsNumber="1" containsInteger="1" minValue="0" maxValue="0" count="1">
        <n v="0"/>
      </sharedItems>
    </cacheField>
    <cacheField name="pricePerBagA" numFmtId="0">
      <sharedItems containsSemiMixedTypes="0" containsString="0" containsNumber="1" minValue="0" maxValue="34.5" count="6">
        <n v="14.75"/>
        <n v="29"/>
        <n v="8"/>
        <n v="34.5"/>
        <n v="3.8003999999999998"/>
        <n v="0"/>
      </sharedItems>
    </cacheField>
    <cacheField name="pricePerBagB" numFmtId="0">
      <sharedItems containsSemiMixedTypes="0" containsString="0" containsNumber="1" minValue="0" maxValue="35.534999999999997" count="5">
        <n v="15.192500000000001"/>
        <n v="29.87"/>
        <n v="8.24"/>
        <n v="35.534999999999997"/>
        <n v="0"/>
      </sharedItems>
    </cacheField>
    <cacheField name="pricePerBagC" numFmtId="0">
      <sharedItems containsSemiMixedTypes="0" containsString="0" containsNumber="1" minValue="0" maxValue="35.534999999999997" count="5">
        <n v="15.192500000000001"/>
        <n v="29.87"/>
        <n v="8.24"/>
        <n v="35.534999999999997"/>
        <n v="0"/>
      </sharedItems>
    </cacheField>
    <cacheField name="pricePerBagD" numFmtId="0">
      <sharedItems containsSemiMixedTypes="0" containsString="0" containsNumber="1" minValue="0" maxValue="35.19" count="4">
        <n v="12.1874"/>
        <n v="24.430399999999999"/>
        <n v="0"/>
        <n v="35.19"/>
      </sharedItems>
    </cacheField>
    <cacheField name="pricePerBagE" numFmtId="0">
      <sharedItems containsSemiMixedTypes="0" containsString="0" containsNumber="1" minValue="0" maxValue="34.5" count="2">
        <n v="0"/>
        <n v="34.5"/>
      </sharedItems>
    </cacheField>
    <cacheField name="pricePerBagF" numFmtId="0">
      <sharedItems containsSemiMixedTypes="0" containsString="0" containsNumber="1" containsInteger="1" minValue="0" maxValue="0" count="1">
        <n v="0"/>
      </sharedItems>
    </cacheField>
    <cacheField name="pricePerPieceA" numFmtId="0">
      <sharedItems containsSemiMixedTypes="0" containsString="0" containsNumber="1" minValue="0" maxValue="29" count="6">
        <n v="14.75"/>
        <n v="29"/>
        <n v="8"/>
        <n v="5.75"/>
        <n v="3.8003999999999998"/>
        <n v="0"/>
      </sharedItems>
    </cacheField>
    <cacheField name="pricePerPieceB" numFmtId="0">
      <sharedItems containsSemiMixedTypes="0" containsString="0" containsNumber="1" minValue="0" maxValue="29.87" count="5">
        <n v="15.192500000000001"/>
        <n v="29.87"/>
        <n v="8.24"/>
        <n v="5.9225000000000003"/>
        <n v="0"/>
      </sharedItems>
    </cacheField>
    <cacheField name="pricePerPieceC" numFmtId="0">
      <sharedItems containsSemiMixedTypes="0" containsString="0" containsNumber="1" minValue="0" maxValue="29.87" count="5">
        <n v="15.192500000000001"/>
        <n v="29.87"/>
        <n v="8.24"/>
        <n v="5.9225000000000003"/>
        <n v="0"/>
      </sharedItems>
    </cacheField>
    <cacheField name="pricePerPieceD" numFmtId="0">
      <sharedItems containsSemiMixedTypes="0" containsString="0" containsNumber="1" minValue="0" maxValue="24.430399999999999" count="4">
        <n v="12.1874"/>
        <n v="24.430399999999999"/>
        <n v="0"/>
        <n v="5.8650000000000002"/>
      </sharedItems>
    </cacheField>
    <cacheField name="pricePerPieceE" numFmtId="0">
      <sharedItems containsSemiMixedTypes="0" containsString="0" containsNumber="1" minValue="0" maxValue="5.75" count="2">
        <n v="0"/>
        <n v="5.75"/>
      </sharedItems>
    </cacheField>
    <cacheField name="pricePerPieceF" numFmtId="0">
      <sharedItems containsSemiMixedTypes="0" containsString="0" containsNumber="1" containsInteger="1" minValue="0" maxValue="0" count="1">
        <n v="0"/>
      </sharedItems>
    </cacheField>
    <cacheField name="percentDiscount" numFmtId="0">
      <sharedItems containsSemiMixedTypes="0" containsString="0" containsNumber="1" containsInteger="1" minValue="0" maxValue="0" count="1">
        <n v="0"/>
      </sharedItems>
    </cacheField>
    <cacheField name="isActive" numFmtId="0">
      <sharedItems count="1">
        <b v="1"/>
      </sharedItems>
    </cacheField>
    <cacheField name="isFree" numFmtId="0">
      <sharedItems count="1">
        <b v="0"/>
      </sharedItems>
    </cacheField>
    <cacheField name="piecesPerSSU" numFmtId="0">
      <sharedItems containsSemiMixedTypes="0" containsString="0" containsNumber="1" containsInteger="1" minValue="0" maxValue="0" count="1">
        <n v="0"/>
      </sharedItems>
    </cacheField>
    <cacheField name="netDiscount" numFmtId="0">
      <sharedItems containsSemiMixedTypes="0" containsString="0" containsNumber="1" containsInteger="1" minValue="0" maxValue="0" count="1">
        <n v="0"/>
      </sharedItems>
    </cacheField>
    <cacheField name="netDiscountUnit" numFmtId="0">
      <sharedItems containsString="0" containsBlank="1" count="1">
        <m/>
      </sharedItems>
    </cacheField>
    <cacheField name="SupplierCost" numFmtId="0">
      <sharedItems containsSemiMixedTypes="0" containsString="0" containsNumber="1" minValue="444" maxValue="3648.4" count="11">
        <n v="708"/>
        <n v="1392"/>
        <n v="1152"/>
        <n v="1656"/>
        <n v="3648.4"/>
        <n v="3240"/>
        <n v="2842"/>
        <n v="715"/>
        <n v="636"/>
        <n v="444"/>
        <n v="486"/>
      </sharedItems>
    </cacheField>
    <cacheField name="costUnitOf" numFmtId="0">
      <sharedItems containsString="0" containsBlank="1" count="1">
        <m/>
      </sharedItems>
    </cacheField>
    <cacheField name="lastPurchase" numFmtId="0">
      <sharedItems containsSemiMixedTypes="0" containsNonDate="0" containsDate="1" containsString="0" minDate="2018-01-08T09:33:51" maxDate="2023-08-23T10:53:25" count="11">
        <d v="2018-01-08T09:33:51"/>
        <d v="2018-07-30T14:48:16"/>
        <d v="2022-02-14T11:22:21"/>
        <d v="2022-08-05T14:25:21"/>
        <d v="2023-02-03T14:32:08"/>
        <d v="2023-07-21T10:21:54"/>
        <d v="2023-07-21T10:24:21"/>
        <d v="2023-07-21T10:25:28"/>
        <d v="2023-07-21T10:26:16"/>
        <d v="2023-08-23T10:52:12"/>
        <d v="2023-08-23T10:53:25"/>
      </sharedItems>
    </cacheField>
    <cacheField name="IsGum" numFmtId="0">
      <sharedItems containsString="0" containsBlank="1" count="1">
        <m/>
      </sharedItems>
    </cacheField>
    <cacheField name="comCode" numFmtId="0">
      <sharedItems count="1">
        <s v="GMI"/>
      </sharedItems>
    </cacheField>
    <cacheField name="BegBal" numFmtId="0">
      <sharedItems containsSemiMixedTypes="0" containsString="0" containsNumber="1" containsInteger="1" minValue="0" maxValue="0" count="1">
        <n v="0"/>
      </sharedItems>
    </cacheField>
    <cacheField name="OldCode" numFmtId="0">
      <sharedItems containsString="0" containsBlank="1" count="1">
        <m/>
      </sharedItems>
    </cacheField>
    <cacheField name="NewCode" numFmtId="0">
      <sharedItems containsString="0" containsBlank="1" count="1">
        <m/>
      </sharedItems>
    </cacheField>
    <cacheField name="CaseWeight" numFmtId="0">
      <sharedItems containsString="0" containsBlank="1" count="1">
        <m/>
      </sharedItems>
    </cacheField>
    <cacheField name="UnitC" numFmtId="0">
      <sharedItems containsString="0" containsBlank="1" count="1">
        <m/>
      </sharedItems>
    </cacheField>
    <cacheField name="UnitW" numFmtId="0">
      <sharedItems containsString="0" containsBlank="1" count="1">
        <m/>
      </sharedItems>
    </cacheField>
    <cacheField name="UnitP" numFmtId="0">
      <sharedItems containsString="0" containsBlank="1" count="1">
        <m/>
      </sharedItems>
    </cacheField>
    <cacheField name="isPOP" numFmtId="0">
      <sharedItems count="1">
        <b v="0"/>
      </sharedItems>
    </cacheField>
    <cacheField name="BOpricePerCaseA" numFmtId="0">
      <sharedItems containsSemiMixedTypes="0" containsString="0" containsNumber="1" minValue="0" maxValue="3638.3975" count="6">
        <n v="708"/>
        <n v="1404"/>
        <n v="1152"/>
        <n v="1656"/>
        <n v="3638.3975"/>
        <n v="0"/>
      </sharedItems>
    </cacheField>
    <cacheField name="BOpricePerCaseB" numFmtId="0">
      <sharedItems containsSemiMixedTypes="0" containsString="0" containsNumber="1" minValue="0" maxValue="1705.68" count="5">
        <n v="729.24"/>
        <n v="1446.12"/>
        <n v="1186.56"/>
        <n v="1705.68"/>
        <n v="0"/>
      </sharedItems>
    </cacheField>
    <cacheField name="BOpricePerCaseC" numFmtId="0">
      <sharedItems containsSemiMixedTypes="0" containsString="0" containsNumber="1" minValue="0" maxValue="1705.68" count="5">
        <n v="729.24"/>
        <n v="1446.12"/>
        <n v="1186.56"/>
        <n v="1705.68"/>
        <n v="0"/>
      </sharedItems>
    </cacheField>
    <cacheField name="BOpricePerCaseD" numFmtId="0">
      <sharedItems containsSemiMixedTypes="0" containsString="0" containsNumber="1" minValue="0" maxValue="1689.12" count="2">
        <n v="0"/>
        <n v="1689.12"/>
      </sharedItems>
    </cacheField>
    <cacheField name="BOpricePerCaseE" numFmtId="0">
      <sharedItems containsSemiMixedTypes="0" containsString="0" containsNumber="1" containsInteger="1" minValue="0" maxValue="1656" count="2">
        <n v="0"/>
        <n v="1656"/>
      </sharedItems>
    </cacheField>
    <cacheField name="BOpricePerCaseF" numFmtId="0">
      <sharedItems containsSemiMixedTypes="0" containsString="0" containsNumber="1" containsInteger="1" minValue="0" maxValue="0" count="1">
        <n v="0"/>
      </sharedItems>
    </cacheField>
    <cacheField name="BOpricePerBagA" numFmtId="0">
      <sharedItems containsSemiMixedTypes="0" containsString="0" containsNumber="1" minValue="0" maxValue="34.5" count="6">
        <n v="14.75"/>
        <n v="29.25"/>
        <n v="8"/>
        <n v="34.5"/>
        <n v="3.79"/>
        <n v="0"/>
      </sharedItems>
    </cacheField>
    <cacheField name="BOpricePerBagB" numFmtId="0">
      <sharedItems containsSemiMixedTypes="0" containsString="0" containsNumber="1" minValue="0" maxValue="35.534999999999997" count="5">
        <n v="15.192500000000001"/>
        <n v="30.127500000000001"/>
        <n v="8.24"/>
        <n v="35.534999999999997"/>
        <n v="0"/>
      </sharedItems>
    </cacheField>
    <cacheField name="BOpricePerBagC" numFmtId="0">
      <sharedItems containsSemiMixedTypes="0" containsString="0" containsNumber="1" minValue="0" maxValue="35.534999999999997" count="5">
        <n v="15.192500000000001"/>
        <n v="30.127500000000001"/>
        <n v="8.24"/>
        <n v="35.534999999999997"/>
        <n v="0"/>
      </sharedItems>
    </cacheField>
    <cacheField name="BOpricePerBagD" numFmtId="0">
      <sharedItems containsSemiMixedTypes="0" containsString="0" containsNumber="1" minValue="0" maxValue="35.19" count="2">
        <n v="0"/>
        <n v="35.19"/>
      </sharedItems>
    </cacheField>
    <cacheField name="BOpricePerBagE" numFmtId="0">
      <sharedItems containsSemiMixedTypes="0" containsString="0" containsNumber="1" minValue="0" maxValue="34.5" count="2">
        <n v="0"/>
        <n v="34.5"/>
      </sharedItems>
    </cacheField>
    <cacheField name="BOpricePerBagF" numFmtId="0">
      <sharedItems containsSemiMixedTypes="0" containsString="0" containsNumber="1" containsInteger="1" minValue="0" maxValue="0" count="1">
        <n v="0"/>
      </sharedItems>
    </cacheField>
    <cacheField name="BOpricePerPieceA" numFmtId="0">
      <sharedItems containsSemiMixedTypes="0" containsString="0" containsNumber="1" minValue="0" maxValue="29.25" count="6">
        <n v="14.75"/>
        <n v="29.25"/>
        <n v="8"/>
        <n v="5.75"/>
        <n v="3.79"/>
        <n v="0"/>
      </sharedItems>
    </cacheField>
    <cacheField name="BOpricePerPieceB" numFmtId="0">
      <sharedItems containsSemiMixedTypes="0" containsString="0" containsNumber="1" minValue="0" maxValue="30.127500000000001" count="5">
        <n v="15.192500000000001"/>
        <n v="30.127500000000001"/>
        <n v="8.24"/>
        <n v="5.9225000000000003"/>
        <n v="0"/>
      </sharedItems>
    </cacheField>
    <cacheField name="BOpricePerPieceC" numFmtId="0">
      <sharedItems containsSemiMixedTypes="0" containsString="0" containsNumber="1" minValue="0" maxValue="30.127500000000001" count="5">
        <n v="15.192500000000001"/>
        <n v="30.127500000000001"/>
        <n v="8.24"/>
        <n v="5.9225000000000003"/>
        <n v="0"/>
      </sharedItems>
    </cacheField>
    <cacheField name="BOpricePerPieceD" numFmtId="0">
      <sharedItems containsSemiMixedTypes="0" containsString="0" containsNumber="1" minValue="0" maxValue="5.8650000000000002" count="2">
        <n v="0"/>
        <n v="5.8650000000000002"/>
      </sharedItems>
    </cacheField>
    <cacheField name="BOpricePerPieceE" numFmtId="0">
      <sharedItems containsSemiMixedTypes="0" containsString="0" containsNumber="1" minValue="0" maxValue="5.75" count="2">
        <n v="0"/>
        <n v="5.75"/>
      </sharedItems>
    </cacheField>
    <cacheField name="BOpricePerPieceF" numFmtId="0">
      <sharedItems containsSemiMixedTypes="0" containsString="0" containsNumber="1" containsInteger="1" minValue="0" maxValue="0" count="1">
        <n v="0"/>
      </sharedItems>
    </cacheField>
    <cacheField name="MDCode" numFmtId="0">
      <sharedItems containsString="0" containsBlank="1" count="1">
        <m/>
      </sharedItems>
    </cacheField>
    <cacheField name="ChangeCase" numFmtId="0">
      <sharedItems containsString="0" containsBlank="1" count="1">
        <m/>
      </sharedItems>
    </cacheField>
    <cacheField name="ChangeBag" numFmtId="0">
      <sharedItems containsString="0" containsBlank="1" count="1">
        <m/>
      </sharedItems>
    </cacheField>
    <cacheField name="QPCno" numFmtId="0">
      <sharedItems containsSemiMixedTypes="0" containsString="0" containsNumber="1" containsInteger="1" minValue="0" maxValue="0" count="1">
        <n v="0"/>
      </sharedItems>
    </cacheField>
    <cacheField name="QPCUnit" numFmtId="0">
      <sharedItems containsString="0" containsBlank="1" count="1">
        <m/>
      </sharedItems>
    </cacheField>
    <cacheField name="QPCPckg" numFmtId="0">
      <sharedItems containsSemiMixedTypes="0" containsString="0" containsNumber="1" containsInteger="1" minValue="0" maxValue="0" count="1">
        <n v="0"/>
      </sharedItems>
    </cacheField>
    <cacheField name="isPHI" numFmtId="0">
      <sharedItems count="1">
        <b v="0"/>
      </sharedItems>
    </cacheField>
    <cacheField name="isArea" numFmtId="0">
      <sharedItems count="1">
        <b v="0"/>
      </sharedItems>
    </cacheField>
    <cacheField name="PHIFrom" numFmtId="0">
      <sharedItems containsNonDate="0" containsString="0" containsBlank="1" count="1">
        <m/>
      </sharedItems>
    </cacheField>
    <cacheField name="PHIto" numFmtId="0">
      <sharedItems containsNonDate="0" containsString="0" containsBlank="1" count="1">
        <m/>
      </sharedItems>
    </cacheField>
    <cacheField name="Areafrom" numFmtId="0">
      <sharedItems containsNonDate="0" containsString="0" containsBlank="1" count="1">
        <m/>
      </sharedItems>
    </cacheField>
    <cacheField name="AreaTo" numFmtId="0">
      <sharedItems containsNonDate="0" containsString="0" containsBlank="1" count="1">
        <m/>
      </sharedItems>
    </cacheField>
    <cacheField name="minimumOrderQty" numFmtId="0">
      <sharedItems containsSemiMixedTypes="0" containsString="0" containsNumber="1" containsInteger="1" minValue="1" maxValue="1" count="1">
        <n v="1"/>
      </sharedItems>
    </cacheField>
    <cacheField name="DeliveryConfig" numFmtId="0">
      <sharedItems containsString="0" containsBlank="1" count="1">
        <m/>
      </sharedItems>
    </cacheField>
    <cacheField name="CasesperLayer" numFmtId="0">
      <sharedItems containsSemiMixedTypes="0" containsString="0" containsNumber="1" containsInteger="1" minValue="1" maxValue="1" count="1">
        <n v="1"/>
      </sharedItems>
    </cacheField>
    <cacheField name="WhseSource" numFmtId="0">
      <sharedItems containsString="0" containsBlank="1" count="1">
        <m/>
      </sharedItems>
    </cacheField>
    <cacheField name="noOfLayers" numFmtId="0">
      <sharedItems containsSemiMixedTypes="0" containsString="0" containsNumber="1" containsInteger="1" minValue="1" maxValue="1" count="1">
        <n v="1"/>
      </sharedItems>
    </cacheField>
    <cacheField name="CDisc1" numFmtId="0">
      <sharedItems containsSemiMixedTypes="0" containsString="0" containsNumber="1" containsInteger="1" minValue="0" maxValue="0" count="1">
        <n v="0"/>
      </sharedItems>
    </cacheField>
    <cacheField name="CDisc2" numFmtId="0">
      <sharedItems containsSemiMixedTypes="0" containsString="0" containsNumber="1" containsInteger="1" minValue="0" maxValue="0" count="1">
        <n v="0"/>
      </sharedItems>
    </cacheField>
    <cacheField name="CDisc3" numFmtId="0">
      <sharedItems containsSemiMixedTypes="0" containsString="0" containsNumber="1" containsInteger="1" minValue="0" maxValue="0" count="1">
        <n v="0"/>
      </sharedItems>
    </cacheField>
    <cacheField name="CDisc4" numFmtId="0">
      <sharedItems containsSemiMixedTypes="0" containsString="0" containsNumber="1" containsInteger="1" minValue="0" maxValue="0" count="1">
        <n v="0"/>
      </sharedItems>
    </cacheField>
    <cacheField name="CTotDisc" numFmtId="0">
      <sharedItems containsSemiMixedTypes="0" containsString="0" containsNumber="1" containsInteger="1" minValue="0" maxValue="0" count="1">
        <n v="0"/>
      </sharedItems>
    </cacheField>
    <cacheField name="SDisc1" numFmtId="0">
      <sharedItems containsSemiMixedTypes="0" containsString="0" containsNumber="1" containsInteger="1" minValue="0" maxValue="10" count="4">
        <n v="10"/>
        <n v="5"/>
        <n v="0"/>
        <n v="3"/>
      </sharedItems>
    </cacheField>
    <cacheField name="SDisc2" numFmtId="0">
      <sharedItems containsSemiMixedTypes="0" containsString="0" containsNumber="1" minValue="0" maxValue="3" count="3">
        <n v="3"/>
        <n v="1.5"/>
        <n v="0"/>
      </sharedItems>
    </cacheField>
    <cacheField name="SDisc3" numFmtId="0">
      <sharedItems containsSemiMixedTypes="0" containsString="0" containsNumber="1" minValue="0" maxValue="7" count="3">
        <n v="1.5"/>
        <n v="7"/>
        <n v="0"/>
      </sharedItems>
    </cacheField>
    <cacheField name="SDisc4" numFmtId="0">
      <sharedItems containsSemiMixedTypes="0" containsString="0" containsNumber="1" minValue="0" maxValue="1.5" count="2">
        <n v="0"/>
        <n v="1.5"/>
      </sharedItems>
    </cacheField>
    <cacheField name="STotDisc" numFmtId="0">
      <sharedItems containsSemiMixedTypes="0" containsString="0" containsNumber="1" minValue="0" maxValue="0.15585992500000001" count="5">
        <n v="0.140095"/>
        <n v="0.15585992500000001"/>
        <n v="0.1135"/>
        <n v="0"/>
        <n v="0.03"/>
      </sharedItems>
    </cacheField>
    <cacheField name="ModifiedDate" numFmtId="0">
      <sharedItems containsSemiMixedTypes="0" containsNonDate="0" containsDate="1" containsString="0" minDate="2018-01-08T09:33:51" maxDate="2023-08-23T10:53:25" count="11">
        <d v="2018-01-08T09:33:51"/>
        <d v="2018-07-30T14:48:16"/>
        <d v="2022-02-14T11:22:22"/>
        <d v="2022-08-05T14:25:21"/>
        <d v="2023-02-03T14:32:08"/>
        <d v="2023-07-21T10:21:54"/>
        <d v="2023-07-21T10:24:21"/>
        <d v="2023-07-21T10:25:28"/>
        <d v="2023-07-21T10:26:16"/>
        <d v="2023-08-23T10:52:12"/>
        <d v="2023-08-23T10:53:25"/>
      </sharedItems>
    </cacheField>
    <cacheField name="SiteCode" numFmtId="0">
      <sharedItems count="1">
        <s v="SANTIAGO"/>
      </sharedItems>
    </cacheField>
    <cacheField name="BOCap" numFmtId="0">
      <sharedItems containsString="0" containsBlank="1" count="1">
        <m/>
      </sharedItems>
    </cacheField>
    <cacheField name="BOType" numFmtId="0">
      <sharedItems containsString="0" containsBlank="1" count="1">
        <m/>
      </sharedItems>
    </cacheField>
    <cacheField name="Pdisctd" numFmtId="0">
      <sharedItems containsString="0" containsBlank="1" count="1">
        <m/>
      </sharedItems>
    </cacheField>
    <cacheField name="encoder" numFmtId="0">
      <sharedItems containsBlank="1" count="15">
        <m/>
        <s v="YANA VISPERAS" u="1"/>
        <s v="ROCHELLE LOPEZ" u="1"/>
        <s v="ELGIE NATO" u="1"/>
        <s v="ADMIN ADMIN" u="1"/>
        <s v="SUNSHINE MAGALONG" u="1"/>
        <s v="JUNARD DELOS SANTOS" u="1"/>
        <s v="KIMBERLY AGACITA" u="1"/>
        <s v="KIMBERLY AGASITA" u="1"/>
        <s v="MARCIE MARAMBA" u="1"/>
        <s v="WENNIE FRANCISCO" u="1"/>
        <s v="ALDRIN GABAT" u="1"/>
        <s v="DANICA QUERIMIT" u="1"/>
        <s v="FUEL ENCODER FUEL ENCODER" u="1"/>
        <s v="APRIL CORNEL" u="1"/>
      </sharedItems>
    </cacheField>
    <cacheField name="PDivisionCode" numFmtId="0">
      <sharedItems containsString="0" containsBlank="1" count="1">
        <m/>
      </sharedItems>
    </cacheField>
    <cacheField name="PriceGroup" numFmtId="0">
      <sharedItems containsString="0" containsBlank="1" count="1">
        <m/>
      </sharedItems>
    </cacheField>
    <cacheField name="OldMegCode" numFmtId="0">
      <sharedItems containsString="0" containsBlank="1" count="1">
        <m/>
      </sharedItems>
    </cacheField>
    <cacheField name="CuCm" numFmtId="0">
      <sharedItems containsString="0" containsBlank="1" count="1">
        <m/>
      </sharedItems>
    </cacheField>
    <cacheField name="TypeOfProduct" numFmtId="0">
      <sharedItems containsBlank="1" count="2">
        <m/>
        <s v="HORECA"/>
      </sharedItems>
    </cacheField>
    <cacheField name="HasAttrib" numFmtId="0">
      <sharedItems count="1">
        <b v="0"/>
      </sharedItems>
    </cacheField>
    <cacheField name="isBundled" numFmtId="0">
      <sharedItems count="1">
        <b v="1"/>
      </sharedItems>
    </cacheField>
    <cacheField name="IsRegular" numFmtId="0">
      <sharedItems count="1">
        <b v="0"/>
      </sharedItems>
    </cacheField>
    <cacheField name="Custom1" numFmtId="0">
      <sharedItems containsString="0" containsBlank="1" count="1">
        <m/>
      </sharedItems>
    </cacheField>
    <cacheField name="Custom2" numFmtId="0">
      <sharedItems containsString="0" containsBlank="1" count="1">
        <m/>
      </sharedItems>
    </cacheField>
    <cacheField name="Custom3" numFmtId="0">
      <sharedItems containsString="0" containsBlank="1" count="1">
        <m/>
      </sharedItems>
    </cacheField>
    <cacheField name="Custom4" numFmtId="0">
      <sharedItems containsString="0" containsBlank="1" count="1">
        <m/>
      </sharedItems>
    </cacheField>
    <cacheField name="Custom5" numFmtId="0">
      <sharedItems containsString="0" containsBlank="1" count="1">
        <m/>
      </sharedItems>
    </cacheField>
    <cacheField name="SellingFCharge" numFmtId="0">
      <sharedItems containsSemiMixedTypes="0" containsString="0" containsNumber="1" containsInteger="1" minValue="0" maxValue="0" count="1">
        <n v="0"/>
      </sharedItems>
    </cacheField>
    <cacheField name="CostFCharge" numFmtId="0">
      <sharedItems containsSemiMixedTypes="0" containsString="0" containsNumber="1" containsInteger="1" minValue="0" maxValue="0" count="1">
        <n v="0"/>
      </sharedItems>
    </cacheField>
    <cacheField name="SFreight" numFmtId="0">
      <sharedItems containsSemiMixedTypes="0" containsString="0" containsNumber="1" containsInteger="1" minValue="0" maxValue="0" count="1">
        <n v="0"/>
      </sharedItems>
    </cacheField>
    <cacheField name="CFreight" numFmtId="0">
      <sharedItems containsSemiMixedTypes="0" containsString="0" containsNumber="1" containsInteger="1" minValue="0" maxValue="0" count="1">
        <n v="0"/>
      </sharedItems>
    </cacheField>
    <cacheField name="HasAttribute" numFmtId="0">
      <sharedItems count="1">
        <b v="1"/>
      </sharedItems>
    </cacheField>
    <cacheField name="CaseDiscount" numFmtId="0">
      <sharedItems containsSemiMixedTypes="0" containsString="0" containsNumber="1" containsInteger="1" minValue="0" maxValue="0" count="1">
        <n v="0"/>
      </sharedItems>
    </cacheField>
    <cacheField name="isGovSpDisc" numFmtId="0">
      <sharedItems count="1">
        <b v="0"/>
      </sharedItems>
    </cacheField>
    <cacheField name="isZeroVat" numFmtId="0">
      <sharedItems count="1">
        <b v="0"/>
      </sharedItems>
    </cacheField>
    <cacheField name="GovClass" numFmtId="0">
      <sharedItems containsString="0" containsBlank="1" count="1">
        <m/>
      </sharedItems>
    </cacheField>
    <cacheField name="BarCodeCase" numFmtId="0">
      <sharedItems containsBlank="1" count="4">
        <s v="1-480-0249-012122"/>
        <s v="1-480-0249-006589"/>
        <s v="1-480-0249-048503"/>
        <m/>
      </sharedItems>
    </cacheField>
    <cacheField name="BarCodeBag" numFmtId="0">
      <sharedItems containsString="0" containsBlank="1" count="1">
        <m/>
      </sharedItems>
    </cacheField>
    <cacheField name="BarCodePc" numFmtId="0">
      <sharedItems containsBlank="1" count="4">
        <s v="480-0249-012132"/>
        <s v="480-0249-006599"/>
        <s v="480-0249-048506"/>
        <m/>
      </sharedItems>
    </cacheField>
    <cacheField name="isLoaded" numFmtId="0">
      <sharedItems count="1">
        <b v="1"/>
      </sharedItems>
    </cacheField>
    <cacheField name="DefLoadUnit" numFmtId="0">
      <sharedItems containsString="0" containsBlank="1" count="1">
        <m/>
      </sharedItems>
    </cacheField>
    <cacheField name="DefPckg" numFmtId="0">
      <sharedItems containsSemiMixedTypes="0" containsString="0" containsNumber="1" containsInteger="1" minValue="0" maxValue="0" count="1">
        <n v="0"/>
      </sharedItems>
    </cacheField>
    <cacheField name="DefPrice" numFmtId="0">
      <sharedItems containsString="0" containsBlank="1" count="1">
        <m/>
      </sharedItems>
    </cacheField>
    <cacheField name="NetSupplierCost" numFmtId="0">
      <sharedItems containsSemiMixedTypes="0" containsString="0" containsNumber="1" minValue="430.68" maxValue="3648.4" count="11">
        <n v="608.81273999999996"/>
        <n v="1196.98776"/>
        <n v="972.44936600000005"/>
        <n v="1468.0440000000001"/>
        <n v="3648.4"/>
        <n v="3240"/>
        <n v="2842"/>
        <n v="715"/>
        <n v="636"/>
        <n v="430.68"/>
        <n v="471.42"/>
      </sharedItems>
    </cacheField>
    <cacheField name="CostperPiece" numFmtId="0">
      <sharedItems containsSemiMixedTypes="0" containsString="0" containsNumber="1" minValue="1.7945" maxValue="24.937245000000001" count="11">
        <n v="12.683598999999999"/>
        <n v="24.937245000000001"/>
        <n v="6.7531210000000002"/>
        <n v="5.0973750000000004"/>
        <n v="3.8003999999999998"/>
        <n v="2.5"/>
        <n v="15.615399999999999"/>
        <n v="4.9653"/>
        <n v="13.25"/>
        <n v="1.7945"/>
        <n v="6.5475000000000003"/>
      </sharedItems>
    </cacheField>
    <cacheField name="GrossCaseWeight" numFmtId="0">
      <sharedItems containsString="0" containsBlank="1" count="1">
        <m/>
      </sharedItems>
    </cacheField>
    <cacheField name="CucmperPiece" numFmtId="0">
      <sharedItems containsString="0" containsBlank="1" count="1">
        <m/>
      </sharedItems>
    </cacheField>
    <cacheField name="GrossPieceWeight" numFmtId="0">
      <sharedItems containsString="0" containsBlank="1" count="1">
        <m/>
      </sharedItems>
    </cacheField>
    <cacheField name="MobileCodedesc" numFmtId="0">
      <sharedItems containsString="0" containsBlank="1" count="1">
        <m/>
      </sharedItems>
    </cacheField>
    <cacheField name="SRPperPc" numFmtId="0">
      <sharedItems containsSemiMixedTypes="0" containsString="0" containsNumber="1" containsInteger="1" minValue="0" maxValue="0" count="1">
        <n v="0"/>
      </sharedItems>
    </cacheField>
    <cacheField name="MobileProductCode" numFmtId="0">
      <sharedItems containsString="0" containsBlank="1" count="1">
        <m/>
      </sharedItems>
    </cacheField>
    <cacheField name="SAPCode" numFmtId="0">
      <sharedItems containsString="0" containsBlank="1" count="1">
        <m/>
      </sharedItems>
    </cacheField>
    <cacheField name="TMCCode" numFmtId="0">
      <sharedItems containsString="0" containsBlank="1" count="1">
        <m/>
      </sharedItems>
    </cacheField>
    <cacheField name="SPDisc"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553.659202662035" createdVersion="5" refreshedVersion="4" minRefreshableVersion="3" recordCount="358" xr:uid="{00000000-000A-0000-FFFF-FFFF08000000}">
  <cacheSource type="external" connectionId="1"/>
  <cacheFields count="52">
    <cacheField name="RECID" numFmtId="0">
      <sharedItems containsSemiMixedTypes="0" containsString="0" containsNumber="1" containsInteger="1" minValue="9609" maxValue="49975"/>
    </cacheField>
    <cacheField name="DocNo" numFmtId="0">
      <sharedItems containsSemiMixedTypes="0" containsString="0" containsNumber="1" containsInteger="1" minValue="1" maxValue="127" count="126">
        <n v="127"/>
        <n v="126"/>
        <n v="19"/>
        <n v="18"/>
        <n v="17"/>
        <n v="59"/>
        <n v="125"/>
        <n v="124"/>
        <n v="9"/>
        <n v="58"/>
        <n v="57"/>
        <n v="8"/>
        <n v="123"/>
        <n v="122"/>
        <n v="121"/>
        <n v="120"/>
        <n v="119"/>
        <n v="118"/>
        <n v="117"/>
        <n v="116"/>
        <n v="56"/>
        <n v="16"/>
        <n v="115"/>
        <n v="114"/>
        <n v="55"/>
        <n v="113"/>
        <n v="112"/>
        <n v="111"/>
        <n v="110"/>
        <n v="109"/>
        <n v="108"/>
        <n v="107"/>
        <n v="106"/>
        <n v="7"/>
        <n v="15"/>
        <n v="105"/>
        <n v="54"/>
        <n v="104"/>
        <n v="53"/>
        <n v="103"/>
        <n v="102"/>
        <n v="52"/>
        <n v="101"/>
        <n v="100"/>
        <n v="51"/>
        <n v="50"/>
        <n v="99"/>
        <n v="98"/>
        <n v="97"/>
        <n v="6"/>
        <n v="96"/>
        <n v="95"/>
        <n v="94"/>
        <n v="93"/>
        <n v="49"/>
        <n v="92"/>
        <n v="90"/>
        <n v="14"/>
        <n v="13"/>
        <n v="89"/>
        <n v="88"/>
        <n v="87"/>
        <n v="86"/>
        <n v="85"/>
        <n v="48"/>
        <n v="84"/>
        <n v="83"/>
        <n v="82"/>
        <n v="81"/>
        <n v="80"/>
        <n v="79"/>
        <n v="78"/>
        <n v="77"/>
        <n v="76"/>
        <n v="75"/>
        <n v="74"/>
        <n v="73"/>
        <n v="72"/>
        <n v="71"/>
        <n v="70"/>
        <n v="69"/>
        <n v="68"/>
        <n v="67"/>
        <n v="66"/>
        <n v="65"/>
        <n v="64"/>
        <n v="63"/>
        <n v="62"/>
        <n v="61"/>
        <n v="60"/>
        <n v="5"/>
        <n v="4"/>
        <n v="3"/>
        <n v="2"/>
        <n v="47"/>
        <n v="46"/>
        <n v="45"/>
        <n v="44"/>
        <n v="43"/>
        <n v="42"/>
        <n v="41"/>
        <n v="40"/>
        <n v="39"/>
        <n v="12"/>
        <n v="11"/>
        <n v="10"/>
        <n v="38"/>
        <n v="1"/>
        <n v="37"/>
        <n v="36"/>
        <n v="35"/>
        <n v="34"/>
        <n v="33"/>
        <n v="30"/>
        <n v="29"/>
        <n v="28"/>
        <n v="27"/>
        <n v="26"/>
        <n v="25"/>
        <n v="32"/>
        <n v="31"/>
        <n v="23"/>
        <n v="24"/>
        <n v="22"/>
        <n v="21"/>
        <n v="20"/>
      </sharedItems>
    </cacheField>
    <cacheField name="DocType" numFmtId="0">
      <sharedItems count="1">
        <s v="REC"/>
      </sharedItems>
    </cacheField>
    <cacheField name="dDate" numFmtId="0">
      <sharedItems containsSemiMixedTypes="0" containsNonDate="0" containsDate="1" containsString="0" minDate="2021-01-01T00:00:00" maxDate="2024-09-13T00:00:00" count="794">
        <d v="2024-09-12T00:00:00"/>
        <d v="2024-09-05T00:00:00"/>
        <d v="2024-09-04T00:00:00"/>
        <d v="2024-09-03T00:00:00"/>
        <d v="2024-08-22T00:00:00"/>
        <d v="2024-08-21T00:00:00"/>
        <d v="2024-08-17T00:00:00"/>
        <d v="2024-08-07T00:00:00"/>
        <d v="2024-08-14T00:00:00"/>
        <d v="2024-08-15T00:00:00"/>
        <d v="2024-07-12T00:00:00"/>
        <d v="2024-08-13T00:00:00"/>
        <d v="2024-08-02T00:00:00"/>
        <d v="2024-07-25T00:00:00"/>
        <d v="2024-07-31T00:00:00"/>
        <d v="2024-07-27T00:00:00"/>
        <d v="2024-07-21T00:00:00"/>
        <d v="2024-07-09T00:00:00"/>
        <d v="2024-07-18T00:00:00"/>
        <d v="2024-07-16T00:00:00"/>
        <d v="2024-07-03T00:00:00"/>
        <d v="2024-06-19T00:00:00"/>
        <d v="2024-06-28T00:00:00"/>
        <d v="2024-06-25T00:00:00"/>
        <d v="2024-06-20T00:00:00"/>
        <d v="2024-06-21T00:00:00"/>
        <d v="2024-06-18T00:00:00"/>
        <d v="2024-06-11T00:00:00"/>
        <d v="2024-06-15T00:00:00"/>
        <d v="2024-05-15T00:00:00"/>
        <d v="2024-05-30T00:00:00"/>
        <d v="2024-05-17T00:00:00"/>
        <d v="2024-05-20T00:00:00"/>
        <d v="2024-05-13T00:00:00"/>
        <d v="2024-03-18T00:00:00"/>
        <d v="2024-03-24T00:00:00"/>
        <d v="2024-04-27T00:00:00"/>
        <d v="2024-04-17T00:00:00"/>
        <d v="2024-04-20T00:00:00"/>
        <d v="2024-04-15T00:00:00"/>
        <d v="2024-04-12T00:00:00"/>
        <d v="2024-03-15T00:00:00"/>
        <d v="2024-03-12T00:00:00"/>
        <d v="2024-03-31T00:00:00"/>
        <d v="2024-04-05T00:00:00"/>
        <d v="2024-03-27T00:00:00"/>
        <d v="2024-03-20T00:00:00"/>
        <d v="2024-03-13T00:00:00"/>
        <d v="2024-02-29T00:00:00"/>
        <d v="2024-02-23T00:00:00"/>
        <d v="2024-02-24T00:00:00"/>
        <d v="2024-02-22T00:00:00"/>
        <d v="2024-01-23T00:00:00"/>
        <d v="2024-02-15T00:00:00"/>
        <d v="2024-02-06T00:00:00"/>
        <d v="2024-02-12T00:00:00"/>
        <d v="2024-02-13T00:00:00"/>
        <d v="2024-01-27T00:00:00"/>
        <d v="2024-01-18T00:00:00"/>
        <d v="2023-12-22T00:00:00"/>
        <d v="2023-12-14T00:00:00"/>
        <d v="2023-12-05T00:00:00"/>
        <d v="2023-12-07T00:00:00"/>
        <d v="2023-12-09T00:00:00"/>
        <d v="2023-11-26T00:00:00"/>
        <d v="2023-11-17T00:00:00"/>
        <d v="2023-11-18T00:00:00"/>
        <d v="2023-11-14T00:00:00"/>
        <d v="2023-11-10T00:00:00"/>
        <d v="2023-11-11T00:00:00"/>
        <d v="2023-11-04T00:00:00"/>
        <d v="2023-10-28T00:00:00"/>
        <d v="2023-10-21T00:00:00"/>
        <d v="2023-10-23T00:00:00"/>
        <d v="2023-10-17T00:00:00"/>
        <d v="2023-10-04T00:00:00"/>
        <d v="2023-09-23T00:00:00"/>
        <d v="2023-09-19T00:00:00"/>
        <d v="2023-09-18T00:00:00"/>
        <d v="2023-09-15T00:00:00"/>
        <d v="2023-09-10T00:00:00"/>
        <d v="2023-09-07T00:00:00"/>
        <d v="2023-09-04T00:00:00"/>
        <d v="2023-09-03T00:00:00"/>
        <d v="2023-12-08T00:00:00"/>
        <d v="2023-08-30T00:00:00"/>
        <d v="2023-10-20T00:00:00"/>
        <d v="2023-12-20T00:00:00"/>
        <d v="2023-11-24T00:00:00"/>
        <d v="2023-10-26T00:00:00"/>
        <d v="2023-10-05T00:00:00"/>
        <d v="2023-09-25T00:00:00"/>
        <d v="2023-09-13T00:00:00"/>
        <d v="2023-09-08T00:00:00"/>
        <d v="2023-09-29T00:00:00"/>
        <d v="2023-09-02T00:00:00"/>
        <d v="2023-08-18T00:00:00"/>
        <d v="2023-08-17T00:00:00"/>
        <d v="2023-08-16T00:00:00"/>
        <d v="2023-08-14T00:00:00"/>
        <d v="2023-08-03T00:00:00"/>
        <d v="2023-08-05T00:00:00"/>
        <d v="2023-07-26T00:00:00"/>
        <d v="2023-07-25T00:00:00"/>
        <d v="2023-07-22T00:00:00"/>
        <d v="2023-07-09T00:00:00"/>
        <d v="2023-04-11T00:00:00"/>
        <d v="2023-07-21T00:00:00"/>
        <d v="2023-07-14T00:00:00"/>
        <d v="2023-07-13T00:00:00"/>
        <d v="2023-07-12T00:00:00"/>
        <d v="2023-07-11T00:00:00"/>
        <d v="2023-06-28T00:00:00"/>
        <d v="2023-06-24T00:00:00"/>
        <d v="2023-06-17T00:00:00"/>
        <d v="2023-06-15T00:00:00"/>
        <d v="2023-05-26T00:00:00"/>
        <d v="2023-05-29T00:00:00"/>
        <d v="2023-05-28T00:00:00"/>
        <d v="2023-05-25T00:00:00"/>
        <d v="2023-05-22T00:00:00"/>
        <d v="2023-05-18T00:00:00"/>
        <d v="2023-05-19T00:00:00"/>
        <d v="2023-04-29T00:00:00"/>
        <d v="2023-04-18T00:00:00"/>
        <d v="2023-04-03T00:00:00"/>
        <d v="2023-03-17T00:00:00"/>
        <d v="2022-12-14T00:00:00"/>
        <d v="2023-02-28T00:00:00"/>
        <d v="2023-02-08T00:00:00"/>
        <d v="2023-02-11T00:00:00"/>
        <d v="2023-02-04T00:00:00"/>
        <d v="2022-12-21T00:00:00"/>
        <d v="2023-01-11T00:00:00"/>
        <d v="2022-12-01T00:00:00"/>
        <d v="2022-12-17T00:00:00"/>
        <d v="2022-12-16T00:00:00"/>
        <d v="2022-12-15T00:00:00"/>
        <d v="2022-12-09T00:00:00"/>
        <d v="2022-12-08T00:00:00"/>
        <d v="2022-12-10T00:00:00"/>
        <d v="2022-12-12T00:00:00"/>
        <d v="2022-12-05T00:00:00"/>
        <d v="2022-12-02T00:00:00"/>
        <d v="2022-11-17T00:00:00"/>
        <d v="2022-11-23T00:00:00"/>
        <d v="2022-11-21T00:00:00"/>
        <d v="2022-11-14T00:00:00"/>
        <d v="2021-12-10T00:00:00"/>
        <d v="2022-11-22T00:00:00"/>
        <d v="2022-11-11T00:00:00"/>
        <d v="2022-11-10T00:00:00"/>
        <d v="2022-11-09T00:00:00"/>
        <d v="2022-11-03T00:00:00"/>
        <d v="2022-10-15T00:00:00"/>
        <d v="2022-10-26T00:00:00"/>
        <d v="2022-10-12T00:00:00"/>
        <d v="2022-10-18T00:00:00"/>
        <d v="2022-10-22T00:00:00"/>
        <d v="2022-10-13T00:00:00"/>
        <d v="2022-10-08T00:00:00"/>
        <d v="2022-10-05T00:00:00"/>
        <d v="2022-10-01T00:00:00"/>
        <d v="2022-10-04T00:00:00"/>
        <d v="2022-09-21T00:00:00"/>
        <d v="2022-09-20T00:00:00"/>
        <d v="2022-09-22T00:00:00"/>
        <d v="2022-09-28T00:00:00"/>
        <d v="2022-09-24T00:00:00"/>
        <d v="2022-09-16T00:00:00"/>
        <d v="2022-09-09T00:00:00"/>
        <d v="2022-09-07T00:00:00"/>
        <d v="2022-08-27T00:00:00"/>
        <d v="2022-08-24T00:00:00"/>
        <d v="2022-07-30T00:00:00"/>
        <d v="2022-08-11T00:00:00"/>
        <d v="2022-08-09T00:00:00"/>
        <d v="2022-07-25T00:00:00"/>
        <d v="2022-07-21T00:00:00"/>
        <d v="2022-07-23T00:00:00"/>
        <d v="2022-07-06T00:00:00"/>
        <d v="2022-07-04T00:00:00"/>
        <d v="2022-06-29T00:00:00"/>
        <d v="2022-06-17T00:00:00"/>
        <d v="2022-06-15T00:00:00"/>
        <d v="2022-06-14T00:00:00"/>
        <d v="2022-06-06T00:00:00"/>
        <d v="2022-06-04T00:00:00"/>
        <d v="2022-05-26T00:00:00"/>
        <d v="2022-05-24T00:00:00"/>
        <d v="2022-04-30T00:00:00"/>
        <d v="2021-12-18T00:00:00"/>
        <d v="2022-05-06T00:00:00"/>
        <d v="2022-05-05T00:00:00"/>
        <d v="2022-05-02T00:00:00"/>
        <d v="2022-04-27T00:00:00"/>
        <d v="2022-04-23T00:00:00"/>
        <d v="2022-04-12T00:00:00"/>
        <d v="2022-04-08T00:00:00"/>
        <d v="2022-04-04T00:00:00"/>
        <d v="2022-03-26T00:00:00"/>
        <d v="2022-02-04T00:00:00"/>
        <d v="2022-01-28T00:00:00"/>
        <d v="2022-01-24T00:00:00"/>
        <d v="2022-01-22T00:00:00"/>
        <d v="2022-01-18T00:00:00"/>
        <d v="2022-01-10T00:00:00"/>
        <d v="2021-09-29T00:00:00" u="1"/>
        <d v="2022-09-29T00:00:00" u="1"/>
        <d v="2021-10-25T00:00:00" u="1"/>
        <d v="2021-11-21T00:00:00" u="1"/>
        <d v="2021-12-17T00:00:00" u="1"/>
        <d v="2021-10-27T00:00:00" u="1"/>
        <d v="2021-11-23T00:00:00" u="1"/>
        <d v="2021-12-19T00:00:00" u="1"/>
        <d v="2021-10-29T00:00:00" u="1"/>
        <d v="2021-11-25T00:00:00" u="1"/>
        <d v="2021-12-21T00:00:00" u="1"/>
        <d v="2021-01-02T00:00:00" u="1"/>
        <d v="2022-01-02T00:00:00" u="1"/>
        <d v="2021-10-31T00:00:00" u="1"/>
        <d v="2021-11-27T00:00:00" u="1"/>
        <d v="2021-12-23T00:00:00" u="1"/>
        <d v="2021-01-04T00:00:00" u="1"/>
        <d v="2022-01-04T00:00:00" u="1"/>
        <d v="2021-11-29T00:00:00" u="1"/>
        <d v="2021-12-25T00:00:00" u="1"/>
        <d v="2021-01-06T00:00:00" u="1"/>
        <d v="2022-01-06T00:00:00" u="1"/>
        <d v="2021-02-02T00:00:00" u="1"/>
        <d v="2022-02-02T00:00:00" u="1"/>
        <d v="2021-11-22T16:28:00" u="1"/>
        <d v="2021-12-27T00:00:00" u="1"/>
        <d v="2021-01-08T00:00:00" u="1"/>
        <d v="2022-01-08T00:00:00" u="1"/>
        <d v="2021-02-04T00:00:00" u="1"/>
        <d v="2021-12-29T00:00:00" u="1"/>
        <d v="2021-01-10T00:00:00" u="1"/>
        <d v="2021-02-06T00:00:00" u="1"/>
        <d v="2022-02-06T00:00:00" u="1"/>
        <d v="2021-03-02T00:00:00" u="1"/>
        <d v="2022-03-02T00:00:00" u="1"/>
        <d v="2021-12-31T00:00:00" u="1"/>
        <d v="2021-01-12T00:00:00" u="1"/>
        <d v="2022-01-12T00:00:00" u="1"/>
        <d v="2021-02-08T00:00:00" u="1"/>
        <d v="2022-02-08T00:00:00" u="1"/>
        <d v="2021-03-04T00:00:00" u="1"/>
        <d v="2022-03-04T00:00:00" u="1"/>
        <d v="2021-02-10T13:55:00" u="1"/>
        <d v="2021-01-14T00:00:00" u="1"/>
        <d v="2022-01-14T00:00:00" u="1"/>
        <d v="2021-02-10T00:00:00" u="1"/>
        <d v="2022-02-10T00:00:00" u="1"/>
        <d v="2021-03-06T00:00:00" u="1"/>
        <d v="2022-03-06T00:00:00" u="1"/>
        <d v="2022-04-02T00:00:00" u="1"/>
        <d v="2021-01-16T00:00:00" u="1"/>
        <d v="2022-01-16T00:00:00" u="1"/>
        <d v="2021-02-12T00:00:00" u="1"/>
        <d v="2022-02-12T00:00:00" u="1"/>
        <d v="2021-03-08T00:00:00" u="1"/>
        <d v="2022-03-08T00:00:00" u="1"/>
        <d v="2021-04-04T00:00:00" u="1"/>
        <d v="2021-01-18T00:00:00" u="1"/>
        <d v="2021-02-14T00:00:00" u="1"/>
        <d v="2022-02-14T00:00:00" u="1"/>
        <d v="2021-03-10T00:00:00" u="1"/>
        <d v="2022-03-10T00:00:00" u="1"/>
        <d v="2021-04-06T00:00:00" u="1"/>
        <d v="2022-04-06T00:00:00" u="1"/>
        <d v="2021-01-20T00:00:00" u="1"/>
        <d v="2022-01-20T00:00:00" u="1"/>
        <d v="2021-02-16T00:00:00" u="1"/>
        <d v="2022-02-16T00:00:00" u="1"/>
        <d v="2021-03-12T00:00:00" u="1"/>
        <d v="2022-03-12T00:00:00" u="1"/>
        <d v="2021-04-08T00:00:00" u="1"/>
        <d v="2021-05-04T00:00:00" u="1"/>
        <d v="2022-05-04T00:00:00" u="1"/>
        <d v="2021-01-22T00:00:00" u="1"/>
        <d v="2021-02-18T00:00:00" u="1"/>
        <d v="2022-02-18T00:00:00" u="1"/>
        <d v="2021-03-14T00:00:00" u="1"/>
        <d v="2022-03-14T00:00:00" u="1"/>
        <d v="2021-04-10T00:00:00" u="1"/>
        <d v="2022-04-10T00:00:00" u="1"/>
        <d v="2021-05-06T00:00:00" u="1"/>
        <d v="2021-06-02T00:00:00" u="1"/>
        <d v="2022-06-02T00:00:00" u="1"/>
        <d v="2021-01-24T00:00:00" u="1"/>
        <d v="2021-02-20T00:00:00" u="1"/>
        <d v="2022-02-20T00:00:00" u="1"/>
        <d v="2021-03-16T00:00:00" u="1"/>
        <d v="2022-03-16T00:00:00" u="1"/>
        <d v="2021-04-12T00:00:00" u="1"/>
        <d v="2021-05-08T00:00:00" u="1"/>
        <d v="2022-05-08T00:00:00" u="1"/>
        <d v="2021-06-04T00:00:00" u="1"/>
        <d v="2021-01-26T00:00:00" u="1"/>
        <d v="2022-01-26T00:00:00" u="1"/>
        <d v="2021-02-22T00:00:00" u="1"/>
        <d v="2022-02-22T00:00:00" u="1"/>
        <d v="2021-03-18T00:00:00" u="1"/>
        <d v="2022-03-18T00:00:00" u="1"/>
        <d v="2021-04-14T00:00:00" u="1"/>
        <d v="2022-04-14T00:00:00" u="1"/>
        <d v="2021-05-10T00:00:00" u="1"/>
        <d v="2022-05-10T00:00:00" u="1"/>
        <d v="2021-06-06T00:00:00" u="1"/>
        <d v="2021-07-02T00:00:00" u="1"/>
        <d v="2022-07-02T00:00:00" u="1"/>
        <d v="2021-01-28T00:00:00" u="1"/>
        <d v="2021-02-24T00:00:00" u="1"/>
        <d v="2022-02-24T00:00:00" u="1"/>
        <d v="2021-03-20T00:00:00" u="1"/>
        <d v="2022-03-20T00:00:00" u="1"/>
        <d v="2021-04-16T00:00:00" u="1"/>
        <d v="2022-04-16T00:00:00" u="1"/>
        <d v="2021-05-12T00:00:00" u="1"/>
        <d v="2022-05-12T00:00:00" u="1"/>
        <d v="2021-06-08T00:00:00" u="1"/>
        <d v="2022-06-08T00:00:00" u="1"/>
        <d v="2021-07-04T00:00:00" u="1"/>
        <d v="2021-01-30T00:00:00" u="1"/>
        <d v="2022-01-30T00:00:00" u="1"/>
        <d v="2021-02-26T00:00:00" u="1"/>
        <d v="2022-02-26T00:00:00" u="1"/>
        <d v="2021-03-22T00:00:00" u="1"/>
        <d v="2022-03-22T00:00:00" u="1"/>
        <d v="2021-04-18T00:00:00" u="1"/>
        <d v="2022-04-18T00:00:00" u="1"/>
        <d v="2021-05-14T00:00:00" u="1"/>
        <d v="2022-05-14T00:00:00" u="1"/>
        <d v="2021-06-10T00:00:00" u="1"/>
        <d v="2022-06-10T00:00:00" u="1"/>
        <d v="2021-07-06T00:00:00" u="1"/>
        <d v="2021-08-02T00:00:00" u="1"/>
        <d v="2022-08-02T00:00:00" u="1"/>
        <d v="2021-02-28T00:00:00" u="1"/>
        <d v="2022-02-28T00:00:00" u="1"/>
        <d v="2021-03-24T00:00:00" u="1"/>
        <d v="2022-03-24T00:00:00" u="1"/>
        <d v="2021-04-20T00:00:00" u="1"/>
        <d v="2022-04-20T00:00:00" u="1"/>
        <d v="2021-05-16T00:00:00" u="1"/>
        <d v="2022-05-16T00:00:00" u="1"/>
        <d v="2021-06-12T00:00:00" u="1"/>
        <d v="2022-06-12T00:00:00" u="1"/>
        <d v="2021-07-08T00:00:00" u="1"/>
        <d v="2022-07-08T00:00:00" u="1"/>
        <d v="2021-08-04T00:00:00" u="1"/>
        <d v="2022-08-04T00:00:00" u="1"/>
        <d v="2021-03-26T00:00:00" u="1"/>
        <d v="2021-04-22T00:00:00" u="1"/>
        <d v="2022-04-22T00:00:00" u="1"/>
        <d v="2021-05-18T00:00:00" u="1"/>
        <d v="2022-05-18T00:00:00" u="1"/>
        <d v="2021-06-14T00:00:00" u="1"/>
        <d v="2021-07-10T00:00:00" u="1"/>
        <d v="2022-07-10T00:00:00" u="1"/>
        <d v="2021-08-06T00:00:00" u="1"/>
        <d v="2022-08-06T00:00:00" u="1"/>
        <d v="2021-09-02T00:00:00" u="1"/>
        <d v="2022-09-02T00:00:00" u="1"/>
        <d v="2021-03-28T00:00:00" u="1"/>
        <d v="2022-03-28T00:00:00" u="1"/>
        <d v="2021-04-24T00:00:00" u="1"/>
        <d v="2022-04-24T00:00:00" u="1"/>
        <d v="2021-05-20T00:00:00" u="1"/>
        <d v="2022-05-20T00:00:00" u="1"/>
        <d v="2021-06-16T00:00:00" u="1"/>
        <d v="2022-04-28T11:47:00" u="1"/>
        <d v="2022-06-16T00:00:00" u="1"/>
        <d v="2021-07-12T00:00:00" u="1"/>
        <d v="2022-07-12T00:00:00" u="1"/>
        <d v="2021-08-08T00:00:00" u="1"/>
        <d v="2022-08-08T00:00:00" u="1"/>
        <d v="2021-09-04T00:00:00" u="1"/>
        <d v="2021-03-30T00:00:00" u="1"/>
        <d v="2022-03-30T00:00:00" u="1"/>
        <d v="2021-04-26T00:00:00" u="1"/>
        <d v="2022-04-26T00:00:00" u="1"/>
        <d v="2021-05-22T00:00:00" u="1"/>
        <d v="2022-05-22T00:00:00" u="1"/>
        <d v="2021-06-18T00:00:00" u="1"/>
        <d v="2022-06-18T00:00:00" u="1"/>
        <d v="2021-07-14T00:00:00" u="1"/>
        <d v="2022-07-14T00:00:00" u="1"/>
        <d v="2021-08-10T00:00:00" u="1"/>
        <d v="2022-08-10T00:00:00" u="1"/>
        <d v="2021-09-06T00:00:00" u="1"/>
        <d v="2021-10-02T00:00:00" u="1"/>
        <d v="2021-04-28T00:00:00" u="1"/>
        <d v="2022-04-28T00:00:00" u="1"/>
        <d v="2021-05-24T00:00:00" u="1"/>
        <d v="2021-06-20T00:00:00" u="1"/>
        <d v="2022-06-20T00:00:00" u="1"/>
        <d v="2021-07-16T00:00:00" u="1"/>
        <d v="2022-07-16T00:00:00" u="1"/>
        <d v="2021-08-12T00:00:00" u="1"/>
        <d v="2022-08-12T00:00:00" u="1"/>
        <d v="2021-09-08T00:00:00" u="1"/>
        <d v="2021-10-04T00:00:00" u="1"/>
        <d v="2021-04-30T00:00:00" u="1"/>
        <d v="2021-05-26T00:00:00" u="1"/>
        <d v="2021-06-22T00:00:00" u="1"/>
        <d v="2022-06-22T00:00:00" u="1"/>
        <d v="2021-07-18T00:00:00" u="1"/>
        <d v="2022-07-18T00:00:00" u="1"/>
        <d v="2021-08-14T00:00:00" u="1"/>
        <d v="2022-08-14T00:00:00" u="1"/>
        <d v="2021-09-10T00:00:00" u="1"/>
        <d v="2021-10-06T00:00:00" u="1"/>
        <d v="2021-11-02T00:00:00" u="1"/>
        <d v="2021-04-07T13:29:00" u="1"/>
        <d v="2021-05-28T00:00:00" u="1"/>
        <d v="2022-05-28T00:00:00" u="1"/>
        <d v="2021-06-24T00:00:00" u="1"/>
        <d v="2022-06-24T00:00:00" u="1"/>
        <d v="2021-07-20T00:00:00" u="1"/>
        <d v="2022-07-20T00:00:00" u="1"/>
        <d v="2021-08-16T00:00:00" u="1"/>
        <d v="2022-08-16T00:00:00" u="1"/>
        <d v="2021-09-12T00:00:00" u="1"/>
        <d v="2021-10-08T00:00:00" u="1"/>
        <d v="2021-11-04T00:00:00" u="1"/>
        <d v="2021-05-30T00:00:00" u="1"/>
        <d v="2022-05-30T00:00:00" u="1"/>
        <d v="2021-06-26T00:00:00" u="1"/>
        <d v="2022-06-26T00:00:00" u="1"/>
        <d v="2021-07-22T00:00:00" u="1"/>
        <d v="2022-07-22T00:00:00" u="1"/>
        <d v="2021-08-18T00:00:00" u="1"/>
        <d v="2022-08-18T00:00:00" u="1"/>
        <d v="2021-09-14T00:00:00" u="1"/>
        <d v="2021-10-10T00:00:00" u="1"/>
        <d v="2021-11-06T00:00:00" u="1"/>
        <d v="2021-12-02T00:00:00" u="1"/>
        <d v="2021-06-28T00:00:00" u="1"/>
        <d v="2022-06-28T00:00:00" u="1"/>
        <d v="2021-07-24T00:00:00" u="1"/>
        <d v="2022-07-24T00:00:00" u="1"/>
        <d v="2021-08-20T00:00:00" u="1"/>
        <d v="2022-08-20T00:00:00" u="1"/>
        <d v="2021-09-16T00:00:00" u="1"/>
        <d v="2021-10-12T00:00:00" u="1"/>
        <d v="2021-11-08T00:00:00" u="1"/>
        <d v="2021-12-04T00:00:00" u="1"/>
        <d v="2021-07-08T18:01:00" u="1"/>
        <d v="2021-06-30T00:00:00" u="1"/>
        <d v="2022-06-30T00:00:00" u="1"/>
        <d v="2021-07-26T00:00:00" u="1"/>
        <d v="2022-07-26T00:00:00" u="1"/>
        <d v="2021-08-22T00:00:00" u="1"/>
        <d v="2022-08-22T00:00:00" u="1"/>
        <d v="2021-09-18T00:00:00" u="1"/>
        <d v="2021-10-14T00:00:00" u="1"/>
        <d v="2021-11-10T00:00:00" u="1"/>
        <d v="2021-12-06T00:00:00" u="1"/>
        <d v="2021-02-17T13:53:00" u="1"/>
        <d v="2021-07-28T00:00:00" u="1"/>
        <d v="2022-07-28T00:00:00" u="1"/>
        <d v="2021-08-24T00:00:00" u="1"/>
        <d v="2021-09-20T00:00:00" u="1"/>
        <d v="2021-10-16T00:00:00" u="1"/>
        <d v="2021-11-12T00:00:00" u="1"/>
        <d v="2021-12-08T00:00:00" u="1"/>
        <d v="2021-07-30T00:00:00" u="1"/>
        <d v="2021-08-26T00:00:00" u="1"/>
        <d v="2022-08-26T00:00:00" u="1"/>
        <d v="2021-09-22T00:00:00" u="1"/>
        <d v="2021-10-18T00:00:00" u="1"/>
        <d v="2021-11-14T00:00:00" u="1"/>
        <d v="2021-08-28T00:00:00" u="1"/>
        <d v="2022-08-28T00:00:00" u="1"/>
        <d v="2021-09-24T00:00:00" u="1"/>
        <d v="2021-10-20T00:00:00" u="1"/>
        <d v="2021-11-16T00:00:00" u="1"/>
        <d v="2021-12-12T00:00:00" u="1"/>
        <d v="2021-08-30T00:00:00" u="1"/>
        <d v="2022-08-30T00:00:00" u="1"/>
        <d v="2021-09-26T00:00:00" u="1"/>
        <d v="2022-09-26T00:00:00" u="1"/>
        <d v="2021-10-22T00:00:00" u="1"/>
        <d v="2021-11-18T00:00:00" u="1"/>
        <d v="2021-12-14T00:00:00" u="1"/>
        <d v="2021-09-28T00:00:00" u="1"/>
        <d v="2021-10-24T00:00:00" u="1"/>
        <d v="2022-10-24T00:00:00" u="1"/>
        <d v="2021-11-20T00:00:00" u="1"/>
        <d v="2021-12-16T00:00:00" u="1"/>
        <d v="2021-09-30T00:00:00" u="1"/>
        <d v="2022-09-30T00:00:00" u="1"/>
        <d v="2021-10-26T00:00:00" u="1"/>
        <d v="2021-11-22T00:00:00" u="1"/>
        <d v="2021-10-28T00:00:00" u="1"/>
        <d v="2021-11-24T00:00:00" u="1"/>
        <d v="2022-11-24T00:00:00" u="1"/>
        <d v="2021-12-20T00:00:00" u="1"/>
        <d v="2021-01-01T00:00:00" u="1"/>
        <d v="2021-10-30T00:00:00" u="1"/>
        <d v="2021-11-26T00:00:00" u="1"/>
        <d v="2021-12-22T00:00:00" u="1"/>
        <d v="2021-01-03T00:00:00" u="1"/>
        <d v="2022-01-03T00:00:00" u="1"/>
        <d v="2021-11-28T00:00:00" u="1"/>
        <d v="2021-12-24T00:00:00" u="1"/>
        <d v="2021-01-05T00:00:00" u="1"/>
        <d v="2022-01-05T00:00:00" u="1"/>
        <d v="2021-02-01T00:00:00" u="1"/>
        <d v="2022-02-01T00:00:00" u="1"/>
        <d v="2021-11-30T00:00:00" u="1"/>
        <d v="2021-12-26T00:00:00" u="1"/>
        <d v="2021-01-07T00:00:00" u="1"/>
        <d v="2022-01-07T00:00:00" u="1"/>
        <d v="2021-02-03T00:00:00" u="1"/>
        <d v="2022-02-03T00:00:00" u="1"/>
        <d v="2021-12-28T00:00:00" u="1"/>
        <d v="2021-01-09T00:00:00" u="1"/>
        <d v="2022-01-09T00:00:00" u="1"/>
        <d v="2021-02-05T00:00:00" u="1"/>
        <d v="2022-02-05T00:00:00" u="1"/>
        <d v="2021-03-01T00:00:00" u="1"/>
        <d v="2022-03-01T00:00:00" u="1"/>
        <d v="2021-12-30T00:00:00" u="1"/>
        <d v="2021-01-11T00:00:00" u="1"/>
        <d v="2022-01-11T00:00:00" u="1"/>
        <d v="2021-02-07T00:00:00" u="1"/>
        <d v="2022-02-07T00:00:00" u="1"/>
        <d v="2021-03-03T00:00:00" u="1"/>
        <d v="2022-03-03T00:00:00" u="1"/>
        <d v="2021-01-13T00:00:00" u="1"/>
        <d v="2022-01-13T00:00:00" u="1"/>
        <d v="2021-02-09T00:00:00" u="1"/>
        <d v="2022-02-09T00:00:00" u="1"/>
        <d v="2021-03-05T00:00:00" u="1"/>
        <d v="2022-03-05T00:00:00" u="1"/>
        <d v="2021-04-01T00:00:00" u="1"/>
        <d v="2022-04-01T00:00:00" u="1"/>
        <d v="2021-01-15T00:00:00" u="1"/>
        <d v="2022-01-15T00:00:00" u="1"/>
        <d v="2021-02-11T00:00:00" u="1"/>
        <d v="2022-02-11T00:00:00" u="1"/>
        <d v="2021-03-07T00:00:00" u="1"/>
        <d v="2022-03-07T00:00:00" u="1"/>
        <d v="2021-04-03T00:00:00" u="1"/>
        <d v="2022-04-03T00:00:00" u="1"/>
        <d v="2021-01-17T00:00:00" u="1"/>
        <d v="2022-01-17T00:00:00" u="1"/>
        <d v="2021-02-13T00:00:00" u="1"/>
        <d v="2022-02-13T00:00:00" u="1"/>
        <d v="2021-03-09T00:00:00" u="1"/>
        <d v="2022-03-09T00:00:00" u="1"/>
        <d v="2021-04-05T00:00:00" u="1"/>
        <d v="2022-04-05T00:00:00" u="1"/>
        <d v="2021-05-01T00:00:00" u="1"/>
        <d v="2022-05-01T00:00:00" u="1"/>
        <d v="2021-01-19T00:00:00" u="1"/>
        <d v="2022-01-19T00:00:00" u="1"/>
        <d v="2021-02-15T00:00:00" u="1"/>
        <d v="2022-02-15T00:00:00" u="1"/>
        <d v="2021-03-11T00:00:00" u="1"/>
        <d v="2022-03-11T00:00:00" u="1"/>
        <d v="2021-04-07T00:00:00" u="1"/>
        <d v="2022-04-07T00:00:00" u="1"/>
        <d v="2021-04-10T10:51:00" u="1"/>
        <d v="2021-05-03T00:00:00" u="1"/>
        <d v="2022-05-03T00:00:00" u="1"/>
        <d v="2022-05-04T08:59:00" u="1"/>
        <d v="2021-01-21T00:00:00" u="1"/>
        <d v="2022-01-21T00:00:00" u="1"/>
        <d v="2021-02-17T00:00:00" u="1"/>
        <d v="2022-02-17T00:00:00" u="1"/>
        <d v="2021-03-13T00:00:00" u="1"/>
        <d v="2022-03-13T00:00:00" u="1"/>
        <d v="2021-04-09T00:00:00" u="1"/>
        <d v="2022-04-09T00:00:00" u="1"/>
        <d v="2021-05-05T00:00:00" u="1"/>
        <d v="2021-06-01T00:00:00" u="1"/>
        <d v="2022-06-01T00:00:00" u="1"/>
        <d v="2021-01-23T00:00:00" u="1"/>
        <d v="2022-01-23T00:00:00" u="1"/>
        <d v="2021-02-19T00:00:00" u="1"/>
        <d v="2022-02-19T00:00:00" u="1"/>
        <d v="2021-03-15T00:00:00" u="1"/>
        <d v="2022-03-15T00:00:00" u="1"/>
        <d v="2021-04-11T00:00:00" u="1"/>
        <d v="2022-04-11T00:00:00" u="1"/>
        <d v="2021-05-07T00:00:00" u="1"/>
        <d v="2022-05-07T00:00:00" u="1"/>
        <d v="2021-06-03T00:00:00" u="1"/>
        <d v="2022-06-03T00:00:00" u="1"/>
        <d v="2021-01-25T00:00:00" u="1"/>
        <d v="2022-01-25T00:00:00" u="1"/>
        <d v="2021-02-21T00:00:00" u="1"/>
        <d v="2022-02-21T00:00:00" u="1"/>
        <d v="2021-03-17T00:00:00" u="1"/>
        <d v="2022-03-17T00:00:00" u="1"/>
        <d v="2024-02-21T00:00:00" u="1"/>
        <d v="2021-04-13T00:00:00" u="1"/>
        <d v="2022-04-13T00:00:00" u="1"/>
        <d v="2021-05-09T00:00:00" u="1"/>
        <d v="2022-05-09T00:00:00" u="1"/>
        <d v="2021-06-05T00:00:00" u="1"/>
        <d v="2022-06-05T00:00:00" u="1"/>
        <d v="2021-07-01T00:00:00" u="1"/>
        <d v="2022-07-01T00:00:00" u="1"/>
        <d v="2021-01-27T00:00:00" u="1"/>
        <d v="2022-01-27T00:00:00" u="1"/>
        <d v="2021-02-23T00:00:00" u="1"/>
        <d v="2022-02-23T00:00:00" u="1"/>
        <d v="2021-03-19T00:00:00" u="1"/>
        <d v="2022-03-19T00:00:00" u="1"/>
        <d v="2021-04-15T00:00:00" u="1"/>
        <d v="2021-05-11T00:00:00" u="1"/>
        <d v="2022-05-11T00:00:00" u="1"/>
        <d v="2021-06-07T00:00:00" u="1"/>
        <d v="2022-06-07T00:00:00" u="1"/>
        <d v="2021-07-03T00:00:00" u="1"/>
        <d v="2022-07-03T00:00:00" u="1"/>
        <d v="2021-01-29T00:00:00" u="1"/>
        <d v="2022-01-29T00:00:00" u="1"/>
        <d v="2021-02-25T00:00:00" u="1"/>
        <d v="2022-02-25T00:00:00" u="1"/>
        <d v="2021-03-21T00:00:00" u="1"/>
        <d v="2022-03-21T00:00:00" u="1"/>
        <d v="2021-04-17T00:00:00" u="1"/>
        <d v="2022-04-17T00:00:00" u="1"/>
        <d v="2021-05-13T00:00:00" u="1"/>
        <d v="2022-04-20T10:51:00" u="1"/>
        <d v="2022-05-13T00:00:00" u="1"/>
        <d v="2021-06-09T00:00:00" u="1"/>
        <d v="2022-06-09T00:00:00" u="1"/>
        <d v="2021-07-05T00:00:00" u="1"/>
        <d v="2022-07-05T00:00:00" u="1"/>
        <d v="2021-08-01T00:00:00" u="1"/>
        <d v="2022-08-01T00:00:00" u="1"/>
        <d v="2021-01-31T00:00:00" u="1"/>
        <d v="2022-01-31T00:00:00" u="1"/>
        <d v="2021-02-27T00:00:00" u="1"/>
        <d v="2022-02-27T00:00:00" u="1"/>
        <d v="2021-03-23T00:00:00" u="1"/>
        <d v="2022-03-23T00:00:00" u="1"/>
        <d v="2021-04-19T00:00:00" u="1"/>
        <d v="2022-04-19T00:00:00" u="1"/>
        <d v="2021-05-15T00:00:00" u="1"/>
        <d v="2022-05-15T00:00:00" u="1"/>
        <d v="2021-06-11T00:00:00" u="1"/>
        <d v="2022-06-11T00:00:00" u="1"/>
        <d v="2021-07-07T00:00:00" u="1"/>
        <d v="2022-07-07T00:00:00" u="1"/>
        <d v="2021-08-03T00:00:00" u="1"/>
        <d v="2022-08-03T00:00:00" u="1"/>
        <d v="2021-03-25T00:00:00" u="1"/>
        <d v="2022-03-25T00:00:00" u="1"/>
        <d v="2021-04-21T00:00:00" u="1"/>
        <d v="2022-04-21T00:00:00" u="1"/>
        <d v="2021-05-17T00:00:00" u="1"/>
        <d v="2022-05-17T00:00:00" u="1"/>
        <d v="2021-06-13T00:00:00" u="1"/>
        <d v="2022-06-13T00:00:00" u="1"/>
        <d v="2021-07-09T00:00:00" u="1"/>
        <d v="2022-07-09T00:00:00" u="1"/>
        <d v="2021-08-05T00:00:00" u="1"/>
        <d v="2022-08-05T00:00:00" u="1"/>
        <d v="2021-09-01T00:00:00" u="1"/>
        <d v="2022-09-01T00:00:00" u="1"/>
        <d v="2021-03-27T00:00:00" u="1"/>
        <d v="2022-03-27T00:00:00" u="1"/>
        <d v="2021-04-23T00:00:00" u="1"/>
        <d v="2021-05-19T00:00:00" u="1"/>
        <d v="2022-05-19T00:00:00" u="1"/>
        <d v="2021-06-15T00:00:00" u="1"/>
        <d v="2021-07-11T00:00:00" u="1"/>
        <d v="2022-07-11T00:00:00" u="1"/>
        <d v="2021-08-07T00:00:00" u="1"/>
        <d v="2022-08-07T00:00:00" u="1"/>
        <d v="2021-09-03T00:00:00" u="1"/>
        <d v="2022-09-03T00:00:00" u="1"/>
        <d v="2021-03-29T00:00:00" u="1"/>
        <d v="2022-03-29T00:00:00" u="1"/>
        <d v="2021-04-25T00:00:00" u="1"/>
        <d v="2022-04-25T00:00:00" u="1"/>
        <d v="2021-05-21T00:00:00" u="1"/>
        <d v="2022-05-21T00:00:00" u="1"/>
        <d v="2021-06-17T00:00:00" u="1"/>
        <d v="2021-07-13T00:00:00" u="1"/>
        <d v="2022-07-13T00:00:00" u="1"/>
        <d v="2021-08-09T00:00:00" u="1"/>
        <d v="2021-09-05T00:00:00" u="1"/>
        <d v="2021-10-01T00:00:00" u="1"/>
        <d v="2021-03-31T00:00:00" u="1"/>
        <d v="2022-03-31T00:00:00" u="1"/>
        <d v="2021-04-27T00:00:00" u="1"/>
        <d v="2021-05-23T00:00:00" u="1"/>
        <d v="2022-05-23T00:00:00" u="1"/>
        <d v="2021-06-19T00:00:00" u="1"/>
        <d v="2022-06-19T00:00:00" u="1"/>
        <d v="2021-07-15T00:00:00" u="1"/>
        <d v="2022-07-15T00:00:00" u="1"/>
        <d v="2021-08-11T00:00:00" u="1"/>
        <d v="2021-09-07T00:00:00" u="1"/>
        <d v="2021-10-03T00:00:00" u="1"/>
        <d v="2021-04-29T00:00:00" u="1"/>
        <d v="2022-04-29T00:00:00" u="1"/>
        <d v="2021-05-25T00:00:00" u="1"/>
        <d v="2022-05-25T00:00:00" u="1"/>
        <d v="2021-06-21T00:00:00" u="1"/>
        <d v="2022-06-21T00:00:00" u="1"/>
        <d v="2021-07-17T00:00:00" u="1"/>
        <d v="2022-07-17T00:00:00" u="1"/>
        <d v="2021-08-13T00:00:00" u="1"/>
        <d v="2022-08-13T00:00:00" u="1"/>
        <d v="2021-09-09T00:00:00" u="1"/>
        <d v="2021-10-05T00:00:00" u="1"/>
        <d v="2021-11-01T00:00:00" u="1"/>
        <d v="2021-05-27T00:00:00" u="1"/>
        <d v="2022-05-27T00:00:00" u="1"/>
        <d v="2021-06-23T00:00:00" u="1"/>
        <d v="2022-06-23T00:00:00" u="1"/>
        <d v="2021-07-19T00:00:00" u="1"/>
        <d v="2022-07-19T00:00:00" u="1"/>
        <d v="2021-08-15T00:00:00" u="1"/>
        <d v="2022-08-15T00:00:00" u="1"/>
        <d v="2021-09-11T00:00:00" u="1"/>
        <d v="2021-10-07T00:00:00" u="1"/>
        <d v="2021-11-03T00:00:00" u="1"/>
        <d v="2021-05-29T00:00:00" u="1"/>
        <d v="2022-05-29T00:00:00" u="1"/>
        <d v="2021-06-25T00:00:00" u="1"/>
        <d v="2022-06-25T00:00:00" u="1"/>
        <d v="2021-07-21T00:00:00" u="1"/>
        <d v="2021-08-17T00:00:00" u="1"/>
        <d v="2022-08-17T00:00:00" u="1"/>
        <d v="2021-09-13T00:00:00" u="1"/>
        <d v="2021-10-09T00:00:00" u="1"/>
        <d v="2021-11-05T00:00:00" u="1"/>
        <d v="2021-12-01T00:00:00" u="1"/>
        <d v="2021-05-31T00:00:00" u="1"/>
        <d v="2022-05-31T00:00:00" u="1"/>
        <d v="2021-06-27T00:00:00" u="1"/>
        <d v="2022-06-27T00:00:00" u="1"/>
        <d v="2021-07-23T00:00:00" u="1"/>
        <d v="2021-08-19T00:00:00" u="1"/>
        <d v="2022-08-19T00:00:00" u="1"/>
        <d v="2021-09-15T00:00:00" u="1"/>
        <d v="2021-10-11T00:00:00" u="1"/>
        <d v="2021-11-07T00:00:00" u="1"/>
        <d v="2021-12-03T00:00:00" u="1"/>
        <d v="2021-06-29T00:00:00" u="1"/>
        <d v="2021-07-25T00:00:00" u="1"/>
        <d v="2021-08-21T00:00:00" u="1"/>
        <d v="2021-09-17T00:00:00" u="1"/>
        <d v="2021-10-13T00:00:00" u="1"/>
        <d v="2021-11-09T00:00:00" u="1"/>
        <d v="2021-12-05T00:00:00" u="1"/>
        <d v="2021-07-27T00:00:00" u="1"/>
        <d v="2022-07-27T00:00:00" u="1"/>
        <d v="2021-08-23T00:00:00" u="1"/>
        <d v="2022-08-23T00:00:00" u="1"/>
        <d v="2021-09-19T00:00:00" u="1"/>
        <d v="2021-10-15T00:00:00" u="1"/>
        <d v="2021-11-11T00:00:00" u="1"/>
        <d v="2021-12-07T00:00:00" u="1"/>
        <d v="2021-07-29T00:00:00" u="1"/>
        <d v="2022-07-29T00:00:00" u="1"/>
        <d v="2021-08-25T00:00:00" u="1"/>
        <d v="2022-08-25T00:00:00" u="1"/>
        <d v="2021-09-21T00:00:00" u="1"/>
        <d v="2021-10-17T00:00:00" u="1"/>
        <d v="2021-11-13T00:00:00" u="1"/>
        <d v="2021-12-09T00:00:00" u="1"/>
        <d v="2021-07-31T00:00:00" u="1"/>
        <d v="2022-07-31T00:00:00" u="1"/>
        <d v="2021-08-27T00:00:00" u="1"/>
        <d v="2021-09-23T00:00:00" u="1"/>
        <d v="2021-10-19T00:00:00" u="1"/>
        <d v="2021-11-15T00:00:00" u="1"/>
        <d v="2021-12-11T00:00:00" u="1"/>
        <d v="2021-08-29T00:00:00" u="1"/>
        <d v="2022-08-29T00:00:00" u="1"/>
        <d v="2021-09-25T00:00:00" u="1"/>
        <d v="2022-09-25T00:00:00" u="1"/>
        <d v="2021-10-21T00:00:00" u="1"/>
        <d v="2021-11-17T00:00:00" u="1"/>
        <d v="2021-12-13T00:00:00" u="1"/>
        <d v="2021-08-31T00:00:00" u="1"/>
        <d v="2022-08-31T00:00:00" u="1"/>
        <d v="2021-09-27T00:00:00" u="1"/>
        <d v="2022-09-27T00:00:00" u="1"/>
        <d v="2021-10-23T00:00:00" u="1"/>
        <d v="2021-11-19T00:00:00" u="1"/>
        <d v="2021-12-15T00:00:00" u="1"/>
      </sharedItems>
    </cacheField>
    <cacheField name="DelDate" numFmtId="0">
      <sharedItems containsSemiMixedTypes="0" containsNonDate="0" containsDate="1" containsString="0" minDate="2021-12-10T00:00:00" maxDate="2024-09-13T00:00:00"/>
    </cacheField>
    <cacheField name="DivisionCode" numFmtId="0">
      <sharedItems count="1">
        <s v="MPP"/>
      </sharedItems>
    </cacheField>
    <cacheField name="SupplierCode" numFmtId="0">
      <sharedItems containsBlank="1" count="69">
        <s v="MLTI"/>
        <s v="SPC"/>
        <s v="MBC"/>
        <s v="WPCC"/>
        <s v="RAE"/>
        <s v="EXT"/>
        <s v="BPSI"/>
        <s v="MPI"/>
        <s v="LP"/>
        <s v="CPST"/>
        <m u="1"/>
        <s v="PPCAC" u="1"/>
        <s v="SKN" u="1"/>
        <s v="JSUAI" u="1"/>
        <s v="M2T" u="1"/>
        <s v="CDO" u="1"/>
        <s v="HVM" u="1"/>
        <s v="GJC" u="1"/>
        <s v="HYFC" u="1"/>
        <s v="CJF" u="1"/>
        <s v="ANBBI" u="1"/>
        <s v="SUNP" u="1"/>
        <s v="JAST" u="1"/>
        <s v="SMPI" u="1"/>
        <s v="GPI" u="1"/>
        <s v="ESCGI" u="1"/>
        <s v="EPII" u="1"/>
        <s v="PTDGM" u="1"/>
        <s v="GPR" u="1"/>
        <s v="ILC" u="1"/>
        <s v="JDM" u="1"/>
        <s v="LNP" u="1"/>
        <s v="MP" u="1"/>
        <s v="PGP" u="1"/>
        <s v="VCF" u="1"/>
        <s v="FDFMC" u="1"/>
        <s v="AST" u="1"/>
        <s v="MEN" u="1"/>
        <s v="DCRT" u="1"/>
        <s v="FCI" u="1"/>
        <s v="MHPI" u="1"/>
        <s v="JT" u="1"/>
        <s v="PFP" u="1"/>
        <s v="RII" u="1"/>
        <s v="PC" u="1"/>
        <s v="GULF" u="1"/>
        <s v="AFAB" u="1"/>
        <s v="JIA2" u="1"/>
        <s v="WMC" u="1"/>
        <s v="YMLC" u="1"/>
        <s v="KGT" u="1"/>
        <s v="NEUC" u="1"/>
        <s v="UFDI" u="1"/>
        <s v="MSOIC" u="1"/>
        <s v="FAC" u="1"/>
        <s v="BOGSI" u="1"/>
        <s v="SC" u="1"/>
        <s v="GPDI" u="1"/>
        <s v="EPI" u="1"/>
        <s v="RGC" u="1"/>
        <s v="EMPI" u="1"/>
        <s v="EIE" u="1"/>
        <s v="MSPI" u="1"/>
        <s v="ABC" u="1"/>
        <s v="VMC" u="1"/>
        <s v="CIFPI" u="1"/>
        <s v="MTSP" u="1"/>
        <s v="GBPI" u="1"/>
        <s v="MAC" u="1"/>
      </sharedItems>
    </cacheField>
    <cacheField name="Whcode" numFmtId="0">
      <sharedItems containsBlank="1" count="171">
        <s v="RMP-WH"/>
        <s v="RBD-RAW"/>
        <s v="WIP-FILL"/>
        <m u="1"/>
        <s v="FRO-V3" u="1"/>
        <s v="ILC-RTO-EC-2" u="1"/>
        <s v="ADMIN2" u="1"/>
        <s v="PANG-VAN-1" u="1"/>
        <s v="LU-V1" u="1"/>
        <s v="HO-DRY" u="1"/>
        <s v="EPI-TRIKE2" u="1"/>
        <s v="SM-NOD" u="1"/>
        <s v="FRO-V6" u="1"/>
        <s v="WIP-PAM" u="1"/>
        <s v="PANG-C22" u="1"/>
        <s v="RM-PAM" u="1"/>
        <s v="HO-3" u="1"/>
        <s v="RBD-FILL" u="1"/>
        <s v="HO-ILC-EC" u="1"/>
        <s v="GDN-V2" u="1"/>
        <s v="3" u="1"/>
        <s v="DCRT-3" u="1"/>
        <s v="HV-SR3-EC" u="1"/>
        <s v="CDO-V2" u="1"/>
        <s v="BENG-V1" u="1"/>
        <s v="RM-OIL" u="1"/>
        <s v="BENG-V2" u="1"/>
        <s v="HV-SR1" u="1"/>
        <s v="MLTI-V10" u="1"/>
        <s v="BENG-V3" u="1"/>
        <s v="WIP-OIL" u="1"/>
        <s v="MLTI-V20" u="1"/>
        <s v="PANG-V1" u="1"/>
        <s v="PANG-V2" u="1"/>
        <s v="MLTI-V13" u="1"/>
        <s v="ILC-RTO-3-EC" u="1"/>
        <s v="PANG-V3" u="1"/>
        <s v="MLTI-V23" u="1"/>
        <s v="PANG-V4" u="1"/>
        <s v="DCRT-6" u="1"/>
        <s v="HO-IND" u="1"/>
        <s v="MLTI-V16" u="1"/>
        <s v="PANG-V5" u="1"/>
        <s v="EPI-TRIKE5" u="1"/>
        <s v="ILC-T1-EC" u="1"/>
        <s v="ILC-W-RTO-EC" u="1"/>
        <s v="SH-WH1" u="1"/>
        <s v="MLTI-V19" u="1"/>
        <s v="HO-4" u="1"/>
        <s v="FRO-V2" u="1"/>
        <s v="PANG-CE22" u="1"/>
        <s v="GM" u="1"/>
        <s v="DCRT-9" u="1"/>
        <s v="RM-NOD" u="1"/>
        <s v="ILC-RTO-EC" u="1"/>
        <s v="LU-VA22" u="1"/>
        <s v="HO-FRO" u="1"/>
        <s v="FRO-V5" u="1"/>
        <s v="UM-OIL" u="1"/>
        <s v="HO-DRY22" u="1"/>
        <s v="ADMIN" u="1"/>
        <s v="GDN-V1" u="1"/>
        <s v="ILC-RTO" u="1"/>
        <s v="DCRT-2" u="1"/>
        <s v="EPI-TRIKE3" u="1"/>
        <s v="HV-SR2-EC" u="1"/>
        <s v="HO-EMP" u="1"/>
        <s v="CDO-V1" u="1"/>
        <s v="FRO-V8" u="1"/>
        <s v="DRY-22" u="1"/>
        <s v="PANG-CW22" u="1"/>
        <s v="MLTI-V11" u="1"/>
        <s v="LU-V2" u="1"/>
        <s v="OM-WH1" u="1"/>
        <s v="RBD-BLND" u="1"/>
        <s v="MLTI-V21" u="1"/>
        <s v="BENG-VB22" u="1"/>
        <s v="GDN-V4" u="1"/>
        <s v="DCRT-5" u="1"/>
        <s v="BENG-VC22" u="1"/>
        <s v="ILC-RTO-3" u="1"/>
        <s v="MLTI-V14" u="1"/>
        <s v="HO-ILC" u="1"/>
        <s v="PRMX-V1" u="1"/>
        <s v="MLTI-V24" u="1"/>
        <s v="ILC-RTO-2" u="1"/>
        <s v="CNC" u="1"/>
        <s v="PRMX-V2" u="1"/>
        <s v="RM-GM" u="1"/>
        <s v="HV-SR3" u="1"/>
        <s v="PRMX-V3" u="1"/>
        <s v="MLTI-V17" u="1"/>
        <s v="HO-WIP" u="1"/>
        <s v="MP-WH1" u="1"/>
        <s v="PRMX-V4" u="1"/>
        <s v="ILC-W-RTO" u="1"/>
        <s v="FRO-V1" u="1"/>
        <s v="HO-SPO" u="1"/>
        <s v="DCRT-8" u="1"/>
        <s v="EPI-TRIKE6" u="1"/>
        <s v="EPI-TRIKE1" u="1"/>
        <s v="ILC-SR1-BT" u="1"/>
        <s v="WMC-V2" u="1"/>
        <s v="ILC-SR2-BT" u="1"/>
        <s v="ILC-SR3-BT" u="1"/>
        <s v="HO-4-EC" u="1"/>
        <s v="ILC-SR4-BT" u="1"/>
        <s v="HO-DCRT" u="1"/>
        <s v="HO-BO-GDN" u="1"/>
        <s v="ILC-T1" u="1"/>
        <s v="MLTI-V1" u="1"/>
        <s v="SMPI-M1" u="1"/>
        <s v="FRO-V4" u="1"/>
        <s v="HOBO" u="1"/>
        <s v="MLTI-V2" u="1"/>
        <s v="SMPI-M2" u="1"/>
        <s v="HO-TPL" u="1"/>
        <s v="MLTI-V3" u="1"/>
        <s v="SMPI-M3" u="1"/>
        <s v="MLTI-V4" u="1"/>
        <s v="MLTI-V5" u="1"/>
        <s v="DCRT-1" u="1"/>
        <s v="MLTI-V6" u="1"/>
        <s v="HV-SR1-EC" u="1"/>
        <s v="MLTI-V7" u="1"/>
        <s v="HO-TTE" u="1"/>
        <s v="MLTI-V9" u="1"/>
        <s v="HO" u="1"/>
        <s v="FRO-V7" u="1"/>
        <s v="ILC-SR1-EC" u="1"/>
        <s v="MLT1-V8B" u="1"/>
        <s v="HO-IND-EC" u="1"/>
        <s v="WIP-NOD" u="1"/>
        <s v="ILC-SR2-EC" u="1"/>
        <s v="ILC-SR3-EC" u="1"/>
        <s v="ILC-SR4-EC" u="1"/>
        <s v="GDN-V3" u="1"/>
        <s v="DCRT-4" u="1"/>
        <s v="EPI-TRIKE4" u="1"/>
        <s v="ILC-SR5-EC" u="1"/>
        <s v="SM-PAM" u="1"/>
        <s v="ILC-W-RTO-BT" u="1"/>
        <s v="CDO-V3" u="1"/>
        <s v="ILC-SR1" u="1"/>
        <s v="MLTI-V12" u="1"/>
        <s v="LU-VB22" u="1"/>
        <s v="ILC-SR2" u="1"/>
        <s v="MLTI-V22" u="1"/>
        <s v="HV-SR2" u="1"/>
        <s v="TPL-BO" u="1"/>
        <s v="ILC-SR3" u="1"/>
        <s v="HO-RDCRT" u="1"/>
        <s v="BO-GDN22" u="1"/>
        <s v="ILC-SR4" u="1"/>
        <s v="MLTI-V15" u="1"/>
        <s v="ILC-SR5" u="1"/>
        <s v="SM-OIL" u="1"/>
        <s v="DCRT-10" u="1"/>
        <s v="DCRT-11" u="1"/>
        <s v="MLTI-V18" u="1"/>
        <s v="HO-SG" u="1"/>
        <s v="DCRT-12" u="1"/>
        <s v="DCRT-7" u="1"/>
        <s v="HO-BO" u="1"/>
        <s v="HO-2" u="1"/>
        <s v="DCRT-13" u="1"/>
        <s v="WMC-V1" u="1"/>
        <s v="MLTI-EXT7" u="1"/>
        <s v="HO-BODRY" u="1"/>
        <s v="CASH" u="1"/>
        <s v="DCRT-15" u="1"/>
      </sharedItems>
    </cacheField>
    <cacheField name="GrossAmt" numFmtId="0">
      <sharedItems containsSemiMixedTypes="0" containsString="0" containsNumber="1" minValue="0" maxValue="3429996.9"/>
    </cacheField>
    <cacheField name="Discount" numFmtId="0">
      <sharedItems containsSemiMixedTypes="0" containsString="0" containsNumber="1" containsInteger="1" minValue="0" maxValue="0" count="1">
        <n v="0"/>
      </sharedItems>
    </cacheField>
    <cacheField name="SubTot" numFmtId="0">
      <sharedItems containsSemiMixedTypes="0" containsString="0" containsNumber="1" minValue="0" maxValue="3429996.9"/>
    </cacheField>
    <cacheField name="NetOfVat" numFmtId="0">
      <sharedItems containsSemiMixedTypes="0" containsString="0" containsNumber="1" minValue="0" maxValue="3062497.2321000001"/>
    </cacheField>
    <cacheField name="VAT" numFmtId="0">
      <sharedItems containsSemiMixedTypes="0" containsString="0" containsNumber="1" minValue="0" maxValue="367499.6679"/>
    </cacheField>
    <cacheField name="TermCode" numFmtId="0">
      <sharedItems containsString="0" containsBlank="1" count="1">
        <m/>
      </sharedItems>
    </cacheField>
    <cacheField name="NoOfDay" numFmtId="0">
      <sharedItems containsSemiMixedTypes="0" containsString="0" containsNumber="1" containsInteger="1" minValue="0" maxValue="0" count="1">
        <n v="0"/>
      </sharedItems>
    </cacheField>
    <cacheField name="InvcRemarks" numFmtId="0">
      <sharedItems containsBlank="1" count="50">
        <s v="PALM - MOI INTERNATIONAL (SINGAPORE)"/>
        <s v="MARY JEAN O. SOTTO"/>
        <m/>
        <s v="ERAKIN AGRO MARKETING INC."/>
        <s v="LIMPAN TRADING"/>
        <s v="MABUHAY INTERFLOUR MILL INC."/>
        <s v="CONNAN PACKAGING SUPPLIES TRADING"/>
        <s v="GB AND G PROVIDER ENTERPRISE CORP."/>
        <s v="HEJAM PLASTIC PRODUCT"/>
        <s v="EMPIRE OIL INTEGRATED MANUFACTURING CORPORATION"/>
        <s v="M2J2"/>
        <s v="RAE AMBER ENTERPRISE"/>
        <s v="SOYA - MOI INTERNATIONAL (SINGAPORE) PTE. LTD."/>
        <s v="PALM - MOI INTERNATIONAL (SINGAPORE) PTE. LTD."/>
        <s v="CSI WAREHOUSE CLUB INC."/>
        <s v="TAPE PACKAGING THICK CLEAR"/>
        <s v="TAPE PACKAGING THICK TAN"/>
        <s v="ONGI ETORRI MARKETING INC."/>
        <s v="CANOLA - MOI INTERNATIONAL (SINGAPORE) PTE. LTD."/>
        <s v="SOYA - CORNERSTONE APAC (S) PTE. LTD."/>
        <s v="PALM - CORNERSTONE APAC (S) PTE. LTD."/>
        <s v="PALM - MAC WORLD GLOBALLY RELIABLE"/>
        <s v="COCO - GOLDEN SELECTION COOKING OIL TRADING"/>
        <s v="GWO FONG INDUSTRIAL COMPANY"/>
        <s v="RED AMBER ENTERPRISES"/>
        <s v="ARVIN INTERNATIONAL MARKETING INC."/>
        <s v="ULTRAFOOD DISTRIBUTORS, INC."/>
        <s v="ROBERTO ODRON"/>
        <s v="PALM - JAREZ TRADING"/>
        <s v="COCO - SME COMMODITIES, INC."/>
        <s v="JRP TRADING, INCORPORATED"/>
        <s v="CANOLA - CORNERSTONE APAC (S) PTE. LTD."/>
        <s v="CSI"/>
        <s v="EXACT BOX PACKAGING"/>
        <s v="PUREGOLD"/>
        <s v="PAY TO CASH"/>
        <s v="COCO - LIMPAN TRADING"/>
        <s v="PALM - SME COMMODITIES, INC."/>
        <s v="PALM - DAVAO BAY COCONUT OIL MILLS INC."/>
        <s v="SOYA - GPR INTERNATIONAL TRADING CORP"/>
        <s v="SOYA - PARABOR TI DIOS GEN. MDSE."/>
        <s v="PALM - JONIL AGRICULTURAL SUPPLIES TRADING"/>
        <s v="OIL BOTTLE 1 LITER (MC BRIDE) FROM 6.4/PC TO 6.3/PC"/>
        <s v="CORNERSTONE" u="1"/>
        <s v="JONIL AGRICULTURAL SUPPLIES TRADING" u="1"/>
        <s v="PARABOR TI DIOS GEN. MDSE." u="1"/>
        <s v="GPR INTERNATIONAL TRADING CORP" u="1"/>
        <s v="JAREZ TRADING" u="1"/>
        <s v="JONIL" u="1"/>
        <s v="DAVAO BAY COCONUT OIL MILLS INC." u="1"/>
      </sharedItems>
    </cacheField>
    <cacheField name="Salesmancode" numFmtId="0">
      <sharedItems count="3">
        <s v="RMP-WH"/>
        <s v="RBD-RAW"/>
        <s v="WIP-FILL"/>
      </sharedItems>
    </cacheField>
    <cacheField name="Paycode" numFmtId="0">
      <sharedItems count="1">
        <s v="0"/>
      </sharedItems>
    </cacheField>
    <cacheField name="PriceType" numFmtId="0">
      <sharedItems count="2">
        <s v="A"/>
        <s v="1"/>
      </sharedItems>
    </cacheField>
    <cacheField name="Balance" numFmtId="0">
      <sharedItems containsSemiMixedTypes="0" containsString="0" containsNumber="1" minValue="-2055788.9387000001" maxValue="1641312"/>
    </cacheField>
    <cacheField name="Applied" numFmtId="0">
      <sharedItems containsSemiMixedTypes="0" containsString="0" containsNumber="1" minValue="0" maxValue="4122267.36"/>
    </cacheField>
    <cacheField name="isCancelled" numFmtId="0">
      <sharedItems count="1">
        <b v="0"/>
      </sharedItems>
    </cacheField>
    <cacheField name="IsPosted" numFmtId="0">
      <sharedItems count="2">
        <b v="0"/>
        <b v="1"/>
      </sharedItems>
    </cacheField>
    <cacheField name="isPOP" numFmtId="0">
      <sharedItems count="1">
        <b v="0"/>
      </sharedItems>
    </cacheField>
    <cacheField name="ProductID" numFmtId="0">
      <sharedItems containsSemiMixedTypes="0" containsString="0" containsNumber="1" containsInteger="1" minValue="3083" maxValue="3212" count="95">
        <n v="3211"/>
        <n v="3155"/>
        <n v="3166"/>
        <n v="3165"/>
        <n v="3164"/>
        <n v="3120"/>
        <n v="3179"/>
        <n v="3098"/>
        <n v="3118"/>
        <n v="3119"/>
        <n v="3148"/>
        <n v="3178"/>
        <n v="3186"/>
        <n v="3088"/>
        <n v="3089"/>
        <n v="3206"/>
        <n v="3101"/>
        <n v="3094"/>
        <n v="3176"/>
        <n v="3194"/>
        <n v="3162"/>
        <n v="3161"/>
        <n v="3129"/>
        <n v="3128"/>
        <n v="3083"/>
        <n v="3208"/>
        <n v="3121"/>
        <n v="3087"/>
        <n v="3210"/>
        <n v="3209"/>
        <n v="3174"/>
        <n v="3159"/>
        <n v="3108"/>
        <n v="3151"/>
        <n v="3163"/>
        <n v="3168"/>
        <n v="3167"/>
        <n v="3184"/>
        <n v="3147"/>
        <n v="3095"/>
        <n v="3092"/>
        <n v="3097"/>
        <n v="3093"/>
        <n v="3156"/>
        <n v="3111"/>
        <n v="3112"/>
        <n v="3110"/>
        <n v="3090"/>
        <n v="3197"/>
        <n v="3154"/>
        <n v="3153"/>
        <n v="3198"/>
        <n v="3102"/>
        <n v="3103"/>
        <n v="3157"/>
        <n v="3091"/>
        <n v="3117"/>
        <n v="3172"/>
        <n v="3084"/>
        <n v="3170"/>
        <n v="3185"/>
        <n v="3180"/>
        <n v="3181"/>
        <n v="3182"/>
        <n v="3183"/>
        <n v="3085"/>
        <n v="3086"/>
        <n v="3212"/>
        <n v="3207"/>
        <n v="3099"/>
        <n v="3201" u="1"/>
        <n v="3193" u="1"/>
        <n v="3204" u="1"/>
        <n v="3196" u="1"/>
        <n v="3188" u="1"/>
        <n v="3113" u="1"/>
        <n v="3199" u="1"/>
        <n v="3191" u="1"/>
        <n v="3175" u="1"/>
        <n v="3116" u="1"/>
        <n v="3100" u="1"/>
        <n v="3202" u="1"/>
        <n v="3189" u="1"/>
        <n v="3173" u="1"/>
        <n v="3114" u="1"/>
        <n v="3200" u="1"/>
        <n v="3192" u="1"/>
        <n v="3160" u="1"/>
        <n v="3203" u="1"/>
        <n v="3195" u="1"/>
        <n v="3187" u="1"/>
        <n v="3171" u="1"/>
        <n v="3096" u="1"/>
        <n v="3190" u="1"/>
        <n v="3115" u="1"/>
      </sharedItems>
    </cacheField>
    <cacheField name="Qty" numFmtId="0">
      <sharedItems containsSemiMixedTypes="0" containsString="0" containsNumber="1" containsInteger="1" minValue="10" maxValue="27500000"/>
    </cacheField>
    <cacheField name="Unit" numFmtId="0">
      <sharedItems count="5">
        <s v="LTR"/>
        <s v="PCS"/>
        <s v="GRM"/>
        <s v="KG"/>
        <s v="CSE"/>
      </sharedItems>
    </cacheField>
    <cacheField name="Pckg" numFmtId="0">
      <sharedItems containsSemiMixedTypes="0" containsString="0" containsNumber="1" containsInteger="1" minValue="1" maxValue="1000" count="3">
        <n v="1"/>
        <n v="1000"/>
        <n v="100"/>
      </sharedItems>
    </cacheField>
    <cacheField name="DiscAmt" numFmtId="0">
      <sharedItems containsSemiMixedTypes="0" containsString="0" containsNumber="1" containsInteger="1" minValue="0" maxValue="0" count="1">
        <n v="0"/>
      </sharedItems>
    </cacheField>
    <cacheField name="NetAmt" numFmtId="0">
      <sharedItems containsSemiMixedTypes="0" containsString="0" containsNumber="1" minValue="0" maxValue="3429996.9"/>
    </cacheField>
    <cacheField name="GrossAmtD" numFmtId="0">
      <sharedItems containsSemiMixedTypes="0" containsString="0" containsNumber="1" minValue="0" maxValue="3429996.9"/>
    </cacheField>
    <cacheField name="TotPC" numFmtId="0">
      <sharedItems containsSemiMixedTypes="0" containsString="0" containsNumber="1" containsInteger="1" minValue="10" maxValue="27500000"/>
    </cacheField>
    <cacheField name="Cost" numFmtId="0">
      <sharedItems containsSemiMixedTypes="0" containsString="0" containsNumber="1" minValue="0" maxValue="920"/>
    </cacheField>
    <cacheField name="DiscStr" numFmtId="0">
      <sharedItems count="1">
        <s v="0/0/0/0"/>
      </sharedItems>
    </cacheField>
    <cacheField name="AppDisc" numFmtId="0">
      <sharedItems containsSemiMixedTypes="0" containsString="0" containsNumber="1" containsInteger="1" minValue="0" maxValue="0" count="1">
        <n v="0"/>
      </sharedItems>
    </cacheField>
    <cacheField name="SupplierName" numFmtId="0">
      <sharedItems count="27">
        <s v="MULTI-LINE"/>
        <s v="SUPERIOR PACKAGING CORPORATION"/>
        <s v="MC BRIDE CORPORATION"/>
        <s v="WELL-PACK CONTAINER CORPORATION"/>
        <s v="RED AMBER ENTERPRISE"/>
        <s v="EXACT BOX &amp; PACKAGING CORP."/>
        <s v="BESTPAK PACKAGING SOLUTIONS, INC."/>
        <s v="MACHINEWORLD PHILIPPINES, INC."/>
        <s v="LIM PAN"/>
        <s v="CONNAN PACKAGING SUPPLIES TRADING"/>
        <s v="ANZ SPICES TRADING" u="1"/>
        <s v="JONIL AGRICULTURAL SUPPLIES TRADING" u="1"/>
        <s v="M2 TRADING" u="1"/>
        <s v="MALABON SOAP &amp; OIL INDUSTRIAL CO., INC." u="1"/>
        <s v="JADE MARKETING" u="1"/>
        <s v="VICTORY CANTON FACTORY" u="1"/>
        <s v="LYMC NOODLES PROCESSING" u="1"/>
        <s v="ELIXIR INDUSTRIAL EQUIPMENT INC." u="1"/>
        <s v="PARABOR TI DIOS GEN. MDSE." u="1"/>
        <s v="GPR INTERNATIONAL TRADING CORP" u="1"/>
        <s v="ULTRAFOOD DISTRIBUTORS, INC." u="1"/>
        <s v="ES CONCEPT GROUP INC." u="1"/>
        <s v="JAREZ TRADING" u="1"/>
        <s v="SIONGCI CORPORATION" u="1"/>
        <s v="GJC AGSALUD ENTERPRISE INC." u="1"/>
        <s v="PRINTWISE COMPUTER" u="1"/>
        <s v="EVERGOOD PLSTIC INDUSTRY, INC." u="1"/>
      </sharedItems>
    </cacheField>
    <cacheField name="ProductName" numFmtId="0">
      <sharedItems/>
    </cacheField>
    <cacheField name="SiteCode" numFmtId="0">
      <sharedItems count="1">
        <s v="SANTIAGO"/>
      </sharedItems>
    </cacheField>
    <cacheField name="UnitPrice" numFmtId="0">
      <sharedItems containsSemiMixedTypes="0" containsString="0" containsNumber="1" minValue="0" maxValue="228"/>
    </cacheField>
    <cacheField name="SupplierInvNo" numFmtId="0">
      <sharedItems/>
    </cacheField>
    <cacheField name="Freight" numFmtId="0">
      <sharedItems containsSemiMixedTypes="0" containsString="0" containsNumber="1" containsInteger="1" minValue="0" maxValue="0" count="1">
        <n v="0"/>
      </sharedItems>
    </cacheField>
    <cacheField name="TCaseWeight" numFmtId="0">
      <sharedItems containsSemiMixedTypes="0" containsString="0" containsNumber="1" containsInteger="1" minValue="0" maxValue="0" count="1">
        <n v="0"/>
      </sharedItems>
    </cacheField>
    <cacheField name="AccountName" numFmtId="0">
      <sharedItems count="3">
        <s v="RAW MATERIALS PURCHASED"/>
        <s v="RBD RAW OIL"/>
        <s v="FILLING WAREHOUSE"/>
      </sharedItems>
    </cacheField>
    <cacheField name="ZeroVAT" numFmtId="0">
      <sharedItems containsSemiMixedTypes="0" containsString="0" containsNumber="1" containsInteger="1" minValue="0" maxValue="0" count="1">
        <n v="0"/>
      </sharedItems>
    </cacheField>
    <cacheField name="Encoder" numFmtId="0">
      <sharedItems containsSemiMixedTypes="0" containsString="0" containsNumber="1" containsInteger="1" minValue="195" maxValue="263" count="4">
        <n v="195"/>
        <n v="263"/>
        <n v="260"/>
        <n v="261"/>
      </sharedItems>
    </cacheField>
    <cacheField name="Description" numFmtId="0">
      <sharedItems containsBlank="1" count="3336">
        <s v="RBD PALM OLEIN (FOREIGN)"/>
        <s v="BUNKER OIL"/>
        <s v="1G BOX PAMINTA FINE (SPC)"/>
        <s v="1G BOX PAMINTA WHOLE (SPC)"/>
        <s v="1G BOX PAMINTA CRACKED (SPC)"/>
        <s v="2LITERS BOTTLE PALM MAZOLA (MBC)"/>
        <s v="SALT IODIZED (SALINE)"/>
        <s v="CORNSTARCH"/>
        <s v="350ML BOX PALM (WPCC)"/>
        <s v="900ML BOTTLE PALM MAZOLA (MBC)"/>
        <s v="1LITER BOX PALM MZL (WPCC)"/>
        <s v="LYE WATER (BAKED BS)"/>
        <s v="FLOUR (HARINA)"/>
        <s v="500ML BOTTLE PALM [SWAK] (MBC)"/>
        <s v="350ML BOTTLE PALM [SWAK] (MBC)"/>
        <s v="1LITER BOTTLE CANSOY [NUTRI] (MBC)"/>
        <s v="300G BOX CANTON (SPC)"/>
        <s v="DOUBLE SIDED TAPE 3/4''x30M (CONNAN)"/>
        <s v="PACKAGING TAPE CLEAR"/>
        <s v="HEADER PAMINTA CRACKED"/>
        <s v="HEADER PAMINTA FINE"/>
        <s v="HEADER PAMINTA WHOLE"/>
        <s v="PLASTIC TRANSPARENT 9.5 * 6.5 * 15.5"/>
        <s v="PAPER PLATE SILVER"/>
        <s v="RBD COCONUT OIL"/>
        <s v="500ML BOX PALM (EXT)"/>
        <s v="MOTHERBAG 22 X 44"/>
        <s v="1LITER BOTTLE PALM [SWAK] (MBC)"/>
        <s v="2LITERS BOTTLE CANOLEIN [ROUND] GREEN (MBC)"/>
        <s v="1LITER BOX PALM (EXT)"/>
        <s v="2LITERS BOX PALM (EXT)"/>
        <s v="RBD SOYA BEAN OIL"/>
        <s v="RBD CANOLA OIL"/>
        <s v="FLOUR (HARINA LC)"/>
        <s v="CELLULOSE (CMC)"/>
        <s v="NENKYO (MAMA NEN)"/>
        <s v="PORERENE (PAPA PORON)"/>
        <s v="GINISA MIX (ADDITIVES)"/>
        <s v="2LITERS BOX PALM MZL (WPCC)"/>
        <s v="1LITER BOX CANOLEIN (WPCC)"/>
        <s v="1LITER BOX SOYA (WPCC)"/>
        <s v="2LITERS BOX CANOLEIN (WPCC)"/>
        <s v="2LITERS BOX SOYA (WPCC)"/>
        <s v="4LITERS BOX CHECK (WPCC)"/>
        <s v="4LITERS LABEL CANOLA"/>
        <s v="4LITERS LABEL PALM"/>
        <s v="4LITERS LABEL SOYA"/>
        <s v="2LITERS BOTTLE PALM [NUTRI] (MBC)"/>
        <s v="2LITERS BOTTLE SOYA [ROUND] YELLOW (MBC)"/>
        <s v="PACKAGING CANTON 250G LC (RO)"/>
        <s v="PACKAGING CANTON 80G LC (RO)"/>
        <s v="RBD PALM OLEIN (LOCAL)"/>
        <s v="4LITERS BOTTLE GODZILLA (BPSI)"/>
        <s v="1LITER LABEL PALM MZL (MPI)"/>
        <s v="PACKAGING CANTON 80G (MPI)"/>
        <s v="1LITER BOX CANOLEIN (SPC)"/>
        <s v="1LITER BOX PALM (SPC)"/>
        <s v="EGG YELLOW (COLORING)"/>
        <s v="1LITER LABEL PALM (MPI)"/>
        <s v="2LITERS BOX CANOLEIN (EXT)"/>
        <s v="PACKAGING CANTON 300G (MPI)"/>
        <s v="2LITERS LABEL CANOLEIN (MPI)"/>
        <s v="2LITERS LABEL PALM (MPI)"/>
        <s v="2LITERS LABEL SOYA (MPI)"/>
        <s v="1LITER LABEL CANOLEIN (MPI)"/>
        <s v="500ML LABEL PALM (MPI)"/>
        <s v="350ML LABEL PALM (MPI)"/>
        <s v="1LITER BOX PALM [TIE-UP] (EXT)"/>
        <s v="1LITER BOX CANOLEIN (EXT)"/>
        <s v="PACKAGING BIHON 454G (MPI)"/>
        <s v="" u="1"/>
        <m u="1"/>
        <s v="Cricket Orig Fusion Neon (25's/tray) (4-11162563)" u="1"/>
        <s v="Jellybee Lychee 18'sx20 (202A)" u="1"/>
        <s v="CDO SAMBA BRAZILIAN C.BEEF 48X150G (EO)" u="1"/>
        <s v="Pagoda Muriatic Acid Super Strength 250ml" u="1"/>
        <s v="Tasty Palamig Lemon Iced Tea 25gx288" u="1"/>
        <s v="SHRIMP PEELED &amp; DEVEINED 1KG" u="1"/>
        <s v="Chibog Chicken and Cheese 1kg x 10" u="1"/>
        <s v="MAMA PINAS BUNDLE I (2C1L1BML150) X 6" u="1"/>
        <s v="Freeda Pantyliner 8's x 72" u="1"/>
        <s v="GARDENIA DELIZIO CAFFINO CREAMY MOCHA 30GX10'SX24" u="1"/>
        <s v="SPEED DAGDAG KAL 145G X 6'S+1FREE BY 16" u="1"/>
        <s v="DRYPLUS B.DIAPER TRIAL PACK XXL 4'Sx72" u="1"/>
        <s v="H &amp; Y Mango Pudding 300gx20 (118)" u="1"/>
        <s v="ALIBABA FUN CRACKER PEANUT 20GX10'SX10" u="1"/>
        <s v="Paradiso Sardines in T.S. Chili Added 155gx100-EOC" u="1"/>
        <s v="(INACTIVE) GARDENIA BUY 2 BUTTER TOASTIES POLYBAG FOR P100" u="1"/>
        <s v="DEESTONE 11.00R22.5 SK421 BLOCK MIX 16PR 148/145L" u="1"/>
        <s v="(INACTIVE) DANES SWEET AND CREAMY 180GX24" u="1"/>
        <s v="(INACTIVE) BINGO MEAT LOAF 48X100G" u="1"/>
        <s v="Jolly Salted Black Beans 180gx100" u="1"/>
        <s v="SMCT SPANISH STYLE 150GX48" u="1"/>
        <s v="Crumpy Breadspread Duo 400g" u="1"/>
        <s v="PLASTIC MB 22x38 (LIMPAN)" u="1"/>
        <s v="BINGO BEEF LOAF 48X150G (NEW)" u="1"/>
        <s v="Pagoda Air Freshener Lemon" u="1"/>
        <s v="Mama Pina's Palm Oil 500ml x 24 BTC" u="1"/>
        <s v="RUGIA TIRC - TOTAL OIL" u="1"/>
        <s v="LibY Dishwashing Liquid Ginger 2000ml" u="1"/>
        <s v="SAN MARINO TUNA FILLET SPANISH STYLE 48X180G (E.O)" u="1"/>
        <s v="PROMO-5 SAN MARINO CORNED TUNA 100GX8" u="1"/>
        <s v="FIRST PROTECT KN95 5'S" u="1"/>
        <s v="(INACTIVE) SPEED WHITE 380G X 2'S + 1 FREE POW SK 55G 2:1" u="1"/>
        <s v="CDO SAMBA BRAZILIAN C.BEEF 48X150G" u="1"/>
        <s v="GARDENIA NEUBAKE WHITE BREAD 450g" u="1"/>
        <s v="(INACTIVE) iColor Hair Dye Shampoo Chestnut Brown 30ml 10'sx48" u="1"/>
        <s v="SBD Comfort Medium 22x12 B1T1 50%" u="1"/>
        <s v="SPD BBFR-LZ 55gx6's + 2FREE by32" u="1"/>
        <s v="Gallon Deposit" u="1"/>
        <s v="Cricket Firepower w/ Flexible Nozzle (16's/tray) (9-33010101)" u="1"/>
        <s v="Sweet Baby Diapers Meduim 42x6" u="1"/>
        <s v="(INACTIVE) PROMO-SAN MARINO CTR 180GX3" u="1"/>
        <s v="Empress Shampoo Long &amp; Healthy 21ml x 12 x 24 pck" u="1"/>
        <s v="H&amp;Y Cocoju Jelly Juice Bubble Gum Flavor 200gx10cups (834)" u="1"/>
        <s v="BERYL'S TRIPLE CHOCOCOOKIE MIX W/ CHOCOCHUNK &amp; CHIPS 2KGX3" u="1"/>
        <s v="Special Vermicelli Sotanghon 28ozx25" u="1"/>
        <s v="Players Styling Hair Extreme Glossy &amp; Hard 3gms" u="1"/>
        <s v="Gatorade Grape 500mlx24" u="1"/>
        <s v="(INACTIVE) KeratinPlus Shampoo Daily Nourishing 22ml 11 + 1 promo" u="1"/>
        <s v="Family Rubbing Alcohol 40% 60ml" u="1"/>
        <s v="(INACTIVE) Select Sukang Puti 1L w/ Free SP 200ml 1:1" u="1"/>
        <s v="Promo-Chooga Juice Pomelo 250ml + 1 Breadpan" u="1"/>
        <s v="Essen Immuneboost x 30s" u="1"/>
        <s v="Family Rubbing Alcohol 40% 180ml" u="1"/>
        <s v="(INACTIVE) CDO VIENNA SAUSAGE 48X70G (E.O)" u="1"/>
        <s v="Super Save Macaroni 5k-Elbow Small" u="1"/>
        <s v="(INACTIVE) 1 PC - CDO NATA 340G &amp; 1 PC CDO KAONG 340G" u="1"/>
        <s v="CAP YELLOW 2L [NUTRI] (MBC)" u="1"/>
        <s v="Langnese Golden Clear Honey 1000g" u="1"/>
        <s v="Gelee Fruit Cup 9gx80sx12" u="1"/>
        <s v="(INACTIVE) PROMO-6 CDO MEAT LOAF 150G FREE 1 BINGO CB 60G" u="1"/>
        <s v="(INACTIVE) SAN MARINO CORNED TUNA 48X180G" u="1"/>
        <s v="(INACTIVE) 3CDOKN 100G SAVE 4.00-GANADO BUNDLE" u="1"/>
        <s v="DANES SR MAYO 220G W/ SAUCER PROMO" u="1"/>
        <s v="Doña Elena Al Dente Penne Rigate 500g" u="1"/>
        <s v="LABEL FOR 1L PALM OIL (MACHINEWORLD)" u="1"/>
        <s v="SPD KAL-L 2KGS+1FREE KAL-L 500G 1:1 BY 6" u="1"/>
        <s v="Alcoplus Ethyl 70% Classic 500ml x 24" u="1"/>
        <s v="LPG (50kg Cylinder) CTA - ECTA# 71909" u="1"/>
        <s v="H&amp;Y Cocoju Jelly Juice Lychee Flavor 200gx10cups (831)" u="1"/>
        <s v="DAILYFIX CRANBERRY YOGURT DELIGHT 100G" u="1"/>
        <s v="CJF DELIUM 175-R13" u="1"/>
        <s v="Super Coffee Mix Orig 10`sx 24" u="1"/>
        <s v="Alcoplus ECQ Ethyl Alcohol 250mlFtx48" u="1"/>
        <s v="WIN FL 1L+1FREE BBPW-LZ 55G 1:1 BY 12" u="1"/>
        <s v="CDO ALL PURPOSE MAYO DRESSING 3.5LX4" u="1"/>
        <s v="KING CUP SARDINES CHILI EOC 155g BUY 5 SAVE P10" u="1"/>
        <s v="SweetBaby Explore Med 22/12 w/ 3 Pads" u="1"/>
        <s v="CJF 205 65 R16 YOKOHAMA" u="1"/>
        <s v="SPEED 1kg Babad Fresh Roses Powderx12" u="1"/>
        <s v="Tipid Pack-BBFR55g+FC130g 1:1 by40" u="1"/>
        <s v="Promo - Fiona Youthful Bless 100mlFTx24" u="1"/>
        <s v="SUPER Q - Golden Bihon 200g x 30" u="1"/>
        <s v="Zip Zip 24sx20" u="1"/>
        <s v="PHYSICAL SHORTAGES" u="1"/>
        <s v="Delicious Macaroni 5k-Elbow Small" u="1"/>
        <s v="Cricket Mini Doggie Series (50's/tray) (4-12165019)" u="1"/>
        <s v="SPEED BBFR 55GX6'S+1FREE 55GMORE FC 150G 6:1" u="1"/>
        <s v="SMART CHOICE BTR 2PLY 400PULLS 800S (+200S) 4SX24P" u="1"/>
        <s v="(INACTIVE) iColor Hair Dry Shampoo Triple Color Changer 25ml 10'sx48" u="1"/>
        <s v="SPEED Diswashing Liquid - Lemon 48X50Ml" u="1"/>
        <s v="Grips Wax Hard &amp; Mat 75gx36" u="1"/>
        <s v="Cricket Orig Simplicity (50's/tray) (4-11165002)" u="1"/>
        <s v="HIGHLANDS C BEEF PROMO 150GX48" u="1"/>
        <s v="2LITERS BOX CANSOY (EXT)" u="1"/>
        <s v="FROOTY BUBBLE POP 25+3'SX40 (829)" u="1"/>
        <s v="iColor ABKDT Anti-Hair Fall Plus Vit.B7 &amp; Aloevera 20ml 12'sx144x4" u="1"/>
        <s v="Minola P. Edible Oil Plastic 485ml x 24" u="1"/>
        <s v="Promo-2 Pic Poc Strawberry 250ml+1 Kopiko" u="1"/>
        <s v="SPEED Diswashing Liquid - Kalamansi 48X50Ml" u="1"/>
        <s v="GARDENIA DELICIA HAZELNUT 30G" u="1"/>
        <s v="SWEET BEST STEVIA &amp; ERYTHRITOL 150G" u="1"/>
        <s v="(INACTIVE) 2SMCCT150G+1SMCTSS150G PROMO PACK" u="1"/>
        <s v="ARMOUR VIENNA SAUSAGE HOT &amp; SPICY 4.6OZ" u="1"/>
        <s v="TWO FOR HUE IC (BLACKx2) 25ML" u="1"/>
        <s v="H &amp; Y Lychee 160gx40 (101)" u="1"/>
        <s v="Good life Sesame Oil 2Lx6" u="1"/>
        <s v="(INACTIVE) 1 SAN MARINO TUNA FLAKES HOT &amp; SPICY 150GX48" u="1"/>
        <s v="SPEED Detergent Bar - With Fabcon 36X380G" u="1"/>
        <s v="MAMA PINA'S BUNDLE A (2B1C) x6" u="1"/>
        <s v="DAILYFIX BERRY SPECIAL 700G 1" u="1"/>
        <s v="(INACTIVE) MEN2 SOL - DELIVERY RECEIPT" u="1"/>
        <s v="PACKAGING BIHON (MACHINEWORLD)" u="1"/>
        <s v="Jolly Garbanzos 100gx48" u="1"/>
        <s v="KeratinPlus Black 20g x 12's x 24 Packs" u="1"/>
        <s v="Speed BBFR 1kg+1FREE 55gMore FC 150g 1:1" u="1"/>
        <s v="iColor Hair Dye Shampoo Medium Brown 30ml 10'sx48" u="1"/>
        <s v="GARDENIA HIGH FIBER WHEAT RAISIN LOAF 600g" u="1"/>
        <s v="PANCIT CANTON (VICTORY)" u="1"/>
        <s v="SPEED SPECKLED BLUE 360G DET. BAR X 36" u="1"/>
        <s v="H&amp;Y Cocoju Jelly Juice Bubble Gum Flavor 200gx24cups (824)" u="1"/>
        <s v="Sweet Baby Diapers SSS Pack 5+1/10" u="1"/>
        <s v="SNACK ATTACK AVIKO SHOE STRING 7MM 2.5KGX4" u="1"/>
        <s v="CARP SOY SAUCE 1L PET" u="1"/>
        <s v="BINGO BEEF LOAF 48x100G" u="1"/>
        <s v="CARP SOY SAUCE 3785ML PLASTIC" u="1"/>
        <s v="Jelly Cup Clear Bucket 14gx300sx4" u="1"/>
        <s v="SELECT SOY 200ML ETC X 5'S + 1'S FREE" u="1"/>
        <s v="SPEED 55GMORE SB 150G X5'S+1 FREE 5:1" u="1"/>
        <s v="H &amp; Y Little Tutti Soft Candy 24's x 40 packs (A912)" u="1"/>
        <s v="Comstock Red Ruby Cherry 21oz" u="1"/>
        <s v="CDO SAMBA BRAZILIAN C.BEEF 48X210G (EO)" u="1"/>
        <s v="SM PREM. TAWILIS IN CORN OIL 85GX48 (EO)" u="1"/>
        <s v="CDO BIGTIME LIVER SPREAD 85GX48" u="1"/>
        <s v="BUDGET SPECKLED BLUE 360G DET. BAR X 36" u="1"/>
        <s v="iColor Hair Dye Shampoo Burgundy 30ml 10'sx48" u="1"/>
        <s v="JINLI KOJIC ACID SOAP 135GX48" u="1"/>
        <s v="Mama Pina's Bundle B" u="1"/>
        <s v="Foodcrafters Chicken Embutido 200g" u="1"/>
        <s v="Family Rubbing Alcohol 70% w/ Moist 250mlx48 (PET)" u="1"/>
        <s v="Fiona Bubbly Pink 100mlx24" u="1"/>
        <s v="Korean Spicy Barbeque 230g" u="1"/>
        <s v="BLACK PEPPER FINE (ANZ)" u="1"/>
        <s v="SUPER Q - Japanese Ramen 250/20 x 5" u="1"/>
        <s v="POLAR BEAR GLUTINOUS RICE FLOUR 500G" u="1"/>
        <s v="TENTAY FISHBALL SAUCE - SWEET 350G" u="1"/>
        <s v="CHIPS DELIGHT BROWNIES COOKIES 28GX12X20" u="1"/>
        <s v="BUDGET Sunflower Fresh 380g Det.Barx36" u="1"/>
        <s v="SAN MARINO BLUE MACKEREL IN TOMATO SAUCE 180GX48" u="1"/>
        <s v="BINGO CARNE NORTE 150GX48" u="1"/>
        <s v="3IN1 SUPER COFFEEMIX WHITE 10X24X28G - B1T1" u="1"/>
        <s v="(INACTIVE) PROMO-SAN MARINO CCT 180GX3" u="1"/>
        <s v="(INACTIVE) DANES CLASSIC CHEESE BLOCK 180GX24 (NEW)" u="1"/>
        <s v="GOODTYRE S.11.00R20 YB268 MIX 18PR" u="1"/>
        <s v="CJF 8.25-16 TUBE" u="1"/>
        <s v="(INACTIVE) SPEED BBFR55Gx6's+2FREE" u="1"/>
        <s v="SM BLUE MACKEREL STEAK SPANISH STYLE 48X180G (E.O)" u="1"/>
        <s v="PERFECT SOFT N FIT OVERNIGHT 8SX24P" u="1"/>
        <s v="Nyam Nyam Jumbo Hotdog 250g" u="1"/>
        <s v="Mama Pina's Palm Oil 500ml x 24 FD3" u="1"/>
        <s v="Vaccum Sealed Boneless Bangus Doubles (M)" u="1"/>
        <s v="(INACTIVE) Frozen Trio Pack (Longa-ChickShang-Tapa)" u="1"/>
        <s v="PINOY FIESTA KAPAMPANGAN SISIG SPICY 220G" u="1"/>
        <s v="HEADER PAMINTA WHOLE (PRINTWISE)" u="1"/>
        <s v="GARDENIA CHOCO STRAWBERRY CREAM ROLL 50G" u="1"/>
        <s v="SAN MARINO CORNED TUNA CALDERETA 155GX48" u="1"/>
        <s v="CHICKBOY POP-Strings Pizza 8G X 12 X 20 pack" u="1"/>
        <s v="CDO BEEF LOAF 48X100G" u="1"/>
        <s v="SPEED 500g Sunflower Burst Powderx24" u="1"/>
        <s v="19L Carboy Select Cane Vinegarx1" u="1"/>
        <s v="Yum'mee Filling Marshmallow 24'sx30pks (380)" u="1"/>
        <s v="Empress Advance Keratin Repair &amp; Protect 12mlx12" u="1"/>
        <s v="GOODY PORK LONG SKINLESS 200G" u="1"/>
        <s v="Foodcrafters Crispy Burger Patties(6pcs in can)230g" u="1"/>
        <s v="(INACTIVE) HIGHLANDS CORNED BEEF 48X260G (OLD)" u="1"/>
        <s v="Happy Day Oranges Juice 1L" u="1"/>
        <s v="ER Macaroni MEG 30 x 400 g (78702)" u="1"/>
        <s v="SELECT Sukang Puti 48x200ml w/Spout" u="1"/>
        <s v="CDO BEEF LOAF 48X210G" u="1"/>
        <s v="Gatorade Blue Bolt 500mlx24" u="1"/>
        <s v="(INACTIVE) 2 SAN MARINO TUNA FLAKES HOT &amp; SPICY 150GX48" u="1"/>
        <s v="ALIBABA HAPPY BEAR MILK FILLING 20GX10'SX10" u="1"/>
        <s v="SPEED KAL 1kg Get 1kg SK@30%off" u="1"/>
        <s v="Jolly Claro Oil 1Lx12" u="1"/>
        <s v="DON FRANK POWDER 25KG" u="1"/>
        <s v="CDO SAMBA BRAZILIAN C.BEEF 48X210G" u="1"/>
        <s v="SAN MARINO BLUE MACKEREL SPANISH STYLE 180GX48" u="1"/>
        <s v="ARLA MILK GOODNESS LOW FAT 1L" u="1"/>
        <s v="GARDENIA CALIFORNIA RAISIN LOAF 400g" u="1"/>
        <s v="Promo-Alcoplus Isopropyl 70% 500ml w/ SanitizerRed" u="1"/>
        <s v="Nanays Pork Tocino Classic 480g" u="1"/>
        <s v="WESTLAKE TIRE 225/70R16 SU318" u="1"/>
        <s v="MAMA PINA'S BUNDLE G (1C1L1SS200) x 12" u="1"/>
        <s v="Langnese Golden Clear Honey 500g" u="1"/>
        <s v="KAMI BTR 2PLY 150PULLS 300S 24Sx6P" u="1"/>
        <s v="TOP 6.50-20 (6H) RIM" u="1"/>
        <s v="SPEED 500G BABAD FC W/ POWER WHITENER POWDER FL x24 (new)" u="1"/>
        <s v="DANES QUICKMELT CHEESE 450G x12" u="1"/>
        <s v="SPEED Babad 288X45G" u="1"/>
        <s v="(INACTIVE) CDO SEA QUEST TUNA FLAKES IN OIL H&amp;S 155GX48EO (IN)" u="1"/>
        <s v="Nabati Richnuts Wafer 50gx60pcs" u="1"/>
        <s v="DOLUX Bleach 72X100Ml" u="1"/>
        <s v="Fiona Sweet Breeze 75mlx24" u="1"/>
        <s v="JINLI KOJIC ACID SOAP 65'SX48" u="1"/>
        <s v="Jolly Fresh Cranberry Juice 1Lx12" u="1"/>
        <s v="(INACTIVE) PROMO-3 MAMA PINA'S PALM OIL 350ML FREE MP PAMINTA FINE" u="1"/>
        <s v="Fiona Cool Burst 75mlx24" u="1"/>
        <s v="BUDGET PB 65gx6's+Free Budget Powder SF 65g 6:2x24" u="1"/>
        <s v="Marinated Chicken Wings Garlic 1kg" u="1"/>
        <s v="HAWKWAY 11.00R22.5 HK865 RIB 16PR 146/143M" u="1"/>
        <s v="SEL SP 350ML PET X5'S+1FREE BY 4" u="1"/>
        <s v="ER Curly Macaroni 30 x 250 g" u="1"/>
        <s v="BLACK PEPPER CRACKED (ANZ)" u="1"/>
        <s v="(INACTIVE) Grips Hair Clay 25g x 216" u="1"/>
        <s v="BEEF TENDERLOIN 1KG" u="1"/>
        <s v="I COOL CHERRY MINT GUM 50'SX40 (1017)" u="1"/>
        <s v="SUPER Q - Golden Bihon 1kg x 15" u="1"/>
        <s v="BUDGET 25kgs Industrial Det.Powder" u="1"/>
        <s v="KeratinPlus Luxurious Red Tube 200g x 24 pcs" u="1"/>
        <s v="FRUTOS 50'SX40 (830)" u="1"/>
        <s v="CDO BEEF LOAF 48X150G" u="1"/>
        <s v="SM CORNED TUNA 60G (6'S)X24" u="1"/>
        <s v="SPEED 55GMORE FC 150G X5'S+1 FREE 5:1" u="1"/>
        <s v="(INACTIVE) Mama Pina's Palm Oil 1L x 12 (Inactive)" u="1"/>
        <s v="PACKAGING PAMINTA CRACKED (MACHINEWORLD)" u="1"/>
        <s v="Fiona Snow Breeze 75mlx24" u="1"/>
        <s v="(INACTIVE) CDO BEEF LOAF 48X100G (OLD)" u="1"/>
        <s v="(INACTIVE) Promo - Grips Clay 5g 22+2 (Dagdag Kita)" u="1"/>
        <s v="Richoco Cookies - Choco 28G x 20ib x 10+1pcs" u="1"/>
        <s v="PROMO - Alcoplus Isopropyl 70% 500ml w/ free 60ml" u="1"/>
        <s v="Family Cotton Balls 300`s" u="1"/>
        <s v="Chooga Chiller Apple 250ml" u="1"/>
        <s v="V FRESH 50+5'SX40 (988)" u="1"/>
        <s v="SPEED BBFR 1kg Get 500g BBFR@50%off" u="1"/>
        <s v="iColor Hair Dye Shampoo 25ml Wild Cherry 10'sx12" u="1"/>
        <s v="Chooga Orange Juice Drink 200ml" u="1"/>
        <s v="SELECT Cane Vinegar 24X350Ml" u="1"/>
        <s v="(INACTIVE) SM CORNED TUNA 60G (6'S)X24" u="1"/>
        <s v="SAN MARINO TUNA FILLET IN WATER 48X180G" u="1"/>
        <s v="SPEED BBPW55Gx6's+2FREE" u="1"/>
        <s v="May 100% Sparkling Apple Juice 750mlx12" u="1"/>
        <s v="CDO VIENNA SAUSAGE (NEW) 48X70G" u="1"/>
        <s v="WINROX Bleach - Elegant Breeze 6X1/2Gallon" u="1"/>
        <s v="Vaccum Sealed Boneless Bangus Doubles (L)" u="1"/>
        <s v="DANES SRIRACHA MAYO 220G X 24" u="1"/>
        <s v="Pagoda Hair Spray Refill 2oz (60ml)" u="1"/>
        <s v="Alcoplus Ethyl 70% Classic 150ml x 48" u="1"/>
        <s v="SPEED 55G MORE KAL 150G BARX96" u="1"/>
        <s v="Pear Shaped Ham 800g" u="1"/>
        <s v="(INACTIVE) GARDENIA WHITE BREAD 600G FREE CAFI" u="1"/>
        <s v="Bon Bon Rubber Nipple" u="1"/>
        <s v="Grips Man Powder 50g x 36 pcs" u="1"/>
        <s v="(INACTIVE) Promo-Fiona Bubbly Pink 100mlFTx24 w/ Shampoo" u="1"/>
        <s v="DANES CHEESE BLOCK 24X180G" u="1"/>
        <s v="SUPER Q - Pancit Canton 227g x 48" u="1"/>
        <s v="(INACTIVE) Fiona Snow Breeze Spray 50mlx36" u="1"/>
        <s v="SWEET NATA DE COCO(WHT)  24X12OZX340G" u="1"/>
        <s v="BON CHEF PANKO BREAD CRUMBS 200GX40" u="1"/>
        <s v="Coco Lava Wafer 50gx60pcs" u="1"/>
        <s v="Family Aguardiente 473ml" u="1"/>
        <s v="AVIKO SHOESTRING 7MM FRIES 1KGX12" u="1"/>
        <s v="SPEED 480G BABAD DET. POWDER X 24" u="1"/>
        <s v="CHAMPI 50'SX40 (971)" u="1"/>
        <s v="SWEET BABY PLUS - BIG PACK SML 36/6" u="1"/>
        <s v="SPEED Detergent Bar - White 36X380G" u="1"/>
        <s v="DRYPLUS B.DIAPER ECONO PACK XL 30'S+4x8" u="1"/>
        <s v="CHOCQUIK 750GX12 (8087)" u="1"/>
        <s v="Gelee Fruit Cup 12gx50sx20" u="1"/>
        <s v="Pagoda Cuticle Remover 60ml" u="1"/>
        <s v="LOTUS BISCOFF SANDWICH BISCOFF CREAM 150G" u="1"/>
        <s v="SWEET KAONG (RED) 12X24OZX680G" u="1"/>
        <s v="King Cup Sardines in T.S. Chili Added 155gx100-EOC (NEW)" u="1"/>
        <s v="Jolly Straw Mushroom 425gX24" u="1"/>
        <s v="Super Save Spaghetti 5k" u="1"/>
        <s v="Grips Hair Clay 25gx48 Jars" u="1"/>
        <s v="GARDENIA B2T1 - CHR CHR RCR" u="1"/>
        <s v="MEN2 SQUID RING 1KG (8256502950233)" u="1"/>
        <s v="SM BLUE MACKEREL STEAK IN T. SAUCE 48X180G (E.O)" u="1"/>
        <s v="RESTOBAR MINI FOLDED TN 350'Sx5" u="1"/>
        <s v="SAN MARINO CHILI CORNED TUNA 100G - PROMO" u="1"/>
        <s v="Mama Pina's Palm Oil 350ml x 36 BTC" u="1"/>
        <s v="DOLUX Bleach 48X250Ml" u="1"/>
        <s v="Bertolli Balsamic Glaze 200 ml" u="1"/>
        <s v="MAMA PINA'S BUNDLE B (1B1C1P500) x6" u="1"/>
        <s v="Tasty Palamig Melon 25gx288" u="1"/>
        <s v="HIGHLANDS CORNED BEEF EASY-OPEN 48X150G" u="1"/>
        <s v="(INACTIVE) SAN MARINO CORNED TUNA 48X150G (EASY-OPEN)" u="1"/>
        <s v="(INACTIVE) Alcoplus ECQ Isopropyl 70% 250mlFtx48" u="1"/>
        <s v="Essentur 500mg x 100s" u="1"/>
        <s v="PROMO-CDO LUNCHEON MEAT 24X350G " u="1"/>
        <s v="Doña Elena Tuna Chunks in Sunflower Oil 100g x 6" u="1"/>
        <s v="Bon Bon Feeding Bottle w/ Character 4oz" u="1"/>
        <s v="CHAMPI CHOCO ÉCLAIR 50'SX40 (989)" u="1"/>
        <s v="(INACTIVE) AVIKO MEGA WEDGES 2.5KGX4" u="1"/>
        <s v="Bon Bon Feeding Bottle w/ Character 8oz" u="1"/>
        <s v="GARDENIA BUTTER TOAST 5SLICES X 56PACKS" u="1"/>
        <s v="Cricket Mini Simplicity - Fluo (50's/tray) ((ED-1 Mini)" u="1"/>
        <s v="PASTARRIFIC PACK SAVE 35" u="1"/>
        <s v="(INACTIVE) SAN MARINO CHILI CORNED TUNA 48X85G (Easy-Open)" u="1"/>
        <s v="Alcoplus Isopropyl 40% 150mlFtx48" u="1"/>
        <s v="Alcoplus Advance Antibacterial Sanitizer 250mlx48" u="1"/>
        <s v="Tipid Pack-BBPW-LZ 55g+FC130g 1:1 by90" u="1"/>
        <s v="Family Dishwashing Liquid Lemon 500ml" u="1"/>
        <s v="Sweet Baby Diapers Extra Large 10/12" u="1"/>
        <s v="(INACTIVE) Mama Pina's Palm Oil 350ml x 36 (Inactive)" u="1"/>
        <s v="ALIBABA FUN STICK CHEESE 20GX10'SX10" u="1"/>
        <s v="SPEED 55G MORE BLUE 150G BARX96" u="1"/>
        <s v="WIN REG 1L+1FREE BBPW-LZ 55G 1:1 BY 12" u="1"/>
        <s v="(INACTIVE) SAN MARINO CORNED TUNA 48X150G 2" u="1"/>
        <s v="MYBIDA MOCHA 10'SX20 (655)" u="1"/>
        <s v="PROMO-5 SAN MARINO CHILI CORNED TUNA 100GX8" u="1"/>
        <s v="SPEED 90g Babad FC w/Power Whitener Powderx96" u="1"/>
        <s v="Rauch Nativa Green Tea Lemon 1L" u="1"/>
        <s v="(INACTIVE) CDO BEEF LOAF 48X210G" u="1"/>
        <s v="Promo-Fiona Bubbly Pink 100mlFTx24 w/ Shampoo" u="1"/>
        <s v="ALIBABA TITA-K PIZZA 20GX10'SX10" u="1"/>
        <s v="Promo Bundle Meal &amp; Merienda Pack 640g" u="1"/>
        <s v="(INACTIVE) SAN MARINO BLUE MACKEREL IN TOMATO SAUCE 180GX48" u="1"/>
        <s v="Beybiko Baby Diapers Large 12's x 12" u="1"/>
        <s v="Super Coffee Mix WhiteCoffee w/BrownSugar 10`sx24" u="1"/>
        <s v="PROMO-3 SAN MARINO CORNED TUNA 150G" u="1"/>
        <s v="JOLLY COCONUT MILK 165ML" u="1"/>
        <s v="Dona Elena Pure Olive Oil 250mlx12" u="1"/>
        <s v="SEL SOY SAUCE 200ML ETC X 6'S +1FREE BY 7" u="1"/>
        <s v="AVIKO MEGA WEDGES 2.5KGX4" u="1"/>
        <s v="Foodcrafters Negosyo Pack Pork 1kg x 10" u="1"/>
        <s v="Doña Elena 100% Tuna Shredded in Sunflower Oil, 185g" u="1"/>
        <s v="Grips Wax - Hard &amp; Mat 5gx12x36" u="1"/>
        <s v="Tasty Palamig Red Iced Tea 500gx20" u="1"/>
        <s v="SPEED 90G SUNFLOWER BURST POWDER FL x96" u="1"/>
        <s v="KING CUP SARDINES TOM SAUCE 155g BUY 5 SAVE P10" u="1"/>
        <s v="PROMO-6 CDO KN BAON PACK 60GX4" u="1"/>
        <s v="ER Saver Spaghetti 4 x 5 kg (77940)" u="1"/>
        <s v="Richeese Wafer MLBB 50gx60pcs" u="1"/>
        <s v="LibY Whitening and Stain Free Detergent Powder 3000g" u="1"/>
        <s v="6 CDO MEAT LOAF 150G FREE 1 BINGO CB 60G" u="1"/>
        <s v="CARP-TOYO-SUKA BUNDLE PACK 1L PET" u="1"/>
        <s v="Jellybee Promo Box Assorted Flavor 220'sx1 (220)" u="1"/>
        <s v="H &amp; Y Star Jelly Candy 24's x 40 pks (302)" u="1"/>
        <s v="SAN MARINO TAWILIS IN CORN OIL 85GX48" u="1"/>
        <s v="SQUID KALAWANG 1K" u="1"/>
        <s v="CDOML 150G X 3 SULIT PACK" u="1"/>
        <s v="Delicious Macaroni 5k-Shell Small" u="1"/>
        <s v="Gatorade Orange Chill 350mlx24" u="1"/>
        <s v="DANES CLASSIC CHEESE BLOCK 24X180G - OLD" u="1"/>
        <s v="Jolly Maraschino Cherries w/ Stem 6ozx12" u="1"/>
        <s v="HEADER PAMINTA FINE (PRINTWISE)" u="1"/>
        <s v="DRYPLUS B.DIAPER ECONO PACK XXL 30'S+4x8" u="1"/>
        <s v="Old Orchard Hbalance Cranberry Cocktail 64oz" u="1"/>
        <s v="SMILEYS STRAWBERRY BLAST 20GX10X20" u="1"/>
        <s v="Beybiko Baby Diapers Small 4's x 30" u="1"/>
        <s v="Sweet Baby Diapers Medium 4/36" u="1"/>
        <s v="Good Life Oyster Sauce 420mlx12" u="1"/>
        <s v="Vernel Antibac -Wild Rose 35ml" u="1"/>
        <s v="PINOY FIESTA CHICKEN TOCINO 220G" u="1"/>
        <s v="SMART CHOICE BTR 2PLY 400PULLS 800S(+200S)SPX96" u="1"/>
        <s v="Fiona 25mlFt 5+1(5pcs 25ml w/Free 1pc Ethy60ml)" u="1"/>
        <s v="Alcoplus Isopropyl 70% alcohol 1 Gallon x 4" u="1"/>
        <s v="(INACTIVE) SEA QUEST TUNA FLAKES IN OIL 48X155G" u="1"/>
        <s v="Fiona Ice Glacier 100mlx24" u="1"/>
        <s v="DANES CHEESE 450G-FREE ALASKA PROMO" u="1"/>
        <s v="HIGHLANDS CORNED BEEF 48X260G (OLD)" u="1"/>
        <s v="KAPSEN 11R22.5 RIB 16PR" u="1"/>
        <s v="PROMO-3 CDO KN 100GX16" u="1"/>
        <s v="SELECT Sukang Puti 12X1000Ml" u="1"/>
        <s v="SM BLUE MACKEREL STEAK IN TOMATO SAUCE 48X180G" u="1"/>
        <s v="LAV-LAV 10'S+1X12 (138)" u="1"/>
        <s v="JK TIRES 11R-22.5 16PR HWY JUH RIB" u="1"/>
        <s v="Family Cotton Balls 150`s" u="1"/>
        <s v="Old Orchard Hbalance Cherry 64ozx8" u="1"/>
        <s v="H &amp; Y Sofee Fun Assorted Jelly 24's x 20 packs (232)" u="1"/>
        <s v="Freeda Soft Cotton Day Use Non-wings 8's+1 x 36" u="1"/>
        <s v="GARDENIA CHOCOLATE FUN BUN 75G" u="1"/>
        <s v="Jolly Pcs &amp; Stems Mushroom SUP 100gx48" u="1"/>
        <s v="Tipid Pack Speed Kal 135g+Pow Kal 55g" u="1"/>
        <s v="SUPER Q - Special Palabok 227g x 24" u="1"/>
        <s v="AVIKO SUNNY FARMS SHOESTRING 7MM 2KG" u="1"/>
        <s v="COLDSTARS FRENCH FRIES 1KG" u="1"/>
        <s v="Dryplus MOM&amp;BABY CONVI PACK S32" u="1"/>
        <s v="Royal Crown Ham 1kg" u="1"/>
        <s v="(INACTIVE) Cricket Orig Fusion Neon (50's/tray) (4-11165027)" u="1"/>
        <s v="DOLUX Bleach 4X 1Gallon" u="1"/>
        <s v="(INACTIVE) CDO KARNE NORTE 48X260G" u="1"/>
        <s v="BINGO BEEF LOAF 48X100G (NEW)" u="1"/>
        <s v="CJF BATTERY NS60 ENDURO" u="1"/>
        <s v="Franzia California Red 3lx6" u="1"/>
        <s v="Fiona Youthful Bliss 50mlx36" u="1"/>
        <s v="Foodcrafters Embutido(5pcs)200g x 40" u="1"/>
        <s v="FRESH ECONO 2PLY 150PULLS 300S SPX96" u="1"/>
        <s v="PRESA 750-16 14PR P276" u="1"/>
        <s v="Promo-Fiona RaspberryDrops 50ml w/ Youthful 25ml" u="1"/>
        <s v="SPEED Diswashing Liquid - Kalamansi 288X22Ml" u="1"/>
        <s v="Grips Knight Body Spray 100mlx24" u="1"/>
        <s v="EUROP FRIES 1KGX10" u="1"/>
        <s v="Perfect Cottony Soft N Dry Nonwing 8x36x2B1T1" u="1"/>
        <s v="CDO LUNCHEON MEAT 150G - PROMO" u="1"/>
        <s v="Cocio Dark Chocolate Milk 270mlx8" u="1"/>
        <s v="Cricket Sweet Series (25's/tray) (4-14162519)" u="1"/>
        <s v="DEESTONE 8.25 R16LT SV402 RIB 14PR 128/126L" u="1"/>
        <s v="GARDENIA BUY 2 BUTTER TOASTIES POLYBAG FOR P100" u="1"/>
        <s v="DON ELENA 100% TUNA CHUNKS IN SUNFLOWER OIL 185G" u="1"/>
        <s v="Jolly Soya Oil 1Lx12" u="1"/>
        <s v="CHIPS DELIGHT PEANUT &amp; CARAMEL CHIP COOKIES 160GX24" u="1"/>
        <s v="(INACTIVE) SAN MARINO TUNA SPREAD 48X85G" u="1"/>
        <s v="(INACTIVE) DANES CHEESE SPREAD 220GX24" u="1"/>
        <s v="(INACTIVE) SPD BBPW-L 2KGS+1FREE BBPW-L 500G 1:1 BY 6" u="1"/>
        <s v="SPEED 1Kg Babad FC w/Power Whitener Powderx12" u="1"/>
        <s v="GARDENIA CHOCOLATE FILLED BUNS 80G" u="1"/>
        <s v="CDO KARNE NORTE CLASSIC 260GX48 N" u="1"/>
        <s v="Mama Pina's Palm Oil 350ml x 36 FD3" u="1"/>
        <s v="PROMO-CDO MEAT LOAF 150G" u="1"/>
        <s v="Fiona Rosy Red 25mlFtx36" u="1"/>
        <s v="SEL SOY SAUCE 350ML PET X 6'S + 1FREE BY4" u="1"/>
        <s v="DEESTONE 235/75 R17.5 SV401 RIB 16PR 143/141L" u="1"/>
        <s v="PROMO-CDO ML 150X3" u="1"/>
        <s v="(INACTIVE) DANES CHEESE 450G-FREE ALASKA PROMO" u="1"/>
        <s v="Jolly Premium Shiitake Mushroom 198g" u="1"/>
        <s v="CJF SWALLOW 700-15 12PR RIB S253" u="1"/>
        <s v="(INACTIVE) iColor Hair Dye Shampoo Light Brown 30ml 10'sx48" u="1"/>
        <s v="SMOKED BACON 500G" u="1"/>
        <s v="Chooga Chiller Mango 200mlx10" u="1"/>
        <s v="HAPPY DAY MULTIVATAMIN JUICE 1L" u="1"/>
        <s v="(INACTIVE) Tipid Pack Speed FC 135g+Pow FR 55g x 40" u="1"/>
        <s v="Cricket Mini Simplicity Glossy Series (50's/tray) (4-12165005)" u="1"/>
        <s v="2 DANES CLASSIC CHEESE 180G W/ FREE SANDWICH KPR" u="1"/>
        <s v="SPEED 50% Dagdag Bar - White 96X160G" u="1"/>
        <s v="Bucket Nata 20Gx220sx4" u="1"/>
        <s v="TRAVELER UNDERPAD L-XL 6'S+1x12" u="1"/>
        <s v="GARDENIA CAFFINO CREAMYMOCHA 30GX24'SX10" u="1"/>
        <s v="Pagoda Muriatic Acid 500ml" u="1"/>
        <s v="SPEED 50% Dagdag Bar - Kalamansi 96X160G" u="1"/>
        <s v="SPEED 2KGS BABAD DET. POWDER" u="1"/>
        <s v="Good Life Bread Crumbs 1kgX10" u="1"/>
        <s v="Beybiko Baby Diapers Small 30's x 6" u="1"/>
        <s v="Capture Nature Tawas  Unscented 50ml" u="1"/>
        <s v="Family Alcologne w/ Baby Oil 500ml" u="1"/>
        <s v="Doña Elena Al Dente Spaghetti 500g" u="1"/>
        <s v="Jolly Maraschino Cherries w/ stem 72oz" u="1"/>
        <s v="Jolly Green Peas 155gx100" u="1"/>
        <s v="SEA QUEST TUNA HOT &amp; SPICY 48X155G" u="1"/>
        <s v="KeratinPlus Gold 20g x 24packs (12+2)" u="1"/>
        <s v="GARDENIA DELIZIO CAFFINO CREAMY MOCHA 30G X 24TIES X 10PCS" u="1"/>
        <s v="HIGHLANDS CORNED BEEF REGULAR 175GX48" u="1"/>
        <s v="Fiona Bubbly Pink 75mlx24" u="1"/>
        <s v="Jelly Cup Pudding Bucket 9gx120x12" u="1"/>
        <s v="Mama Pina's Bundle C" u="1"/>
        <s v="1LITER BOTTLE PALM (MBC)" u="1"/>
        <s v="Grips Wax Hard &amp; Shiny 75gx36" u="1"/>
        <s v="JK TIRES 12R20 A8PR LUG (JDC)" u="1"/>
        <s v="LPG (11kg POL Cylinder) CTA - ECTA# 71908" u="1"/>
        <s v="TOP 5.50-16 (5H) RIM" u="1"/>
        <s v="CJF BATTERY 1SM GOLD" u="1"/>
        <s v="GARDENIA BUY 2 BREAD ROLL SAVE P11.50 BUNDLE B&amp;C" u="1"/>
        <s v="Jolly Lychee in Syrup 565gx24" u="1"/>
        <s v="PROMO-2 CDO KN 100G+2 CDO BL 100GX12" u="1"/>
        <s v="Jolly Cow Chocolate Milk 200ml" u="1"/>
        <s v="Foodcrafters Hotdog Super King 1.2K x 8" u="1"/>
        <s v="(INACTIVE) iColor Hair Dye Shampoo Medium Brown 30ml 10'sx48" u="1"/>
        <s v="Capture Nature Tawas Regular 50ml" u="1"/>
        <s v="SWEET BEST ERYTHRITOL 250G" u="1"/>
        <s v="4LITERS LABEL CANOLEIN" u="1"/>
        <s v="HIGHLANDS CLASSIC CORNED BEEF 180GX48" u="1"/>
        <s v="CDO LUNCHEON MEAT350X2 - SAVING BUNDLE" u="1"/>
        <s v="Fiona Youthful Bliss 25mlx36" u="1"/>
        <s v="Jelly Stick Pudding Pack 24sx25" u="1"/>
        <s v="HAWKWAY 12R20 HK802 MIX 20PR" u="1"/>
        <s v="Gelee Fruit Cup 14gx24sx20" u="1"/>
        <s v="Dona Elena Pure Olive Oil 500ml x12" u="1"/>
        <s v="Foodcrafters Negosyo Pack Pork 500gx20" u="1"/>
        <s v="(INACTIVE) Cricket Firepower w/ Flexible Nozzle (16's/tray) (9-33010101)" u="1"/>
        <s v="SPEED BBFR 2KGS+4FREE 55GMORE 150G 1:4" u="1"/>
        <s v="Fresh Flower 5mlx12x12" u="1"/>
        <s v="SM PREM. TAWILIS IN CORN OIL 180GX48 (EO)" u="1"/>
        <s v="Perwoll Classic Sachet 144x60ml" u="1"/>
        <s v="Double Chocolate 24sx40" u="1"/>
        <s v="SPEED 55gMB 150gx5's+1FREE 40gMB 135g 5:1" u="1"/>
        <s v="SAN MARINO MACKEREL IN NATURAL OIL 165GX100" u="1"/>
        <s v="SBD EXPLORE LARGE 20/12" u="1"/>
        <s v="GARDENIA POCKET SANDWICH CHEESE 50G" u="1"/>
        <s v="Chibog Chicken and Cheese 500g x 20" u="1"/>
        <s v="(INACTIVE) 3 SAN MARINO TUNA FLAKES HOT &amp; SPICY 180GX48" u="1"/>
        <s v="Mama Pina's Paminta Cracked 1gx15'sx6x24" u="1"/>
        <s v="Deoplus Tawas Powder w/ Licorice 50g x 144pcs" u="1"/>
        <s v="KINGCUP 4T.S CHILI EOC free Vermicelli 1.59oz" u="1"/>
        <s v="AlcoPlus Iso. 150mlx48" u="1"/>
        <s v="3IN1 SUPER COFFEEMIX SALT. CRML 10X24X25G - LESS 33%" u="1"/>
        <s v="SAN MARINO CORNED TUNA 24X380G" u="1"/>
        <s v="ALIBABA TITA-K GARLIC 20GX10'SX10" u="1"/>
        <s v="Canola Oil 1L Duo Pack - SAVE P20" u="1"/>
        <s v="CDO BEEF LUNCHEON MEAT 350GX24" u="1"/>
        <s v="(INACTIVE) SAN MARINO CORNED TUNA 60G SACHET" u="1"/>
        <s v="Pagoda Keratin w/ Argan Oil 20gmsx432" u="1"/>
        <s v="CDO CHICKEN FLAKES IN OIL 150GX48" u="1"/>
        <s v="ALIBABA FUN STICK MILK 20GX10'SX10" u="1"/>
        <s v="AlcoPlus Iso. 250mlx48" u="1"/>
        <s v="CDO KARNE NORTE CLASSIC 60GX8 BUNDLE" u="1"/>
        <s v="iColor Plus Shampoo-In Hair Color Black 25ml 5+1FREE" u="1"/>
        <s v="Dona Elena Capers in Vinegar 100g" u="1"/>
        <s v="Chooga Orange 250ml w/ 1pc DatuPuti Soy Sauce 100ml" u="1"/>
        <s v="SPEED Babad W/ Fabcon 288X35G" u="1"/>
        <s v="Fiona Snow Breeze 25mlx36" u="1"/>
        <s v="PROMO-CDO KN 175GX2" u="1"/>
        <s v="ALIBABA FISH CRACKER 16G 10'SX12" u="1"/>
        <s v="Tipid Pack Speed White 135g+Pow FR 55g x 40" u="1"/>
        <s v="Lovely Look Hair Spray 50ml" u="1"/>
        <s v="KAPSEN 12R22.5 18PR MIX HS268" u="1"/>
        <s v="GARDENIA CLUSTERED CHEESE BUNS PLUS BEAR BRAND" u="1"/>
        <s v="PROMO-SMCTR 150GX3" u="1"/>
        <s v="SPEED 55G BABAD FRESH ROSES POWDER FL x192" u="1"/>
        <s v="Select Cane Vinegar 1gal w/ Free SP 200ml 1:1" u="1"/>
        <s v="PLASTIC 12x16 (LIMPAN)" u="1"/>
        <s v="Dona Elena Sweet White Wine 750ml" u="1"/>
        <s v="FRESH BTR 2PLY JUMBO PACK 12`SX8P - FREE" u="1"/>
        <s v="(INACTIVE) SAN MARINO TUNA FLAKES IN OIL 180GX48" u="1"/>
        <s v="PORK LIVER 1KG" u="1"/>
        <s v="FG-1CDCONG340G+1CDOKR340G+CDOCJ340G" u="1"/>
        <s v="Dailyfix Berry Special 350g x 10" u="1"/>
        <s v="H &amp; Y Strawberry Gum 24's x 40 packs (A929)" u="1"/>
        <s v="CHICKEN WING 1KG" u="1"/>
        <s v="KeratinPlus Gold 20g x 6's x 48 packs" u="1"/>
        <s v="GOOD LIFE PREMIUM FIRST CLASS VERMICELLI 1KG" u="1"/>
        <s v="HAPPY DAY LYCHEE 1L" u="1"/>
        <s v="(INACTIVE) PROMO-6 SAN MARINO CTUNA 150G FREE 2 BINGO CB 60G" u="1"/>
        <s v="GARDENIA TOASTIES 10 (POLYBAG)" u="1"/>
        <s v="CHICKEN STAR CLASSIC HOTDOG 1KG" u="1"/>
        <s v="2LITERS BOTTLE CANOLEIN GREEN (MBC)" u="1"/>
        <s v="(INACTIVE) CDO KARNE NORTE CLASSIC 150GX48" u="1"/>
        <s v="SAN MARINO CORNED TUNA 48X85G (Easy-Open)" u="1"/>
        <s v="Delicious Macaroni 5k-Elbow Giant" u="1"/>
        <s v="KeratinPlus Black 20g x 12's x 24 Pack w/ Iso 40% 60ml" u="1"/>
        <s v="FRESH 1PLY 175 PULLS SPX30" u="1"/>
        <s v="Jelly Stick Pudding Bucket 300sx4" u="1"/>
        <s v="AlcoPlus Iso. 60mlx36-Spray" u="1"/>
        <s v="iColor Plus Shampoo-In Hair Color Chestnut Brown 30ml 5+1FREE" u="1"/>
        <s v="Jolly Cow Condensada 1kgx24" u="1"/>
        <s v="ER Healthy Spagghetti 24 x 500 g (77941)" u="1"/>
        <s v="Jolly Pineapple Tidbits 432gx24" u="1"/>
        <s v="SPEED BABAD POWER WHITENER 2KG + 2FREE" u="1"/>
        <s v="SUPER Q - Pancit Canton 454g x 24" u="1"/>
        <s v="2 CDO KARNE NORTE 175G W/ FREE 20 TEXTS" u="1"/>
        <s v="DANES CHEESE BACON IN CADDY BOX 35GX144" u="1"/>
        <s v="Deoplus Deodorant Powder w/ Licorice 40g x 24pcs" u="1"/>
        <s v="(INACTIVE) 2 MAMA PINA'S OIL 500 ML W/ FREE BINGO CORNED BEEF 60G" u="1"/>
        <s v="OIL BOTTLE 1 LITER (MC BRIDE)" u="1"/>
        <s v="Tasty Palamig Mango 500gx20" u="1"/>
        <s v="CDO KARNE NORTE CLASSIC 100GX48 N" u="1"/>
        <s v="HANGER DISPLAY PAMINTA INTRO (PRINTWISE)" u="1"/>
        <s v="(INACTIVE) 2 WIN FL 1L+1FREE BBPW-LZ 55G 1:1 BY 12" u="1"/>
        <s v="HEADER PAMINTA CRACKED (PRINTWISE)" u="1"/>
        <s v="6 BINGO MEAT LOAF 150G FREE 1 BINGO CB 60G" u="1"/>
        <s v="SWEET NATA DE COCO(WHT) 24X12OZX340G" u="1"/>
        <s v="CDO KARNE NORTE CLASSIC 150GX48 N" u="1"/>
        <s v="CDO CB IN SWEET STYLE SPAG 260GX48" u="1"/>
        <s v="Perfect Cottony Soft N Dry Nonwing 8x36" u="1"/>
        <s v="Old Orchard 100% Apple 64oz" u="1"/>
        <s v="GARDENIA PDS FREE DELICIA SACHET" u="1"/>
        <s v="KAPSEN 10R20 18PR MIX HS268" u="1"/>
        <s v="Family Rubbing Alcohol 40% 473ml w/ Tie Up" u="1"/>
        <s v="SPEED BBPW 1kg Get 1kg BBPW@30%off" u="1"/>
        <s v="HIGHLANDS C BEEF PROMO 260GX48" u="1"/>
        <s v="6 CDO KARNE NORTE 150G FREE 2 BINGO CB 60G" u="1"/>
        <s v="Perfect Cottony Soft N Dry w/ Wings 8x36x2 B1T1" u="1"/>
        <s v="(INACTIVE) 4 SAN MARINO TUNA FLAKES HOT &amp; SPICY 180GX48" u="1"/>
        <s v="Lotus Biscoff Original Caramelized Biscuit 50p x 6 - B1T1" u="1"/>
        <s v="H &amp; Y Star Cup Chocolate Biscuit 500g x 12 jars (600A)" u="1"/>
        <s v="SUPER Q - Kan Mian 500g x 24" u="1"/>
        <s v="Delicious Spaghetti 1klx10w/Mrs Choose Spag" u="1"/>
        <s v="3IN1 SUPER COFFEEMIX HAZELNUT 10X24X28G - LESS 33%" u="1"/>
        <s v="SPEED BBFR 1KG+2FREE KERATIN PLUS GOLD 20G 1:2" u="1"/>
        <s v="Jolly Pcs &amp; Stems Mushroom 198gx48" u="1"/>
        <s v="Vernel Blue Sky 35ml 6+1x48" u="1"/>
        <s v="H &amp; Y Peach  300gx20 (109)" u="1"/>
        <s v="Cricket Mini Simplicity - Fluo (50's/tray) (4-12165002)" u="1"/>
        <s v="Cricket Mini OTSO Pack (8's/strip) (ED-1 Mini)" u="1"/>
        <s v="(INACTIVE) SM CHILI CORNED TUNA 60G (6'S)X24" u="1"/>
        <s v="CJF DELIUM 205/65 RIB DELIUM" u="1"/>
        <s v="CDO KARNE NORTE CLASSIC 24X60G" u="1"/>
        <s v="(INACTIVE) CDO KARNE NORTE CLASSIC 175GX48" u="1"/>
        <s v="(INACTIVE) HIGHLANDS C BEEF PROMO 180GX48" u="1"/>
        <s v="Grips Hair Clay 5gx6x36" u="1"/>
        <s v="Grips Strong Hold Assrtd 14gx48/pack" u="1"/>
        <s v="Deoplus Deodorant Powder w/ Licorice 80g x 24pcs" u="1"/>
        <s v="ASIA FACIAL POCKET TISSUE 10PULLS 2PLY 6'SX50" u="1"/>
        <s v="SPEED SPECK  BLUE 380Gx3'S+ FREE SPECK BLUE 160G (3:1)x12" u="1"/>
        <s v="PrimeCare Adult Diaper Lx10sx8 w/ 2 Pads" u="1"/>
        <s v="PINOY FIESTA TOPDOG PREMIUM HOTDOG 1KG" u="1"/>
        <s v="Negosyo Pack Lumpiang Shanghai 200g x36" u="1"/>
        <s v="Sweet Baby Diapers Large 54+6/6pck" u="1"/>
        <s v="2 PCS JOLLY WHOLE MUSHROOM 400G SAVE P7" u="1"/>
        <s v="Nanay's Pork Tapa Garlic Pepper 220g x 36" u="1"/>
        <s v="CDO MEAT LOAF W CHEESE 48X150G" u="1"/>
        <s v="H &amp; Y Sofee Promo Box 100's (273)" u="1"/>
        <s v="2 CDO KARNE NORTE 260G W/FREE 20 TEXTS" u="1"/>
        <s v="3 CDO KARNE NORTE 150G W/ FREE 20 TEXTS" u="1"/>
        <s v="GARDENIA DELICIA MILKY CHOCOLATE 30G X 24PACKS X 10PCS" u="1"/>
        <s v="DURACELL EVERYDAY ALKALINE AAA2" u="1"/>
        <s v="PROMO-KERATIN PLUS HAIRFALL SH 22ML 10+2" u="1"/>
        <s v="RAIMOL TITANIUM - GASOLINE FUEL SAVER (24X100mL)" u="1"/>
        <s v="(INACTIVE) CDO BEEF LOAF 48X150G" u="1"/>
        <s v="DONA ELENA CLASSIC GREEN PESTO SAUCE 190G" u="1"/>
        <s v="Gatorade White Lightning 350mlx24" u="1"/>
        <s v="Fundador Exclusivo 700ml x 12" u="1"/>
        <s v="PROMO - Alcoplus Isopropyl 70% 250ml 3+1" u="1"/>
        <s v="CDO CORNED BEEF HOME STYLE 150GX48" u="1"/>
        <s v="Gatorade Orange Chill 500mlx24" u="1"/>
        <s v="Tipid Pack-BBFR55g+Kal130g 1:1 by 40" u="1"/>
        <s v="CDO KN CLASSIC PACK 60GX24 (SINGLE)" u="1"/>
        <s v="(INACTIVE) 2 CDO LMEAT 350G FREE 1 CBEEF 60G" u="1"/>
        <s v="SAN MARINO TUNA FLAKES IN OIL 150GX48" u="1"/>
        <s v="CDO K.NORTE HOT&amp;SPICY 48X100G" u="1"/>
        <s v="SWEET BABY PLUS - TRAVEL PACK MED 12/12" u="1"/>
        <s v="(INACTIVE) SAN MARINO CORNED TUNA 150G W/ FREE 1PCS DANES BACON BITS" u="1"/>
        <s v="SWEET BABY PLUS - TRAVEL PACK XXL 12/12" u="1"/>
        <s v="Alcoplus Isopropyl 70% 1000mlx12 (1 Liter)" u="1"/>
        <s v="GARDENIA BLUEBERRY MUFFIN 45G X 48" u="1"/>
        <s v="HIGHLANDS CLASSIC CORNED BEEF 100GX48" u="1"/>
        <s v="GOODY HAM LOAF 200G" u="1"/>
        <s v="Speed BBPW 55gx5's+1FREE 5:1" u="1"/>
        <s v="SAN MARINO TUNA FILLET SPANISH STYLE 48X180G" u="1"/>
        <s v="FROOTY PINTOORA POP 20'SX50 (719)" u="1"/>
        <s v="Select Cane Vinegar 1/2gal w/ Free SP 200ml 1:1" u="1"/>
        <s v="DONA ELENA BLENDED OLIVE OIL 2L" u="1"/>
        <s v="Richoco Wafer 22g x 20ib x 10pcs" u="1"/>
        <s v="HIGHLANDS CORNED BEEF GOLD 150GX48" u="1"/>
        <s v="2 DANES CHEESE BLOCK 180G FREE 1 DANES 35G + BINGO CB 60G" u="1"/>
        <s v="PACKAGING BIHON (MPI)" u="1"/>
        <s v="WINROX Bleach - Fresh Lemon 72X100Ml" u="1"/>
        <s v="(INACTIVE) CDO VIENNA SAUSAGE CLASSIC 48X70G" u="1"/>
        <s v="Fiona 25mlFt 5+1(5pcs 25ml w/Free 1pc Iso60ml)" u="1"/>
        <s v="Jellybee Super Stick 320g x 20 pks (269)" u="1"/>
        <s v="GARDENIA DOUBLE DELIGHTS (STRAWBERRY AND BLUEBERRY) 400G" u="1"/>
        <s v="Chooga Chiller Orange 200mlx10" u="1"/>
        <s v="(INACTIVE) AVIKO SUNNY FARMS SHOESTRING 7MMx12" u="1"/>
        <s v="GARDENIA BS - SPANISH BREAD" u="1"/>
        <s v="FLAP HANHOO 20R MADE IN KOREA" u="1"/>
        <s v="Pagoda Muriatic Acid Household Grade 1Gallon" u="1"/>
        <s v="Capture Nature Tawas Unscented 50ml" u="1"/>
        <s v="SUPER Q - Sotanghon 350g x 24" u="1"/>
        <s v="Select Soy Sauce 1/2gal w/ Free SP 200ml 1:1" u="1"/>
        <s v="PROMO-2 PCS BIGTIME NEGOSYO CHEESE 165G FREE 1 CBEEF 60G" u="1"/>
        <s v="CHICKBOY Sweetcorn 100g x 40/box" u="1"/>
        <s v="SOLUCKY BUTTER FLAVOR CREAM 10'SX18 (622)" u="1"/>
        <s v="(INACTIVE) Fries Mccain Redstone 500g" u="1"/>
        <s v="CARP PROMO PK x3 (SSVVES) 350ML PET" u="1"/>
        <s v="Jellybee Eat &amp; Drink Candy 24 x 40 (328)" u="1"/>
        <s v="GINISA X 10KG" u="1"/>
        <s v="Jolly Pineapple Tidbits 850g" u="1"/>
        <s v="GARDENIA HIGH FIBER WHEAT BREAD 600g THICK SLICE" u="1"/>
        <s v="HAWKWAY 10.00R20 HK802 MIX 18PR" u="1"/>
        <s v="Fiona Ice Glacier 75mlx24" u="1"/>
        <s v="Sweet Baby Diapers Med 60+6/8" u="1"/>
        <s v="Nyam Nyam King Hotdog 1.2k - Free" u="1"/>
        <s v="Mountain Dew 1.25Lx6" u="1"/>
        <s v="(INACTIVE) DANES CLASSIC CHEESE BLOCK 24X180G" u="1"/>
        <s v="Brooke Farms Sweetened Condensed Creamer 1kgx24" u="1"/>
        <s v="CJF 7.50-15 14P RIB D MASTER" u="1"/>
        <s v="SweetBaby Supreme Comfort Med 22/12 w/ 3Pads " u="1"/>
        <s v="ADVANCES TO EMPLOYEES" u="1"/>
        <s v="JIMMS GRANDEE WHITE COFFEE MIX 20G X 300" u="1"/>
        <s v="Vino De Quina (Glass) 330mlx24" u="1"/>
        <s v="BOTTLE CAP PALM (MBC)" u="1"/>
        <s v="(INACTIVE) CDO KARNE NORTE HOT &amp; SPICY 48X100G" u="1"/>
        <s v="Fresh Cola Powder 24sx40" u="1"/>
        <s v="BUDGET SF 65gx6's+Free Budget Powder PB 65g 6:2x24" u="1"/>
        <s v="WINROX Bleach - Fresh Flower 6X1/2Gallon" u="1"/>
        <s v="(INACTIVE) GARDENIA TWIGGIES CHOCO BROWN CAKE (in POLYBAG 8X20G)" u="1"/>
        <s v="SAN MARINO CORNED TUNA 48X150G" u="1"/>
        <s v="3IN1 SUPER COFFEEMIX WHITE 10X24X28G - LESS 33%" u="1"/>
        <s v="SAN MARINO MACKEREL IN TOMATO SAUCE 165GX100" u="1"/>
        <s v="Chooga Chiller Mango 250ml" u="1"/>
        <s v="(INACTIVE) GARDENIA CLUSTERED PANDESAL W FREE CHEESE TOAST" u="1"/>
        <s v="RADAR 265/65R17 RENEGADE R/T+ 10PR 120/117Q" u="1"/>
        <s v="Minola P. Edible Oil Plastic 1L x 12" u="1"/>
        <s v="H&amp;Y Cocoju Jelly Juice Lychee Flavor 200gx24cups (821)" u="1"/>
        <s v="Good Life Vermicelli 8ozX100" u="1"/>
        <s v="H &amp; Y Marco Ballet Chew 24's x 40 packs (A932)" u="1"/>
        <s v="GARDENIA DINNER ROLL 250G" u="1"/>
        <s v="Family Rubbing Alcohol 70% 250ml" u="1"/>
        <s v="2SMCTR150G+1SMCTSS150G PROMO PACK" u="1"/>
        <s v="Suka Pinakurat 250ml x 30" u="1"/>
        <s v="2LITERS BOTTLE PALM GREEN (MBC)" u="1"/>
        <s v="Good Life Pancit Egg Noodles 1kgX12" u="1"/>
        <s v="ARLA MILK GOODNESS FULL CREAM 12X1L" u="1"/>
        <s v="GARDENIA CLUSTERED PANDESAL 8S" u="1"/>
        <s v="H &amp; Y Mini Umbrella Chocolate 24'sx40packs (A945)" u="1"/>
        <s v="(INACTIVE) Promo-Fiona Rosy Red 100ml w/ Ice Glacier 75ml x 24" u="1"/>
        <s v="(INACTIVE) GARDENIA PREMIUM PANDESAL 350G FREE BB" u="1"/>
        <s v="DANES CHEESE SPREAD 24 X 220G" u="1"/>
        <s v="GARDENIA SOFT DELIGHT PANDESAL FAMILY PACK 300g" u="1"/>
        <s v="(INACTIVE) PROMO-2 SMCT 150G + 1 SMCCT 150G" u="1"/>
        <s v="SK 16 FLAP MADE IN KOREA" u="1"/>
        <s v="LibY Dishwashing Liquid Mineral Salt (Translucent) 1100ml" u="1"/>
        <s v="(INACTIVE) Winrox FL 1L + 1FREE BBPW 55G 1:1" u="1"/>
        <s v="CHIPS DELIGHT COFFEE &amp; CARAMEL COOKIES 160GX24" u="1"/>
        <s v="SPEED BBSB 55GX6'S+1FREE 55GMORE B 150G 6:1" u="1"/>
        <s v="Jolly Fresh 100% Prune Juice 32oz" u="1"/>
        <s v="PROMO-2 HIGHLANDS CORNED BEEF 180G" u="1"/>
        <s v="BINGO MEAT LOAF 48X150G" u="1"/>
        <s v="Pic Poc Lychee 250ml" u="1"/>
        <s v="OIL BOTTLE 350 ML (MC BRIDE)" u="1"/>
        <s v="SBD SUPREME COMFORT X-LARGE 4/36" u="1"/>
        <s v="(INACTIVE) Promo-Fiona Bubbly Pink 100ml w/ Cool Burst 75ml x 24" u="1"/>
        <s v="FLOUR X 25KG" u="1"/>
        <s v="Alco 60ml 5+1(5pcs Iso 60ml + Ethyl 60ml)" u="1"/>
        <s v="RAIMOL SPIRO GEAR OIL GL-4 SAE 90 (GP18L)" u="1"/>
        <s v="Grips Strong Hold Clear 60gx72" u="1"/>
        <s v="ARLA MILK GOODNESS LOW FAT 1L B2S10" u="1"/>
        <s v="SweetBaby Explore Large 20/12 w/ 3 Pads" u="1"/>
        <s v="OBERON AG38" u="1"/>
        <s v="Jolly Water Chestnut Whole (Peeled)560gX24" u="1"/>
        <s v="LPG DISPLAY CAGE" u="1"/>
        <s v="Fiona Bubbly Pink 25mlx36" u="1"/>
        <s v="Select Sukang Puti 1L w/ Free SP 200ml 1:1" u="1"/>
        <s v="SPEED Power Duo Pink/White 380g Det.Barx36" u="1"/>
        <s v="(INACTIVE) GARDENIA TWIGGIES YELLOW CAKE (in POLYBAG 8X20G)" u="1"/>
        <s v="HARMONY TNPC 1PLY 2000S SPX5" u="1"/>
        <s v="Jellybee Assorted 12'sx30 (207A)" u="1"/>
        <s v="Tasty Palamig Chocolate 500gx20" u="1"/>
        <s v="MYBIDA PLAIN 10'SX20 (681)" u="1"/>
        <s v="SBD EXPLORE EXTRA LARGE 18/12" u="1"/>
        <s v="POTCHI HOOLA HOOP JAR 120'SX12 (112)" u="1"/>
        <s v="Family Rubbing Alcohol 40% 473ml" u="1"/>
        <s v="(INACTIVE) iColor Hair Dye Shampoo Dark Brown 30ml 10'sx12" u="1"/>
        <s v="DEXVOO 500ml &amp; PureOO 250 Free Dispenser" u="1"/>
        <s v="Tasty Palamig Pineapple 25gx288" u="1"/>
        <s v="SBD Comfort Large 12x12 B1T1 50%" u="1"/>
        <s v="CORR. BOX=PALMOIL 1L" u="1"/>
        <s v="KeratinPlus Gold 20g x 12's x 24 Packs" u="1"/>
        <s v="(INACTIVE) Foodcrafters Bacon 250g - PG" u="1"/>
        <s v="DON ELENA DICED CANNED TOMATOES 800G" u="1"/>
        <s v="Jellybee Long Cup Jelly Drink 12's x 20 (260)" u="1"/>
        <s v="Fiona Raspberry 50ml Spray x36" u="1"/>
        <s v="ARLA ORGANIC FULL CREAM MILK 1L B2S10" u="1"/>
        <s v="CDO NATA DE COCO WHITE 340G X24(SUP)" u="1"/>
        <s v="BOUNTY CHICKEN LEGS QUARTER 1KG" u="1"/>
        <s v="Smart Choice Value cotton Balls 50x144" u="1"/>
        <s v="SM BLUE MACKEREL STEAK SPANISH STYLE 48X180G" u="1"/>
        <s v="(INACTIVE) Fries Mccain Tator Tots 500g" u="1"/>
        <s v="Nanay's Beef Tapa Garlic &amp; Pepper 250g x 36" u="1"/>
        <s v="DURACELL EVERYDAY ALKALINE AAA4" u="1"/>
        <s v="SPD BBFR-L 2KGS+2FREE DSB 145G 1:2 BY6" u="1"/>
        <s v="Jimm's 3 plus 1 Coffee Mix with Ginseng 12'sx36bag" u="1"/>
        <s v="Kuratsoy 250mlx30" u="1"/>
        <s v="(INACTIVE) Tipid Pack Speed SB 135g+Pow SB 55g" u="1"/>
        <s v="(INACTIVE) SAN MARINO TUNA FILLET SPANISH STYLE 48X180G" u="1"/>
        <s v="CDO KARNE NORTE CLASSIC 48X175G" u="1"/>
        <s v="Smart Choice Cotton Rolls 45g 96P" u="1"/>
        <s v="GARDENIA BUY 2 BREADROLL SAVE P11.50 - BUNDLE A" u="1"/>
        <s v="(INACTIVE) CDO KARNE NORTE 48X260G (E.O)" u="1"/>
        <s v="DR. COCO NATURAL LAVANDER LHW 250ML BOTTLE" u="1"/>
        <s v="Promo - Alcoplus Ethyl 70% 500ml w Sanitizer Blue" u="1"/>
        <s v="PROJECT G-WHITE 4.5 FT X 50M (JDM)" u="1"/>
        <s v="Cricket Pocket Pastel 'Cricket Buddy' (25's/tray) (ED-4 Pocket)" u="1"/>
        <s v="Happy Day Cranberry 1L" u="1"/>
        <s v="Yumbites King Hotdog 1kg" u="1"/>
        <s v="PROMO-4 KN150G # PUREGOLD2014" u="1"/>
        <s v="DAILYFIX ALMOND AND DARK CHOCOLATE 100G" u="1"/>
        <s v="PAKYAW RING SC 300G X 10bld" u="1"/>
        <s v="PROMO-KERATIN PLUS SH DAILY NOURISHING 22ML 10+2" u="1"/>
        <s v="KONICA - C: KONICA INK - CYAN (KONIKA)" u="1"/>
        <s v="(INACTIVE) Tipid Pack-BBFR55g+Kal130g 1:1 by 40" u="1"/>
        <s v="PINOY FIESTA CORNED BEEF 220G" u="1"/>
        <s v="(INACTIVE) 1 CDO NATA DE COCO WHITE 340G X24(SUP)" u="1"/>
        <s v="Promo-Alcoplus EthylClassic 500ml w SanitizerBlue" u="1"/>
        <s v="Jellybee Jelly Stick Assrt. 192g x 24 (288)" u="1"/>
        <s v="CJF SWALLOW 700-16 12PR S253" u="1"/>
        <s v="DRYPLUS B.DIAPER BUDGET PACK L 15'S+2x16" u="1"/>
        <s v="2 CDO LMEAT 350G FREE 1 CBEEF 60G" u="1"/>
        <s v="DRYPLUS B.DIAPER BUDGET PACK M 15'S+2x16" u="1"/>
        <s v="LOTTE PACK 1" u="1"/>
        <s v="Super Save Macaroni 5k-Shell Big" u="1"/>
        <s v="Fiona CoolBurst 100mlx24 Promo" u="1"/>
        <s v="PROPERTY DAMAGES" u="1"/>
        <s v="PINTOORA GUM BALL 25+3'SX40 (877)" u="1"/>
        <s v="PINOY FIESTA PORK TAPA 230G" u="1"/>
        <s v="SWEET BABY PLUS - BIG PACK MED 32/6" u="1"/>
        <s v="PLASTIC 12.5x15 (LIMPAN)" u="1"/>
        <s v="DRYPLUS B.DIAPER BUDGET PACK S 15'S+2x16" u="1"/>
        <s v="SM PREM. TAWILIS IN CORN OIL 220GX24" u="1"/>
        <s v="PROMO-6 SAN MARINO CTUNA 150G FREE 2 BINGO CB 60G" u="1"/>
        <s v="DEESTONE 235/65R 16C PAYAK R402 8PR 121/119R" u="1"/>
        <s v="CDO KARNE NORTE CHUNKY 48X150G (EO)" u="1"/>
        <s v="Fiona Snow Breeze Spray 50mlx36" u="1"/>
        <s v="Delicious Macaroni 5k-Ridge Small" u="1"/>
        <s v="GARDENIA CLASSIC WHITE BREAD 600g THICK SLICE" u="1"/>
        <s v="H &amp; Y Frosty Ice Pop Mango Flavor 90gx8'sx16packs (223)" u="1"/>
        <s v="SAN MARINO TUNA SPREAD 85GX48" u="1"/>
        <s v="(INACTIVE) HIGHLANDS C BEEF PROMO 260GX48" u="1"/>
        <s v="RESTOBAR HOTDOG PLATES LAMINATED 50'Sx20" u="1"/>
        <s v="FRUTOS CHEWY SOUR MINI BITS (SNACKPACK) 12'SX10 (726)" u="1"/>
        <s v="iColor Hair Dye Shampoo Dark Brown 30ml 10'sx12" u="1"/>
        <s v="Dona Elena Capers In Vinegar 340g" u="1"/>
        <s v="GARDENIA NEUBAKE WHEATEN BREAD 480G" u="1"/>
        <s v="iColor Plus Hair Color Crème Ash Purple 40ml 10sx12" u="1"/>
        <s v="CDO SPANISH SARDINES 24X240G" u="1"/>
        <s v="HIGHLANDS C BEEF PROMO 100GX48" u="1"/>
        <s v="GOOD LIFE PREMIUM VERMICELI 80G" u="1"/>
        <s v="BOTTLE CAP GREEN (MBC)" u="1"/>
        <s v="Family Alcologne w/ Baby Oil 150ml" u="1"/>
        <s v="DON FRANK APPLE JELLY 30GX10'SX24" u="1"/>
        <s v="Family Alcologne w/ Baby Oil 250ml" u="1"/>
        <s v="GOOD LIFE EGG NOODLES 1KG" u="1"/>
        <s v="Perfect Ultrathin 10sx60x2-B1T1" u="1"/>
        <s v="Chibog Footlong Cheesedog (14+1) x 8" u="1"/>
        <s v="TOPTOP CHOCO PEANUT 12'SX10X20G (108)" u="1"/>
        <s v="DON FRANK ALMOND JELLY 30GX10'SX24" u="1"/>
        <s v="MAMA PINA'S BUNDLE E (1PF1SS200+D) x6" u="1"/>
        <s v="SEA QUEST TUNA HOT &amp; SPICY 48X155G (E.O)" u="1"/>
        <s v="Crumpy Breadspread Choco 225g" u="1"/>
        <s v="CARP SUKANG SASA 3785ML PLASTIC" u="1"/>
        <s v="ARLA MILK GOODNESS FULL CREAM 1L" u="1"/>
        <s v="H &amp; Y Olive Bubble Gum 24's x 40packs (622)" u="1"/>
        <s v="LPG OTHER BRAND 11KG POL" u="1"/>
        <s v="SPEED 90g Babad Fresh Roses Powderx96" u="1"/>
        <s v="PROMO-6 BINGO MEAT LOAF 150G FREE 1 BINGO CB 60G" u="1"/>
        <s v="Cricket Mini OTSO Pack (8's/strip) (4-12159002)" u="1"/>
        <s v="BUDGET 65g Purple Blossom Powderx192" u="1"/>
        <s v="H &amp; Y Fresh on Soft Candy Assorted 72g x 40 packs (A902)" u="1"/>
        <s v="(INACTIVE) PROMO-3 SAN MARINO CORNED TUNA 180G" u="1"/>
        <s v="Langnese Bee Easy Acacia Honey 250g" u="1"/>
        <s v="(INACTIVE) SPEED 500g Sunflower Burst Powder w/White 160(1:1)x24" u="1"/>
        <s v="SPEED 90g Kalamansix96(new)" u="1"/>
        <s v="Mama Pina's Paminta Whole 1gx15'sx6x24" u="1"/>
        <s v="CJF 21C ATF3 OIL 12X1" u="1"/>
        <s v="Delicious Macaroni 5k-Twist" u="1"/>
        <s v="PANCIT CANTON (VCF)" u="1"/>
        <s v="DEESTONE 235/65R16C PAYAK R402 8PR 115/113R" u="1"/>
        <s v="SBD EXPLORE SMALL 24/12" u="1"/>
        <s v="PRIMECARE ADULT DIAPER SOLO MED SPX80P" u="1"/>
        <s v="Bubble Gum 50sx40" u="1"/>
        <s v="Sweet Baby Diapers Large 38/6" u="1"/>
        <s v="CDO MEAT LOAF 48X100G" u="1"/>
        <s v="SPEED BBPW 55GX6'S+1FREE 55GMORE SW 150G 6:1" u="1"/>
        <s v="LOTTE PACK 2" u="1"/>
        <s v="SPEED Babad 216X60G" u="1"/>
        <s v="(INACTIVE) GARDENIA TWIGGIES PINK CAKE (in POLYBAG 8X20G)" u="1"/>
        <s v="(INACTIVE) PROMO-6 BINGO CBEEF 150G FREE 1 BINGO CB 60G" u="1"/>
        <s v="RESTOBAR TRASH BAG BLACK XL 10'Sx50" u="1"/>
        <s v="Jolly Coconut Cream 400ml" u="1"/>
        <s v="JUMBO MELON JAR 100'SX12 (705)" u="1"/>
        <s v="(INACTIVE) DANES CHEESE IN CADDY BOX 35GX144" u="1"/>
        <s v="SweetBaby Explore Large 12/12 w/ 2 Pads" u="1"/>
        <s v="CDO MEAT LOAF 48X210G" u="1"/>
        <s v="Fresh Milk Powder 24sx40" u="1"/>
        <s v="Gatorade Orange Chill 1.5Lx12" u="1"/>
        <s v="2 DANES CHEESE SPREAD 220ML FREE 1 DANES 35G + 2 BINGO CB 60G" u="1"/>
        <s v="iColor Plus Hair Color Crème Ash Blue 40ml 10sx12" u="1"/>
        <s v="Alcoplus Isopropyl 40% 500mlFtx24" u="1"/>
        <s v="SPEED CUTBAR SPECKLED BLUE  160G 6+1 PROMO" u="1"/>
        <s v="GENKI TAPE XLARGE 48'SX3" u="1"/>
        <s v="Family Dishwashing Liquid Calamansi 1L" u="1"/>
        <s v="CDO SEA QUEST TUNA FLAKES IN OIL 155GX48" u="1"/>
        <s v="Fresh Ice Tea 24sx40" u="1"/>
        <s v="Dona Elena Pure Olive Oil 500mlx12" u="1"/>
        <s v="2Jolly Whole Kernel Corn 425g w/ Gulamanx12" u="1"/>
        <s v="JOLLY WHOLE KERNEL CORN 2950G" u="1"/>
        <s v="Familite Methyl Alcohol 473ml" u="1"/>
        <s v="Alcoplus Isopropyl 70% Classic 250ml x 48" u="1"/>
        <s v="WINROX Bleach - Regular Scent 12X1000Ml" u="1"/>
        <s v="PROMO - 3 CDO KN 100GX16" u="1"/>
        <s v="DRYPLUS B.DIAPER BUDGET PACK XL 15'S+2x16" u="1"/>
        <s v="(INACTIVE) Promo - Fiona Youthful Bless 100mlFTx24" u="1"/>
        <s v="3 TINS CDO LUNCHEON MEAT 165G" u="1"/>
        <s v="SUNNY FARMS FROZEN FRENCH FRIES 1KGX12" u="1"/>
        <s v="KAMI BTR 2PLY 150PULLS 300S SPX120" u="1"/>
        <s v="2 Jolly Cream Of Mushroom w/ Jolly Whole Mushroom 284g" u="1"/>
        <s v="BOTTLE CAP YELLOW (MBC)" u="1"/>
        <s v="DAILYFIX VERY NUTTY GRANOLA 350G" u="1"/>
        <s v="Cricket Orig Fusion Neon (50's/tray) (4-11165027)" u="1"/>
        <s v="SweetBaby Explore Med 12/12 w/ 2 Pads" u="1"/>
        <s v="Nanays Beef Tapa Garlic &amp; Pepper 230g" u="1"/>
        <s v="SPEED Powder - Kalamansi 288X35G" u="1"/>
        <s v="(INACTIVE) BINGO MEAT LOAF 150G - PROMO" u="1"/>
        <s v="LibY Whitening and Stain Free Detergent Powder 1000g" u="1"/>
        <s v="DANES CLASSIC CHEESE 35GX144" u="1"/>
        <s v="WIN EB 1L+1FREE BBPW-LZ 55G 1:1 BY 12" u="1"/>
        <s v="Damaco Pommes Fries 1kg" u="1"/>
        <s v="CDO MEAT LOAF 48X150G" u="1"/>
        <s v="1 SM CT 150G+1 SM CCT 150G+1 FREE KN 60G" u="1"/>
        <s v="Fiona Youthful Bliss 100mlx24" u="1"/>
        <s v="(INACTIVE) SAN MARINO CORNED TUNA 48X100G" u="1"/>
        <s v="Fiona Rosy Red 100mlFtx24" u="1"/>
        <s v="Chooga Lychee Juice Drink 250ml" u="1"/>
        <s v="TENTAY PATIS FLAVOR 150ML POUCH" u="1"/>
        <s v="Familite Methyl Alcohol 350ml" u="1"/>
        <s v="CDO KARNE NORTE CLASSIC 100GX48 NL" u="1"/>
        <s v="(INACTIVE) SPEED BBSB 55GX6'S+1FREE 55GMORE B 150G 6:1" u="1"/>
        <s v="(INACTIVE) PROMO-SMCTR 150GX3" u="1"/>
        <s v="Old Orchard Apple Berry Blend Cocktail 64oz" u="1"/>
        <s v="Fiona Cool Burst  50ml Spray x36" u="1"/>
        <s v="(INACTIVE) Winrox EB 1L + 1FREE BBPW 55g 1:1" u="1"/>
        <s v="(INACTIVE) GARDENIA UBE AND CHEESE LOAF 7 PESO OFF" u="1"/>
        <s v="Vernel Antibac-Lavender 400ml" u="1"/>
        <s v="WISHBONE RANCH DRESSING 15OZ" u="1"/>
        <s v="HEADER PAMINTA INTRO (PRINTWISE)" u="1"/>
        <s v="REFINED BLEACH PALM OIL" u="1"/>
        <s v="SWEET BABY PLUS - BIG PACK XXL 20/6" u="1"/>
        <s v="Alcoplus HandSanitizer Gel w/ Vit E Beeds 60mlx36" u="1"/>
        <s v="Jammy Sardines Tomato Sauce 155gx50" u="1"/>
        <s v="DON FRANK RED GULAMAN 24GX10'SX24" u="1"/>
        <s v="SWAK PINOY PORK LONGANISA 230G" u="1"/>
        <s v="MEN2 GENERIC LPG 50KG" u="1"/>
        <s v="Fiona Ice Glacier 25mlx36" u="1"/>
        <s v="(INACTIVE) Foodcrafters Budget Pack Beef Siomai (12pc)" u="1"/>
        <s v="Brooke Farm Cocomilk 400ml x 24" u="1"/>
        <s v="PINOY FIESTA PORK TAPA 220G" u="1"/>
        <s v="GARDENIA COOKIES 'N CREAM CREAM ROLL 50G" u="1"/>
        <s v="LOTTE PACK 3" u="1"/>
        <s v="(INACTIVE) CDO VIENNA SAUSAGE (NEW) 48X70G" u="1"/>
        <s v="PROMO - 3 CDO KN 150GX16" u="1"/>
        <s v="(INACTIVE) CDO VIENNA SAUSAGE 48X114G (E.O)" u="1"/>
        <s v="WIN FF 1L+1FREE BBPW-LZ 55G 1:1 BY 12" u="1"/>
        <s v="(INACTIVE) Select Soy 1L w/Free SP 200ml(1:1)" u="1"/>
        <s v="Nanay's Primera Ball Ham 800g" u="1"/>
        <s v="CanOlein 1L x 12" u="1"/>
        <s v="MEN2 GENERIC LPG 11KG" u="1"/>
        <s v="3IN1 SUPER COFFEEMIX TOFCARAMEL 10X24X28G - B1T1" u="1"/>
        <s v="Jolly Pineapple Tidbits 225gx24" u="1"/>
        <s v="Jolly Cream Corn 425gX24" u="1"/>
        <s v="(INACTIVE) Promo-Alcoplus Iso 500ml + 3pcs Keratin Gold" u="1"/>
        <s v="BINGO CORNED BEEF 100GX3-SAVER'S PACK" u="1"/>
        <s v="CHIPS DELIGHT MINI CHOCOLATE CHIP COOKIES 130GX24 (PARTY PACK)" u="1"/>
        <s v="SBD SUPREME COMFORT MEDIUM 42/6" u="1"/>
        <s v="SOO-YOUNG SOAP FOR WOMEN 60Gx120" u="1"/>
        <s v="KeratinPlus Gold 20g x 12's x 24 Pack w/ Iso 40% 60ml" u="1"/>
        <s v="PROMO-ALCOPLUS ISO CLASSIC 500ML W/ SANITIZER RED" u="1"/>
        <s v="CHIPS DELIGHT RAINBOW &amp; CHOCOLATE CHIP COOKIES 20GX12X24" u="1"/>
        <s v="Assorted Clear Cup 20gx24sx20" u="1"/>
        <s v="iColor Plus Shampoo-In Hair Color Light Brown 30ml 5+1FREE" u="1"/>
        <s v="Dona Elena Pure Olive Oil 1Lx12" u="1"/>
        <s v="GARDENIA POCKET SANDWICH PEANUT BUTTER 50G" u="1"/>
        <s v="Tipid Pack Speed FC 135g+Pow FR 55g x 40" u="1"/>
        <s v="Family Absorbent Cotton 400g" u="1"/>
        <s v="Gelee Pudding Cup 9gx80sx12" u="1"/>
        <s v="Select Soy Sauce 1gal w/ Free SP 200ml 1:1" u="1"/>
        <s v="iColor Hair Dye Shampoo Chestnut Brown 30ml 10'sx48" u="1"/>
        <s v="GARDENIA INDOMIE MI GORENG" u="1"/>
        <s v="BUDGET PB 65gx6's+Free Budget Powder SF 65g 6:2" u="1"/>
        <s v="MAMA PINA'S OIL 350ML W/ SOYA 36X1" u="1"/>
        <s v="BINGO MEAT LOAF 48X150G (NEW)" u="1"/>
        <s v="Home Care Vewin Multi-Function Glass Cleaner 500ml" u="1"/>
        <s v="H &amp; Y Frosty Ice Pop Bubble Gum Flavor 90gx8'sx16packs (224)" u="1"/>
        <s v="Z.04 10x15greenCALYP1000s (GJC)" u="1"/>
        <s v="Jolly Canola Oi 5Lx4" u="1"/>
        <s v="Happy Day Tomato Juice 1L" u="1"/>
        <s v="PACKAGING CANTON (MACHINEWORLD)" u="1"/>
        <s v="ER Saver Big Shell 8 x 5 kg" u="1"/>
        <s v="DANES MAYO DRESSING 220G X 24 SUP" u="1"/>
        <s v="H&amp;Y Mini Choco M 72g x 40 bags (626)" u="1"/>
        <s v="22X38 PE .0015 GT (GJC)" u="1"/>
        <s v="Capture Nature Tawas Calamansi 50ml" u="1"/>
        <s v="Brooke Farm Pieces &amp; Stems Mushrooms 425g x 24" u="1"/>
        <s v="SAN MARINO TUNA FILLET IN WATER 180GX48" u="1"/>
        <s v="SAN MARINO CHILI CORNED TUNA 48X100G" u="1"/>
        <s v="CJF 7.00-16 12R DMASTER" u="1"/>
        <s v="BOX 30.3x22.9x26cm 20pcs/bundle" u="1"/>
        <s v="Dona Elena Olive Oil Pomace 1Lx12" u="1"/>
        <s v="(INACTIVE) PROMO-1 CDO NATA 340G+1PCS CDO KAONG 340G FREEE 1 BINGO CB 60G" u="1"/>
        <s v="POTCHI STRAWBERRY SNACK PACK 12'SX10 (750)" u="1"/>
        <s v="(INACTIVE) iColor Plus Shampoo-In Hair Color Light Brown 30ml 5+1FREE" u="1"/>
        <s v="King Cup Sardines in Tomato Sauce 155gx100-EOC OLD" u="1"/>
        <s v="MAMA PINA'S OIL 350ML W/FREE 4 SACHET PREMIUM PAMINTA" u="1"/>
        <s v="DANES BACON CHEESE 35G (7+1 PROMO) x18" u="1"/>
        <s v="Winrox Fresh Lemon Bleach Gallon x 4" u="1"/>
        <s v="WINROX Bleach - Regular Scent 4X1Gal" u="1"/>
        <s v="GARDENIA DELICIA MILKY CHOCOLATE SPREAD 200G X 12" u="1"/>
        <s v="CARP SUKANG SASA 350ML PET" u="1"/>
        <s v="OBERON AG20" u="1"/>
        <s v="Players Styling Hair Extreme Matte &amp; Hard 3gms" u="1"/>
        <s v="SPEED 55G BABAD FC W/ POWER WHITENER POWDER FL x192 (new)" u="1"/>
        <s v="Welch 100% Grape Juice Purple 10oz" u="1"/>
        <s v="(INACTIVE) WIN REG 1L+1FREE BBPW-LZ 55G 1:1 BY 12" u="1"/>
        <s v="Jolly Canola Oil 500ml" u="1"/>
        <s v="CDO LIVER SPREAD 48X85G (EO)" u="1"/>
        <s v="SAN MARINO CHILI CORNED TUNA 150GX48 (NEW)" u="1"/>
        <s v="GENERIC DETERGENT BAR  1KG" u="1"/>
        <s v="CHIPS DELIGHT CHOCOLATE CHIP COOKIES 40GX12X12 (BAR)" u="1"/>
        <s v="Welch 100% Grape Juice Purple 24oz" u="1"/>
        <s v="(INACTIVE) PROMO-2 CDO LMEAT 350G FREE 1CBEEF 60G" u="1"/>
        <s v="H &amp; Y Happy Love Chocolate 24's x 40 packs (A911)" u="1"/>
        <s v="Dona Elena Sliced Black Olives 330g" u="1"/>
        <s v="2 TINS CDO LUNCHEON MEAT 350G" u="1"/>
        <s v="SAN MARINO CHILI CORNED TUNA 48X150G" u="1"/>
        <s v="CJF 7.50-16 14PR RIB D MASTER" u="1"/>
        <s v="SELECT Soy Sauce (1/2Gal) 6X1895Ml" u="1"/>
        <s v="SPEED BLUE 360G DET. BAR X 36" u="1"/>
        <s v="Argan Beauty Hair Mask w/ Argan Oil 25ml 10'sx48" u="1"/>
        <s v="(INACTIVE) CDO KARNE NORTE 48X175G (EASY-OPEN)" u="1"/>
        <s v="ER Macaroni Salad 12 x 1 kg (77740)" u="1"/>
        <s v="6 SAN MARINO CTUNA 150G FREE 2 BINGO CB 60G" u="1"/>
        <s v="SPEED 55g Kalamansi Powderx192(new)" u="1"/>
        <s v="Sweet Baby Diapers Extra Large 34/6" u="1"/>
        <s v="Family Bathroom Tissue (1 Ply) 350shtsx72" u="1"/>
        <s v="Alcoplus Isopropyl 500mlFtx24 Head Spray" u="1"/>
        <s v="SAN MARINO CHILI CORNED TUNA 48X180G" u="1"/>
        <s v="WINROX Bleach - Elegant Breeze 12X1000Ml" u="1"/>
        <s v="(INACTIVE) GARDENIA MULTIGRAIN SOFT BUN - 15 PERCENT OFF" u="1"/>
        <s v="CDO LUNCHEON MEAT 24X350G" u="1"/>
        <s v="Jimm's Grandee Black Coffee Mix 10's x30ties" u="1"/>
        <s v="Jolly Claro Pet 1ltr Duo Pack" u="1"/>
        <s v="CJF 6 SM TRUCK MASTER" u="1"/>
        <s v="GARDENIA CINNAMON RAISIN WHEAT BUN 120G" u="1"/>
        <s v="LibY Whitening and Stain Free Detergent Powder 500g" u="1"/>
        <s v="Sunfeel Young Corn Cut 425gx24" u="1"/>
        <s v="Caterpillar Gummy 250gx60" u="1"/>
        <s v="TUBE ULTRA U-TUBE 8.25-20 MADE IN KOREA" u="1"/>
        <s v="PROMO BATHROOM TISSUE 1'Sx96" u="1"/>
        <s v="Delicious Spaghetti 1klx10 Sulit Pack" u="1"/>
        <s v="Promo-2pc Fiona 100ml w/ CP Ringx24" u="1"/>
        <s v="SBD SUPREME COMFORT LARGE 12/12" u="1"/>
        <s v="DAILYFIX STRAWBERRY &amp; YOGURT 700G 1" u="1"/>
        <s v="PORK MASK 1KG" u="1"/>
        <s v="V FRESH JR. 25'SX60 (860)" u="1"/>
        <s v="GARDENIA DELICIA HAZELNUT CHOCOLATE SPREAD 200G X 12" u="1"/>
        <s v="Milk Stick Powder 50sx40" u="1"/>
        <s v="Jolly Red Pimientos 113g x24" u="1"/>
        <s v="AVIKO SUNNY FARMS SHOESTRING 7MMx12" u="1"/>
        <s v="Speed BBPW 1kg+1FREE 55gMore FC 150g 1:1" u="1"/>
        <s v="Cola Gummy 250gx30" u="1"/>
        <s v="CREAM DORY (PREMIUM) 1KG" u="1"/>
        <s v="CDO CORNED BEEF CHILI GARLIC 150GX48" u="1"/>
        <s v="(INACTIVE) JINLI KOJIC ACID SOAP 135GX48" u="1"/>
        <s v="I COOL MENTHOLATED GUM 50'SX40 (975)" u="1"/>
        <s v="Jolly Cream of Mushroom Soup10.5ozx24" u="1"/>
        <s v="AlcoPlus Iso. 60mlx36" u="1"/>
        <s v="CDO VIENNA SAUSAGE 48X70G (E.O)" u="1"/>
        <s v="Jolly Heart Mate Canola Oil SUP 500ml" u="1"/>
        <s v="FRENCH FRIES (LUTOSA) 2KG X 6" u="1"/>
        <s v="Delicious Macaroni 5k-Dancing Elbow" u="1"/>
        <s v="Select Soy 350ml PET x5's + 1FREE 5:1" u="1"/>
        <s v="Jolly Cow Pure Fresh Milk 1LX12" u="1"/>
        <s v="BUDGET 25kgs Industrial Det.Powder Speckles" u="1"/>
        <s v="LibY Dishwashing Liquid Orange (Translucent) 1100ml" u="1"/>
        <s v="LibY Dishwashing Liquid New Easy Remove Stain 2000ml" u="1"/>
        <s v="HYBRID BRAKE FLUID DOT-3 (18L)" u="1"/>
        <s v="Dona Elena Flat Fillet Anchovies 365g" u="1"/>
        <s v="SPEED SB 1kg Get 1kg SB@30%off" u="1"/>
        <s v="CDO SEA QUEST TUNA FLAKES HOT AND SPICY 155GX48" u="1"/>
        <s v="Welch Sparkling White Grape Juice 25.4oz" u="1"/>
        <s v="CHIPS DELIGHT MINI BUTTER OATMEAL COOKIES 35GX12X12" u="1"/>
        <s v="SPEED 1KG BABAD DET. POWDER X 12" u="1"/>
        <s v="MAMA PINA'S OIL 500ML  W/ SOYA" u="1"/>
        <s v="SPD KAL-L 2KGS+2FREE DSB 150G 1:2 BY6" u="1"/>
        <s v="SAN MARINO CORNED TUNA 48X180G" u="1"/>
        <s v="Vernel Antibac-Lavender 35ml" u="1"/>
        <s v="Welch Sparkling Red Grape Juice 25.4oz" u="1"/>
        <s v="GARDENIA BANANA CHOCO MUFFIN" u="1"/>
        <s v="Langnese Golden Clear Honey 250g" u="1"/>
        <s v="Promo-Freeda Soft Cotton Day Use 8's+Clean and Dry Net Side Night Use 8's+Pliner 8's(3x18)" u="1"/>
        <s v="(INACTIVE) SAN MARINO TUNA FILLET IN WATER 180GX48" u="1"/>
        <s v="BINGO MEAT LOAF 48X100G" u="1"/>
        <s v="VEHICLE LOAN" u="1"/>
        <s v="Jolly Mush P&amp;S 400g + 2 Maggi 8g" u="1"/>
        <s v="Cocio Natural Energy Chocolate 250ml" u="1"/>
        <s v="Fiona Raspberry 100mlx24" u="1"/>
        <s v="Brooke Farm Cream Style Corn 425g x 24" u="1"/>
        <s v="DONA ELENA BLENDED OLIVE OIL 500ML" u="1"/>
        <s v="WINROX Bleach - Fresh Lemon 48X250Ml" u="1"/>
        <s v="2PCS JOLLY P&amp;S MUSHROOM 400G SAVE P7" u="1"/>
        <s v="SPEED 55GMORE KAL 150G X5'S+1 FREE 5:1" u="1"/>
        <s v="Nextar Choco 42G x 8ib x 10pcs" u="1"/>
        <s v="(INACTIVE) GARDENIA NEUBAKE WHITE BREAD 450G + BEAR BRAND" u="1"/>
        <s v="Mott's 100% Apple Juice 64oz w/ Crayon x 8" u="1"/>
        <s v="DEESTONE 185/55R15 VINCENTE R203 82V" u="1"/>
        <s v="RESTOBAR KIKIAM PLATES SILVER 50'Sx20" u="1"/>
        <s v="Jolly Pineapple Chunks 850g" u="1"/>
        <s v="Chooga Pomelo Juice Drink 250ml" u="1"/>
        <s v="Promo-Fiona Rosy Red 100mlFTx24" u="1"/>
        <s v="SBD EXPLORE LARGE 12/12" u="1"/>
        <s v="iColor Plus Hair Color Crème Ash Brown 40ml 10sx12" u="1"/>
        <s v="SPEED BBPW 1kg Get 500g BBPW@50%off" u="1"/>
        <s v="Pagoda Muriatic Acid Household Grade 250ml" u="1"/>
        <s v="MEN2 CORP - DELIVERY RECEIPT" u="1"/>
        <s v="Mama Pina's Palm Oil 500ml x 24" u="1"/>
        <s v="COMFORSER 215/55R17 CF710 94V" u="1"/>
        <s v="(INACTIVE) HIGHLANDS CLASSIC CORNED BEEF 100GX48" u="1"/>
        <s v="BUDGET PB 65G X 6'S+1 FREE BDGT SF 120G" u="1"/>
        <s v="LibY Dishwashing Liquid Mineral Salt (Translucent) 460ml" u="1"/>
        <s v="PROMO-JINLI KOJIC ACID SOAP 65G'2 w/ AlcoPlus 60mlX48" u="1"/>
        <s v="KeratinPlus Shampoo Hair Fall Control 22ml (12+2)" u="1"/>
        <s v="JINLI KOJIC ACID SOAP 65Gx2 w/ Alcohol 60ml (1x48)" u="1"/>
        <s v="SELECT Soy Sauce 12X1000Ml" u="1"/>
        <s v="SMCTR180GX3_SAVE P7.50 S&amp;M PROMO" u="1"/>
        <s v="(INACTIVE) Promo-2pc Fiona 100ml w/ CP Ringx24" u="1"/>
        <s v="(INACTIVE) SAN MARINO CHILI CORNED TUNA 48X150G (EASY-OPEN)" u="1"/>
        <s v="Foodcrafters Budget Pack Siomai (12pc)" u="1"/>
        <s v="H&amp;Y Cocoju Jelly Juice Strawberry Flavor 200gx10cups (832)" u="1"/>
        <s v="Empress Shampoo Smooth &amp; Shiny free Gold (12+2)" u="1"/>
        <s v="Grips Strong Hold Clear 130gx48" u="1"/>
        <s v="(INACTIVE) SAN MARINO CHILI CORNED TUNA 48X180G (EASY-OPEN)" u="1"/>
        <s v="Chooga Chiller Grapes 200mlx10" u="1"/>
        <s v="PINOY FIESTA PREMIUM HOTDOG 1KG" u="1"/>
        <s v="(INACTIVE) MAMA PINA'S OIL 1L W/ SOYA 12X1" u="1"/>
        <s v="Dona Elena Olive Oil Pomace 5Lx4" u="1"/>
        <s v="Nanay's Pork Tapa Garlic Pepper 220g" u="1"/>
        <s v="BLOOMING PETALS BT BIG ROLL 1000'Sx4x6" u="1"/>
        <s v="Perwoll Baby Sachet 144x60ml" u="1"/>
        <s v="CDO COCO JELLY BITS 340Gx24" u="1"/>
        <s v="Teeth Gummy 250gx30" u="1"/>
        <s v="KOKOLA CHOCOLATE 10'SX20 (5608)" u="1"/>
        <s v="POTCHI GUMMI POP JAR 120'SX12 (111)" u="1"/>
        <s v="PROMO-2 HIGHLANDS C.BEEF 180GX24" u="1"/>
        <s v="(INACTIVE) LOTTE PACK 1" u="1"/>
        <s v="WINROX Bleach - Regular Scent 72X100Ml" u="1"/>
        <s v="CJF RIM 22.5" u="1"/>
        <s v="PINOY FIESTA MEATBALLS 250G" u="1"/>
        <s v="Delizioso Ham 1kg" u="1"/>
        <s v="(INACTIVE) SPEED BBFR 55GX6'S+1FREE 55GMORE FC 150G 6:1" u="1"/>
        <s v="Jolly Cow Condensada 390gx48" u="1"/>
        <s v="Pagoda Muriatic Acid Super Strength 1L" u="1"/>
        <s v="3IN1 SUPER COFFEEMIX ORIG 10X24X18G - B1T1" u="1"/>
        <s v="AlcoPlus Ethyl 500mlx24" u="1"/>
        <s v="SPEED DAGDAG FABCON 145G X 6'S + 1 FREE BY16" u="1"/>
        <s v="Pagoda Muriatic Acid Household Grade 1L" u="1"/>
        <s v="FROOTY RAINBOW POP JAR 100'SX12 (760)" u="1"/>
        <s v="Fiona Sweet Breeze Spray 50mlx36" u="1"/>
        <s v="Dona Elena Al Dente Fettucine 500g" u="1"/>
        <s v="H &amp; Y Frosty Ice Pop Orange Flavor 90gx8'sx16packs (222)" u="1"/>
        <s v="(INACTIVE) SELECT SOY 340ML ETC + SP 340ML 1:1" u="1"/>
        <s v="JACKPOT LUMPIANG SHANGHAI 220g x 32" u="1"/>
        <s v="CDO CHUNKY SISIG 155GX48" u="1"/>
        <s v="Select Soy 1L w/Free SP 200ml(1:1)" u="1"/>
        <s v="SAN MARINO CORNED TUNA 48X100G" u="1"/>
        <s v="Mama Pina's Palm Oil 16kg" u="1"/>
        <s v="WISHBONE THOUSAND ISLAND DRESSING 15OZ" u="1"/>
        <s v="CDO CORNED BEEF 48X175G (E.O)" u="1"/>
        <s v="GARDENIA CLUSTERED PANDESAL W FREE CHEESE TOAST" u="1"/>
        <s v="Delicious Macaroni 5k-Ridge Jumbo" u="1"/>
        <s v="Mama Pina's Bundle P" u="1"/>
        <s v="GARDENIA CHOCO CHIP LOAF 7 PESO OFF" u="1"/>
        <s v="GENERIC DETERGENT BAR 1KG" u="1"/>
        <s v="GOODTYRE 12.00R24 GT268 MIX 20PR" u="1"/>
        <s v="SWEET BABY PLUS - BIG PACK XL 24/6" u="1"/>
        <s v="PERFECT SOFT N FIT NONWING 8SX36P" u="1"/>
        <s v="(INACTIVE) CDO KARNE NORTE 48X150G" u="1"/>
        <s v="BLOOMING PETALS BT BIG ROLL 1000'Sx1x30" u="1"/>
        <s v="GARDENIA POCKET SANDWICH BUNDLE BUY2 TAKE1" u="1"/>
        <s v="Alcoplus Advance Antibacterial Sanitizer 500mlx24" u="1"/>
        <s v="SWEET BABY PLUS - JUMBO PACK MED 48/6" u="1"/>
        <s v="KAPSEN 12R20 MIX 20PR HS268" u="1"/>
        <s v="CDO SEA QUEST TUNA FLAKES HOT &amp; SPICY 155GX48(NEW)" u="1"/>
        <s v="Mama Pina's Palm Oil 17KG" u="1"/>
        <s v="Promo-Alcoplus Ethyl60ml 3pcs + 3pcs pcs HM5g" u="1"/>
        <s v="DONA ELENA 100% TUNA CHUNKS IN SUNFLOWER OIL 100G" u="1"/>
        <s v="(INACTIVE) SPEED 55gMK 150gx5's+1FREE 40gMK 135g 5:1" u="1"/>
        <s v="CJF AS 403 P3F" u="1"/>
        <s v="LANGNESE BLACK FOREST HONEY 250G" u="1"/>
        <s v="(INACTIVE) SAN MARINO CORNED TUNA ADOBO 155GX48" u="1"/>
        <s v="H &amp; Y Milk Stick 175gx40 (602)" u="1"/>
        <s v="(INACTIVE) DANES CHEESE BLOCK 24X180G" u="1"/>
        <s v="(INACTIVE) Promo-Alcoplus Ethyl 500ml + 3pcs Keratin Gold" u="1"/>
        <s v="JOLLY Rice Milk Baby Bath 18ml x 288" u="1"/>
        <s v="1LITER BOTTLE NUTRI (MBC)" u="1"/>
        <s v="PACKAGING TAPE CLEAR X 120'S" u="1"/>
        <s v="CDO KARNE NORTE 48X175G" u="1"/>
        <s v="3IN1 SUPER COFFEEMIX HAZELNUT 10X24X28G - B1T1" u="1"/>
        <s v="Promo-Fiona Col. Raspberry 100ml Free Jinlikojic Soap" u="1"/>
        <s v="(INACTIVE) Promo-Fiona Bubbly Pink 50ml w/ Cool Burst 25ml" u="1"/>
        <s v="H&amp;Y Cocoju Jelly Juice Strawberry Flavor 200gx24cups (822)" u="1"/>
        <s v="CDO SPICY MEAT LOAF" u="1"/>
        <s v="Saint Sealand Fresh Lemon Air Freshener 320ml" u="1"/>
        <s v="Sweet Baby Diapers XXL 25+3S6P" u="1"/>
        <s v="JOLLY COCONUT CREAM 165ML" u="1"/>
        <s v="PERFECT SOFT N DRY OVERNIGHT 8SX24P" u="1"/>
        <s v="Sweet Baby Diapers Small 12/12" u="1"/>
        <s v="CDO LIVER SPREAD 48X85G" u="1"/>
        <s v="Fiona Raspberry 75mlx24" u="1"/>
        <s v="CARP PROMO PK x3 (SSVVES) 500ML PET" u="1"/>
        <s v="EGO Food Supplement for Men" u="1"/>
        <s v="Pagoda Pure Acetone 60ml" u="1"/>
        <s v="iColor Hair Dye Shampoo 30ml Light Brown 10'sx12" u="1"/>
        <s v="SEA QUEST TUNA HOT &amp; SPICY 48X180G (E.O)" u="1"/>
        <s v="Old Orchard Apple Blueberry Cocktail 64oz" u="1"/>
        <s v="SUPER Q - Q1 Misua 40g/12 x 24" u="1"/>
        <s v="ARLA MILK GOODNESS SKIMMED 1L" u="1"/>
        <s v="Sweet Baby Diapers Small 4/36" u="1"/>
        <s v="CODING MACHINE INK 1240 FAST DRYING INK (EIE)" u="1"/>
        <s v="Nanays Sliced Sweet Ham230g x 40" u="1"/>
        <s v="Langnese Bee Easy Acacia Honey 500g" u="1"/>
        <s v="PrimeCare Adult Diaper Mx10sx8 w/ 2 Pads" u="1"/>
        <s v="(INACTIVE) SAN MARINO CORNED TUNA 48X180G (EASY-OPEN)" u="1"/>
        <s v="Fries Mccain Crispy Cajun 500g" u="1"/>
        <s v="Franzia Chillable Red 3Lx6" u="1"/>
        <s v="Jolly Asparagus (Cut)430gX24" u="1"/>
        <s v="Gatorade Grape 350mlx24" u="1"/>
        <s v="Crumpy Breadspread Choco 400g" u="1"/>
        <s v="H&amp;Y Star Cup Chocolate+Biscuits 100'sx12packs (645)" u="1"/>
        <s v="Jolly Whole Mushrooms 100g 3pcs Save P5" u="1"/>
        <s v="Alcoplus ECQ Isopropyl 70% 150mlFtx48" u="1"/>
        <s v="Jolly Canola Oil 2Lx6" u="1"/>
        <s v="SWEET BABY PLUS - MINI PACK XL 4/36" u="1"/>
        <s v="Promo-Fiona Rosy Red 50ml w/ Ice Glacier 25ml" u="1"/>
        <s v="SAN MARINO CORNED TUNA 150G W/ FREE 1PCS DANES BACON BITS" u="1"/>
        <s v="SOLUCKY CHOCOLATE FLAVOR CREAM 10'SX18 (621)" u="1"/>
        <s v="(INACTIVE) MEN2 SOL - COLLECTION RECEIPT" u="1"/>
        <s v="SPEED KAL 55GX6'S+1FREE 55GMORE SK 150G 6:1" u="1"/>
        <s v="Grips Ignite 100ml w/ Free Clay 25g" u="1"/>
        <s v="SBD EXPLORE MEDIUM 42/6" u="1"/>
        <s v="Tasty Palamig Melon 500gx20" u="1"/>
        <s v="GripsWax3Doz w/ Free Gel1Doz(Save17)x24" u="1"/>
        <s v="Perfect Soft &amp; Fit w/ wings 8s+2x36 B1T1" u="1"/>
        <s v="CHIPS DELIGHT CHOCOLATE CHIP COOKIES 80GX48 (SNACK PACK)" u="1"/>
        <s v="Jolly Corn Oil 1Lx12" u="1"/>
        <s v="Yumbites Jumbo Hotdog 1kg - Free" u="1"/>
        <s v="RAIMOL REINDRO HYDRAULIC OIL ISO VG 10 (200L)" u="1"/>
        <s v="6 KARNE NORTE 60GX4" u="1"/>
        <s v="GARDENIA BIG SMILE TORTA TD" u="1"/>
        <s v="(INACTIVE) GARDENIA NEUBAKE SPANISH BREAD BUY 2 TAKE 1" u="1"/>
        <s v="Sweet Baby Diapers Med 60+6/6" u="1"/>
        <s v="Sil Spray Starch 24x500ml" u="1"/>
        <s v="WINROX Bleach - Fresh Lemon 12X1000Ml" u="1"/>
        <s v="DON FRANK GRASS JELLY BLACK GULAMAN 24GX10'SX24" u="1"/>
        <s v="MYBIDA PEANUT BUTTER 10'SX20 (655)" u="1"/>
        <s v="DON FRANK LYCHEE JELLY 30GX10'SX24" u="1"/>
        <s v="Family Dishwashing Liquid Calamansi 1.5L" u="1"/>
        <s v="Regulator AS" u="1"/>
        <s v="TRAVELER UNDERPAD L-XL 2'Sx36" u="1"/>
        <s v="WINROX BLEACH REGULAR 1000ML W/FREE BBPW" u="1"/>
        <s v="Foodcrafters Budget Pack Beef Siomai (12pc)" u="1"/>
        <s v="CARP VEGAN SEASONING 1L PET" u="1"/>
        <s v="SWEET KAONG (WHITE) 12X24OZX680G" u="1"/>
        <s v="H &amp; Y Sour City Fruit Flavoured Chewing Gum 72g x 40 packs (A903)" u="1"/>
        <s v="SPEED WHITE 360G DET. BAR X 36" u="1"/>
        <s v="King Cup Sardines in Tomato Sauce 155gx100" u="1"/>
        <s v="19L Carboy Select Soy Sauce x 1" u="1"/>
        <s v="Foodcrafters Bacon 250g x 40" u="1"/>
        <s v="GARDENIA WHITE BREAD 600G FREE CAFI" u="1"/>
        <s v="SPEED BLUE 380Gx3'S+FREE BLUE 160G (3:1) x12" u="1"/>
        <s v="Langnese Black Forest Honey 250g 2" u="1"/>
        <s v="Family Absorbent Cotton 200g" u="1"/>
        <s v="HAENO LARVACIDE LIQUID B" u="1"/>
        <s v="BOTTLE CAP (MC BRIDE)" u="1"/>
        <s v="Grips Strong Hold Yellow 60gx72" u="1"/>
        <s v="Beybiko Baby Diapers XLarge 12's x 12" u="1"/>
        <s v="DEESTONE 185/55R15 VINCENTE R203 82V 2" u="1"/>
        <s v="Mama Pina's Paminta Intro Pack 1gx15'sx9x24" u="1"/>
        <s v="Sweet Baby Diapers Small 24/12" u="1"/>
        <s v="BUNDLE MAMA PINAS BIHON WITH BINGO CB 150G" u="1"/>
        <s v="PRESA 12R22.5 16PR PR101 TL" u="1"/>
        <s v="Grips Ignite Body Spray 100mlx24" u="1"/>
        <s v="Jolly Tomato Past 70g Pillow Pack" u="1"/>
        <s v="SPEED SB 1kg Get 500g SB@50%off" u="1"/>
        <s v="Mama Pina's Paminta Combo 1gx15'sx6x24" u="1"/>
        <s v="(INACTIVE) PROMO-6 BINGO MEAT LOAF 150G FREE 1 BINGO CB 60G" u="1"/>
        <s v="WELCH SPARKLING ROSE GRAPE JUICE COCKTAIL 25.4oz" u="1"/>
        <s v="POTCHI MINI STRAWBERRY CREAM (STRAPS) 10'SX50 (952)" u="1"/>
        <s v="Richeese Big Rolls 330gx6pcs" u="1"/>
        <s v="iColor Hair Dye Shampoo 30ml Medium Brown 10'sx12" u="1"/>
        <s v="CDO BINGO CORNED BEEF 100G - PROMO" u="1"/>
        <s v="Fundador Solera 700ml x 12" u="1"/>
        <s v="GOODTYRE 10.00R20 YB288 RIB 18PR" u="1"/>
        <s v="SELECT Sukang Puti 72x100ml" u="1"/>
        <s v="GARDENIA CHOCOLATE MUFFIN 45G X 48" u="1"/>
        <s v="Superb Toilet Cleaner 500ml" u="1"/>
        <s v="Mama Pina's Pancit Canton 227g x 15" u="1"/>
        <s v="CDO LUNCHEON MEAT 220G X 48" u="1"/>
        <s v="PROMO-3 MAMA PINA'S PALM OIL 350ML FREE MP PAMINTA FINE" u="1"/>
        <s v="(INACTIVE) BINGO CORNED BEEF 100GX3-SAVER'S PACK" u="1"/>
        <s v="(INACTIVE) Select Soy 100mL x 5's+1Free SP 100mL 5:1" u="1"/>
        <s v="CHICKBOY Cheese 100g x 40/box" u="1"/>
        <s v="CDO CORNED BEEF 48X150G (E.O)" u="1"/>
        <s v="Drillo CCP PRM PHL 17g x 8ib x 12+1pcs" u="1"/>
        <s v="Beybiko Baby Diapers Medium 12's x 12" u="1"/>
        <s v="Fiona Youthful Bliss 75mlx24" u="1"/>
        <s v="CHICKBOY POP-NIK Sweetcorn 8G X 12 X 20 pack" u="1"/>
        <s v="Perfect Minipads 10sx60" u="1"/>
        <s v="Grips Strong Hold Yellow 130gx48" u="1"/>
        <s v="Fiona Raspberry 50mlx36" u="1"/>
        <s v="GARDENIA HIGH FIBER WHEAT CRANBERRY LOAF 400G" u="1"/>
        <s v="DISPOSABLE SURGICAL MASK 50'Sx40" u="1"/>
        <s v="Gelee Pudding Cup 14gx24sx20" u="1"/>
        <s v="DEESTONE 185/60R15 VINCENTE R203 84H" u="1"/>
        <s v="CDO VIENNA SAUSAGE 48X114G (E.O)" u="1"/>
        <s v="Watermelon Gum Jar 150sx12" u="1"/>
        <s v="6 BINGO CBEEF 150G FREE 1 BINGO CB 60G" u="1"/>
        <s v="Jolly Fresh Apple Juice 1Lx12" u="1"/>
        <s v="FRUTOS CHEWY FRUITS MINI BITS (SNACKPACK) 12'SX10 (717)" u="1"/>
        <s v="CDO BINGO CORNED BEEF 48X100G" u="1"/>
        <s v="Promo - Grips Mat &amp; Shiny 5g 24+6 (Dagdag Kita)" u="1"/>
        <s v="FRESH BTR 2PLY JUMBO PACK 12`SX8P" u="1"/>
        <s v="DON FRANK POWDER 1KG" u="1"/>
        <s v="AKOTO KOJIC ACID SOAP PILLOW PACK 50G" u="1"/>
        <s v="(INACTIVE) Fries Mccain Crispy Cajun 500g" u="1"/>
        <s v="Welch 100% Grape Juice Purple 64oz" u="1"/>
        <s v="3 TINS CDO LUNCHEON MEAT 150G" u="1"/>
        <s v="RAIMOL REINDRO HYDRAULIC OIL ISO VG 68 (200L)" u="1"/>
        <s v="PINOY FIESTA SLICED HAM 220G" u="1"/>
        <s v="2LITER BOX SOYA (WPCC)" u="1"/>
        <s v="CDO KARNE NORTE 48X150G" u="1"/>
        <s v="SWEET KAONG (WHITE) 24X8OZx240G" u="1"/>
        <s v="SUPER Q - Japanese Flat Noodles 250g/20 x 5" u="1"/>
        <s v="Cricket Sweet Series (50's/tray) (4-14165014)" u="1"/>
        <s v="Sweetbaby Premium Wipes w/ Aloe 90`sx18P" u="1"/>
        <s v="Dona Elena Extra Virgin Olive Oil 1Lx12" u="1"/>
        <s v="RBD SOYA OIL (GPR)" u="1"/>
        <s v="(INACTIVE) Brooke Farms Rice Flour 500gmx20" u="1"/>
        <s v="CJF DELIUM 700-16 STEEL TECHNO" u="1"/>
        <s v="Fries Mccain Redstone 500g" u="1"/>
        <s v="JACKPOT LUMPIANG SHANGHAI" u="1"/>
        <s v="Pasto 5G x 60ib x 20pcs" u="1"/>
        <s v="GARDENIA NEUBAKE CHOCO BREAD ROLL 150G" u="1"/>
        <s v="SELECT Cane Vinegar 48x200ml w/Spout" u="1"/>
        <s v="CDO KARNE NORTE CLASSIC 48X150G" u="1"/>
        <s v="Sting Energy Strawberry 330mlx24" u="1"/>
        <s v="FROOTY TWIN POP 20'SX50 (725)" u="1"/>
        <s v="SALMON BELLY 1KG" u="1"/>
        <s v="CHICKBOY POP-NIK Barbeque 8G X 12 X 20 pack" u="1"/>
        <s v="MEN2 CORP - SALES INVOICE" u="1"/>
        <s v="(INACTIVE) CanOlein 1L x 12" u="1"/>
        <s v="Jellybee Tutti Fruitti Pink 12's x 20 pks (262)" u="1"/>
        <s v="Lotus Biscoff Spread Crunchy 380g" u="1"/>
        <s v="Gatorade Grape 1.5Lx12" u="1"/>
        <s v="CHIPS DELIGHT MINI BUTTER OATMEAL COOKIES 130GX24" u="1"/>
        <s v="Jolly Claro Oil 2Lx6" u="1"/>
        <s v="(INACTIVE) CDO LUNCHEON MEAT 24X350G" u="1"/>
        <s v="Good Life Egg Noodles 200gX30" u="1"/>
        <s v="Promo-2pcs RosyRed100ml w/1pc Iso 60ml" u="1"/>
        <s v="2LITERS BOTTLE SOYA YELLOW (MBC)" u="1"/>
        <s v="(INACTIVE) Fiona Snow Breeze 100mlx24" u="1"/>
        <s v="Arla Organic Powdered Milk Drink 4L Pack x12" u="1"/>
        <s v="SUPER Q - Kan Mian 200g x 48" u="1"/>
        <s v="BINGO MEAT LOAF 48X100G (NEW)" u="1"/>
        <s v="PROMO-JINLI KOJIC ACID SOAP 45G w/ KERATINX48" u="1"/>
        <s v="CARP SOY SAUCE 19KG CARBOUY" u="1"/>
        <s v="(INACTIVE) BINGO BEEF LOAF 48X150G" u="1"/>
        <s v="(INACTIVE) WIN FL 1L+1FREE BBPW-LZ 55G 1:1 BY 12" u="1"/>
        <s v="(INACTIVE) SPEED BLUE 380Gx3'S+FREE BLUE 160G (3:1) x12" u="1"/>
        <s v="GARDENIA CHEESE TOASTIES POLYBAG" u="1"/>
        <s v="2 SM CT 85G+2 SMCCT 85G+1 FREE KN H&amp;S 100G" u="1"/>
        <s v="Cricket Firepower w/ Flex - Fluo (16's/tray) (9-33010103)" u="1"/>
        <s v="Natalicious Lychee 250mlx10" u="1"/>
        <s v="Pagoda Air Freshener Sberry" u="1"/>
        <s v="iColor ABKDT Color Protect Plus Keratic &amp; Lavander Oil 20ml 12'sx144x4" u="1"/>
        <s v="Mama Pina's Palm Oil 350ml x 36" u="1"/>
        <s v="PROMO-4 HIGHLANDS REGULAR CORNED BEEF 150G" u="1"/>
        <s v="JOLLY HEARTMATE BIG PESO SAVINGS PACK" u="1"/>
        <s v="Tipid Pack Speed SB 135g+Pow SB 55g" u="1"/>
        <s v="CDO SEA QUEST TUNA FLAKES HOT AND SPICY 180GX48" u="1"/>
        <s v="PROMO-2 HIGHLANDS GOLD CORNED BEEF 210G" u="1"/>
        <s v="(INACTIVE) Foodcrafters Hotdog Super King 1.2K x 8" u="1"/>
        <s v="H &amp; Y Peach 300gx20 (109)" u="1"/>
        <s v="RAIMOL TRIBOFILM ADDITIVE (12X320mL)" u="1"/>
        <s v="PRESA 11R22.5 16PR RIB PR101" u="1"/>
        <s v="CLARO 1L W/ FREE CDO MEAT LOAF 100GX12" u="1"/>
        <s v="Old Orchard Cranberry Raspberry 64oz" u="1"/>
        <s v="Jolly Pineapple Tidbits 567g" u="1"/>
        <s v="FISH BALL 1K" u="1"/>
        <s v="Snow Girl 24sx12" u="1"/>
        <s v="Brew Rite Coffee Filter 46-041 Cone 40 ct" u="1"/>
        <s v="Comstock Strawberry 21oz" u="1"/>
        <s v="(INACTIVE) CDO SEA QUEST TUNA FLAKES IN OIL 155GX48" u="1"/>
        <s v="Hello Kitty Box Candy 24sx40" u="1"/>
        <s v="SELECT SOY SAUCE 350ML PET X5'S + 1FREE 5:1" u="1"/>
        <s v="PERFECT SND PROMO PACKx18P" u="1"/>
        <s v="GOTYRE S.650-14 PR8 D.MILER" u="1"/>
        <s v="DANES HERB N GARLIC MAYO 220G X 24" u="1"/>
        <s v="SBD EXPLORE MEDIUM 12/12" u="1"/>
        <s v="Beybiko Baby Diapers Large 4's x 30" u="1"/>
        <s v="Chibog Jumbo Cheesedog 1kg - Free" u="1"/>
        <s v="Chooga Lychee Juice Drink 200ml" u="1"/>
        <s v="Select Soy 100mL x 5's+1Free SP 100mL 5:1" u="1"/>
        <s v="iColor Hair Dye Shampoo 30ml Chestnut Brown 10'sx12" u="1"/>
        <s v="PERFECT SNF PROMO PACKx18P" u="1"/>
        <s v="Mama Pina's Pancit Canton 227g x 5" u="1"/>
        <s v="Good Life Egg Noodles 400gX30" u="1"/>
        <s v="SAN MARINO TUNA FLAKES IN OIL 150GX48 (NEW)" u="1"/>
        <s v="Jolly Pcs &amp; Stems Mushroom 400gX24" u="1"/>
        <s v="JK TIRES 11R-22.5 16PR HWY JUC MIX" u="1"/>
        <s v="PROMO-CDO JAR 6 KN 60G+3 KN 100GX6" u="1"/>
        <s v="SAN MARINO CORNED TUNA 48X85G" u="1"/>
        <s v="Jolly Tropical Cocktail 850gX24" u="1"/>
        <s v="Old Orchard Hbalance Apple Cranberry Juice 64oz" u="1"/>
        <s v="SQUID RINGS 1KG" u="1"/>
        <s v="Jar-Wax Hard &amp; Mat 25gx48" u="1"/>
        <s v="SPEED 2kg Kalamansi Powderx6(new)" u="1"/>
        <s v="Fresh Melon Powder 24sx40" u="1"/>
        <s v="CJF X3000 ISW40 6X3" u="1"/>
        <s v="(INACTIVE) Cricket Mini Doggie Series (50's/tray) (4-12165023)" u="1"/>
        <s v="(INACTIVE) iColor Gift Set Black 25mlx 6 with FREE pouch,bowl &amp; brush" u="1"/>
        <s v="H &amp; Y Jellystick Promo Box 100's (221)" u="1"/>
        <s v="Perfect Cottony Soft N Dry Overnights 8x24" u="1"/>
        <s v="Promo-Fiona Bubbly Pink 100ml w/ Cool Burst 75ml x 24" u="1"/>
        <s v="PERFECT SOFT N FIT W/ WINGS 8SX36P" u="1"/>
        <s v="GARDENIA TOASTIES 25G X 24PACKS" u="1"/>
        <s v="SPEED Diswashing Liquid - Lemon 288X22Ml" u="1"/>
        <s v="Alcoplus Isopropyl 70% Classic 500ml x 24" u="1"/>
        <s v="(INACTIVE) Jimm's 3 plus 1 Coffee Mix with Ginseng 12's" u="1"/>
        <s v="OTSO CHOCOLATE SANDWICH 10'SX20 (601)" u="1"/>
        <s v="Perfect Cottony Soft N Fit w/ Wings 16x36 (B8T8)" u="1"/>
        <s v="OTSO ORANGE 10'SX20 (605)" u="1"/>
        <s v="AVIKO SHOESTRING 7MM FRIES 2.5KGX4" u="1"/>
        <s v="SUPER Q - Special Palabok 454g x 12" u="1"/>
        <s v="SWEET BABY PLUS - MINI PACK SML 4/36" u="1"/>
        <s v="Family Absorbent Cotton 100g" u="1"/>
        <s v="SAN MARINO TUNA FLAKES HOT &amp; SPICY 150GX48" u="1"/>
        <s v="CANOLA 1L PET SAVE 10 IN SELECT GT" u="1"/>
        <s v="SAN MARINO TUNA FLAKES HOT &amp; SPICY 180GX48" u="1"/>
        <s v="Cebu Longanisa(12pcs)230g x 36" u="1"/>
        <s v="MYBIDEL FRIES 1KGX10" u="1"/>
        <s v="Essen Mangosteen 500mg x 100s" u="1"/>
        <s v="LOTUS BISCOFF SPREAD CRUNCHY 190G" u="1"/>
        <s v="CDO KARNE NORTE 100G - PROMO" u="1"/>
        <s v="TENTAY 5+1 PATIS 150ML SULIT PACK" u="1"/>
        <s v="Nanay's Pork Siomai 480g x 18" u="1"/>
        <s v="KM 30 - CS: KONICA 30 INK (5L) - CLEANING SOLUTION (KONICA)" u="1"/>
        <s v="Vernel Antibac-Blue Sky Refill 1ltr" u="1"/>
        <s v="Cricket Elec Simplicity (25's/tray) (4-14162516)" u="1"/>
        <s v="Fiona Cool Burst 50mlx36" u="1"/>
        <s v="GENKI PANTS XXLARGE 36'SX3" u="1"/>
        <s v="(INACTIVE) DANES BACON CHEESE 35G (7+1 PROMO) x18" u="1"/>
        <s v="DOLUX Bleach 12X1000Ml" u="1"/>
        <s v="Doña Elena Al Dente Fusilli 500g" u="1"/>
        <s v="Fiona Bubbly Pink 50ml Spray x36" u="1"/>
        <s v="Promo - Grips Clay 5g 22+2 (Dagdag Kita)" u="1"/>
        <s v="Jolly Gelatin Corn Packx12" u="1"/>
        <s v="Brew Rite Coffee Filter # 2 Cone 40 ct" u="1"/>
        <s v="3in1 Super Coffee Mix TofCaramel 10x24x28g" u="1"/>
        <s v="SAN MARINO CORNED TUNA AFRITADA 155GX48 (NEW)" u="1"/>
        <s v="Cricket Firepower Mini BL1 (22's/tray) (9-34010101)" u="1"/>
        <s v="Grips Wax - Hard &amp; shiny 5gx12x36" u="1"/>
        <s v="DRYPLUS B.DIAPER TRIAL PACK SML 4'Sx72" u="1"/>
        <s v="LibY Dishwashing Liquid New Easy Remove Stain 500ml" u="1"/>
        <s v="Fruit Salad 125mlx24" u="1"/>
        <s v="Freeda Soft Cotton Day Use Individually Wrap 12's+1 x 36" u="1"/>
        <s v="DONA ELENA SPANISH SARDINES IN CORN OIL 228G" u="1"/>
        <s v="SPEED BBPW 2KGS+4FREE 55GMORE 150G 1:4" u="1"/>
        <s v="Chooga Apple Juice Drink 200ml" u="1"/>
        <s v="20 LITERS CONTAINER (DIRTY WHITE)" u="1"/>
        <s v="Arla Milk Goodness Strawberry 1Lx10" u="1"/>
        <s v="Home Care Vewin Sparkling Toilet Cleaner Lavander 500ml" u="1"/>
        <s v="ALIBABA FISH CRACKER 35GX50'S" u="1"/>
        <s v="(INACTIVE) PROMO-KERATIN PLUS GOLD 20G 10+2" u="1"/>
        <s v="Fundador Solera 1L x 12" u="1"/>
        <s v="DONA ELENA SPANISH SARDINES IN MILD SPICY OLIVE OIL 228G" u="1"/>
        <s v="(INACTIVE) DANES CHEESE SPREAD 24 X 220G" u="1"/>
        <s v="(INACTIVE) SFC 380G+1FREE BBPW-LZ 55g x 36" u="1"/>
        <s v="ARLA CHEESY SPREAD LIGHT 240G" u="1"/>
        <s v="KeratinPlus Shampoo Hair Fall Control 22ml x 12's" u="1"/>
        <s v="VFRESH WINTERCOOL JAR 100'SX12 (1988)" u="1"/>
        <s v=".04 10x15greenCALYP1000s (GJC)" u="1"/>
        <s v="MYCOCO W/ COOKIE BITS 20'SX24 (912)" u="1"/>
        <s v="Dona Elena Pitted Black Olives 140g" u="1"/>
        <s v="WINROX Bleach - Fresh Flower 4X1Gallon" u="1"/>
        <s v="CHICKBOY Texas Smoked BBQ 100g x 40/box" u="1"/>
        <s v="Ego Pudding Jellystick 12 x 30pks (998)" u="1"/>
        <s v="Pork Lumpiang Shanghai Negosyo Pack 800g x 8" u="1"/>
        <s v="ARLA CHEESY SPREAD CHEDDAR 240G" u="1"/>
        <s v="BUDGET SF 65gx6's+Free Budget Powder PB 65g 6:2" u="1"/>
        <s v="CDO BINGO CORNED BEEF 150GX48" u="1"/>
        <s v="CJF SWALLOW 750-15 S253" u="1"/>
        <s v="Perfect Minipads 20sx48" u="1"/>
        <s v="CDO CHICKEN LUNCHEON MEAT 350G X 24" u="1"/>
        <s v="PROMO-KARNE NORTE 150G" u="1"/>
        <s v="Gelee MangoNata 24sx20" u="1"/>
        <s v="SMCTR150GX3_SAVE P6.00 S&amp;M PROMO" u="1"/>
        <s v="Fiona Pretty Mist 50mlx36" u="1"/>
        <s v="Pagoda Air Freshener Lime" u="1"/>
        <s v="CHICKBOY POP-Strings Chili Garlic 8G X 12 X 20 pack" u="1"/>
        <s v="Empress Advance Keratin Stunning Straight (11+1)" u="1"/>
        <s v="Foodcrafters Burger Patties(8pcs)240g x 32" u="1"/>
        <s v="Fiona Cool Burst 25mlx36" u="1"/>
        <s v="Heart Gummy 250gx30" u="1"/>
        <s v="TENTAY PATIS FLAVOR 1L PE" u="1"/>
        <s v="(INACTIVE) SAN MARINO CHILI CORNED TUNA 48X100G" u="1"/>
        <s v="HUE SPEND LESS FOR COMPLETE IC (BURGUNDY+ARGAN) 25ML" u="1"/>
        <s v="3IN1 SUPER COFFEEMIX SALT. CRML 10X24X25G - 2+1" u="1"/>
        <s v="Beybiko Baby Diapers Large 30's x 6" u="1"/>
        <s v="Langnese Bee Easy Wildflower Honey 500g" u="1"/>
        <s v="PINOY FIESTA MEATY MIX 220G" u="1"/>
        <s v="Dona Elena Extra Virgin Oil 250mlx12" u="1"/>
        <s v="EL REAL SPAGHETTI 90 X 200G (SAMPLE PACK)" u="1"/>
        <s v="HEADER PAMINTA COMBO (PRINTWISE)" u="1"/>
        <s v="CHIPS DELIGHT CHOCOLATE CHIP COOKIES 20GX24X12 (DLP)" u="1"/>
        <s v="ER Saver Small Shell 8 x 5 kg" u="1"/>
        <s v="Marinated Chicken Wings Spicy Garlic 1kg" u="1"/>
        <s v="Empress Shampoo Smooth &amp; Shinny 21ml x 12 x 24 pck" u="1"/>
        <s v="Alcoplus Ethyl 70% Classic 250ml x 48" u="1"/>
        <s v="(INACTIVE) SAN MARINO CHILI CORNED TUNA 48X180G" u="1"/>
        <s v="Fiona Rosy Red 25ml 6pcs w/ Free 1doz gel Sachet" u="1"/>
        <s v="Promo-Deoplus Tawas Powder 50g 24+6 (Save 37.50)" u="1"/>
        <s v="CDO BEEFIO L.BEEF 24X350G (with hashed beef)" u="1"/>
        <s v="(INACTIVE) Nanay's Skinless Longanisa 1kg x 10" u="1"/>
        <s v="CDO LIVER SPREAD 48X85G (OLD)" u="1"/>
        <s v="CHIPS DELIGHT RAINBOW &amp; CHOCOLATE CHIP COOKIES 80GX48" u="1"/>
        <s v="GARDENIA US600 WITH MILO 24GX2" u="1"/>
        <s v="(INACTIVE) Mama Pina's Bundle A" u="1"/>
        <s v="Bertolli Extra Virgin Olive Oil 250ml" u="1"/>
        <s v="EGG BITES PLAIN 30GX60" u="1"/>
        <s v="(INACTIVE) Tipid Pack Speed White 135g+Pow FR 55g x 40" u="1"/>
        <s v="Tipid Pack Speed Kal 135g+Pow FR 55g" u="1"/>
        <s v="Chooga Mango Juice Drink 250ml" u="1"/>
        <s v="Dona Elena Pitted Black Olives 310g" u="1"/>
        <s v="(INACTIVE) Grips Hair Clay 5gx6x36" u="1"/>
        <s v="MAMA PINA'S BUNDLE D (1B1C1P350) x6" u="1"/>
        <s v="SPEED 55g Babad Fresh Roses Powderx192" u="1"/>
        <s v="PROMO-ALCOPLUS ADVANCE SANITIZER 500ML W/ 40ML SPRAY" u="1"/>
        <s v="Dutch Cleanser Blue(Fresh)350g Refillx48" u="1"/>
        <s v="BUDGET KALAMANSI 360G DET BAR X 36" u="1"/>
        <s v="1LITER BOX PALM TIE UP (EXT)" u="1"/>
        <s v="BIHON (LNP)" u="1"/>
        <s v="2LITERS BOTTLE PALM YELLOW (MBC)" u="1"/>
        <s v="BUDGET Purple Blossom 380g Det.Barx36" u="1"/>
        <s v="HUE SPEND LESS FOR COMPLETE IC (DARK BROWN+ARGAN) 25ML" u="1"/>
        <s v="SOO-YOUNG KOJIC ACID SOAP 60G TRIOx48" u="1"/>
        <s v="SPEED 2KGS BABAD FC W/ POWER WHITENER POWDER FL x6 (new)" u="1"/>
        <s v="Jolly Claro PET 2L w/free Jolly Claro PET 250ml" u="1"/>
        <s v="3IN1 SUPER COFFEEMIX TOFCARAMEL 10X24X28G - LESS 33%" u="1"/>
        <s v="CDO BINGO CORNED BEEF 48X150G" u="1"/>
        <s v="(INACTIVE) PROMO-KERATIN PLUS BLACK 20G 10+2" u="1"/>
        <s v="DEESTONE 7.50-15 D102 RIB 14PR" u="1"/>
        <s v="Sil Spray Starch 48x250ml" u="1"/>
        <s v="CJF AS403 BRAKE FLUID" u="1"/>
        <s v="SELECT Sukang Puti 4X1Gal" u="1"/>
        <s v="DAILYFIX NUTTY AND NICE TRAIL MIX 100G" u="1"/>
        <s v="SPEED 1kg Sunflower Burst Powderx12" u="1"/>
        <s v="(INACTIVE) SAN MARINO CHILI CORNED TUNA 48X150G 1" u="1"/>
        <s v="(INACTIVE) HIGHLANDS CORNED BEEF EASY-OPEN 48X150G" u="1"/>
        <s v="(INACTIVE) SAN MARINO CHILI CORNED TUNA 48X150G 2" u="1"/>
        <s v="SBD SUPREME COMFORT MEDIUM 12/12" u="1"/>
        <s v="Family Absorbent Cotton 50g" u="1"/>
        <s v="SMILEYS CHOCOLATE 65GX60 (SLUGPACK)" u="1"/>
        <s v="Jimm's 5 in 1 Coffee Mix - Stand Up Pouch 400g x 24" u="1"/>
        <s v="CHICKEN BALL 250G (1/4K)" u="1"/>
        <s v="Catelli Lasagne 500g" u="1"/>
        <s v="SPEED BBSB 2kgs+Free HAMPER" u="1"/>
        <s v="Sweetbaby Premium Wipes w/ Aloe 30`sx48P" u="1"/>
        <s v="(INACTIVE) SPEED 55GMORE BLUE 150G X5'S+1 FREE 5:1" u="1"/>
        <s v="GOOD LIFE EGG NOODLES 1KG 2" u="1"/>
        <s v="H &amp; Y Lychee Conjac Jelly 160gx20 (101B)" u="1"/>
        <s v="GARDENIA DOUBLE DELIGHTS (UBE &amp; CHEESE) 400g" u="1"/>
        <s v="SPEED DAGDAG BLUE 145G BAR X 96" u="1"/>
        <s v="DANES CHEESE SWEET AND CREAMY 165Gx24" u="1"/>
        <s v="Dona Elena Olive Oil Pomace 500mlx12" u="1"/>
        <s v="Nissin Chicken Bowl 103gmx12" u="1"/>
        <s v="3IN1 SUPER COFFEEMIX HAZELNUT 10X24X28G - 2+1" u="1"/>
        <s v="Delicious Macaroni 5k-Shell Big" u="1"/>
        <s v="Minola P. Edible Oil Pouch 925ml x 12" u="1"/>
        <s v="Speed 1kg Babad FC w/ Power Whitener Powder FL x 12" u="1"/>
        <s v="Nanays Pork Tocino Ham 230g x 36" u="1"/>
        <s v="(INACTIVE) SAN MARINO CORNED TUNA AFRITADA 155GX48" u="1"/>
        <s v="KAMI BTR 2PLY 150PULLS 300S 48'SX3P" u="1"/>
        <s v="ER YAKAP SARAP BUNDLE PACK 14X900G" u="1"/>
        <s v="Foodcrafters Hotdog Jumbo 2.5kg x 4" u="1"/>
        <s v="Pic Poc Strawberry 250ml" u="1"/>
        <s v="SPEED 2kg Babad Fresh Roses Powderx6" u="1"/>
        <s v="Jolly Pcs &amp; Stems Mushroom 850gx24" u="1"/>
        <s v="CDO CORNED BEEF HOME STYLE 260GX48" u="1"/>
        <s v="Doña Elena 100% Tuna Chunks in Sunflower Oil, 185g" u="1"/>
        <s v="SBD SUPREME COMFORT LARGE 4/36" u="1"/>
        <s v="CDO KARNE NORTE 48X260G" u="1"/>
        <s v="Morinji 500mg x 100s" u="1"/>
        <s v="Family Dishwashing Liquid Lemon 1L" u="1"/>
        <s v="(INACTIVE) Mama Pina's Bundle B" u="1"/>
        <s v="CDO CHICKEN MEAT LOAF 150G X 48" u="1"/>
        <s v="Pagoda Pure Acetone 15ml" u="1"/>
        <s v="CIOCO MARIE 30'SX12 (645)" u="1"/>
        <s v="DON FRANK STRAWBERRY GUMALAN 24GX10'SX24" u="1"/>
        <s v="(INACTIVE) WIN FF 1L+1FREE BBPW-LZ 55G 1:1 BY 12" u="1"/>
        <s v="Cricket Orig Blister Pack 2s (12's/tray) (ED-1 Original)" u="1"/>
        <s v="Brooke Farm Whole Kernel Corn 425g x 24" u="1"/>
        <s v="Mama Pina`s Boneless Bangus Singles XL(1)" u="1"/>
        <s v="OIL BOTTLE 1 LITER NUTRITYPE (MC BRIDE)" u="1"/>
        <s v="KAPSEN 12.00R20 20PR MINING LUG HS801Q" u="1"/>
        <s v="BINGO ALL PURPOSE DRESSING 3.5X4" u="1"/>
        <s v="HIGHLANDS CORNED BEEF GOLD 260GX48" u="1"/>
        <s v="Family Cotton Balls 50`s" u="1"/>
        <s v="GENKI PANTS LARGE 50'SX3" u="1"/>
        <s v="DAILYFIX STRAWBERRY &amp; YOGURT 350G 2" u="1"/>
        <s v="PROMO-KERATIN PLUS GOLD 20G 10+2" u="1"/>
        <s v="DON FRANK ORANGE GULAMAN 24GX10'SX24" u="1"/>
        <s v="ARLA CHEESY SPREAD 140G" u="1"/>
        <s v="RESTOBAR PLASTIC SPOON 25'Sx50" u="1"/>
        <s v="SWEET BABY PLUS - TRAVEL PACK LGE 12/12" u="1"/>
        <s v="Chibog Jumbo Cheesedog 1kg x 10" u="1"/>
        <s v="(INACTIVE) Mama Pina's Bihon 454g x 12" u="1"/>
        <s v="Icolor Organic Hair Dye Shampoo 25ml Black 10'sx12" u="1"/>
        <s v="DONA ELENA 100% TUNA SHREDDED IN SUN FLOWER OIL 100G" u="1"/>
        <s v="SPEED KAL 55Gx5'S+1FREE 5:1" u="1"/>
        <s v="Crumpy Breadspread Nut 225g" u="1"/>
        <s v="Wilderness Royal Blueberry 21oz" u="1"/>
        <s v="(INACTIVE) CDO CORNED BEEF 48X150G" u="1"/>
        <s v="Foodcrafters Super Kingsize 1.5kg" u="1"/>
        <s v="Jolly Canola Oil 1Lx12" u="1"/>
        <s v="(INACTIVE) CDO BINGO CORNED BEEF 150GX48" u="1"/>
        <s v="Motts 100% Apple Juice 64 oz." u="1"/>
        <s v="ER REAL SPAGHETTI 12 X 900g" u="1"/>
        <s v="(INACTIVE) HIGHLANDS CORNED BEEF 48X100G" u="1"/>
        <s v="DEESTONE 185/65R15 NAKARA R201 88H" u="1"/>
        <s v="DANES CHEESE BLOCK 12X450G" u="1"/>
        <s v="Nanay's Beef Tapa Garlic &amp; Pepper 250g x 32" u="1"/>
        <s v="CJF BATTERY 4D CHAMPION" u="1"/>
        <s v="Delicious Spaghetti 5k" u="1"/>
        <s v="SPEED CUT BAR KALAMANSI 6+1" u="1"/>
        <s v="1 Dona Elena Extra Virgin 500ml + 1 Pure 250ml" u="1"/>
        <s v="3 KARNE NORTE 100GX16" u="1"/>
        <s v="(INACTIVE) Tipid Pack Speed Kal 135g+Pow Kal 55g" u="1"/>
        <s v="iColor Gift Set Light Brown 30ml x 5 with FREE pouch,bowl &amp; brush" u="1"/>
        <s v="SOO-YOUNG KOJIC ACID SOAP 90G TRIOx48" u="1"/>
        <s v="CDO KARNE NORTE 60GX24 (6's) N" u="1"/>
        <s v="Dryplus MOM&amp;BABY PROMO PACK XXL 16+8 PADS" u="1"/>
        <s v="Chooga Apple Juice Drink 250ml" u="1"/>
        <s v="SALMON HEAD 1KG (L)" u="1"/>
        <s v="SALMON HEAD 1KG (M)" u="1"/>
        <s v="(INACTIVE) Speed BBFR 55gx5's+1FREE 5:1" u="1"/>
        <s v="Jelly Cup Clear Bucket 14gx220sx4" u="1"/>
        <s v="Fiona Ice Glacier 50ml Spray x36" u="1"/>
        <s v="Gatorade Tropical Fruit 1.5Lx12" u="1"/>
        <s v="Jolly Garbanzos 425gx24" u="1"/>
        <s v="SAN MARINO CORNED TUNA ADOBO 155GX48 (NEW)" u="1"/>
        <s v="LibY Dishwashing Liquid Green Tea (Translucent) 1100ml" u="1"/>
        <s v="(INACTIVE) DANES CLASSIC CHEESE BLOCK 24X180G - OLD" u="1"/>
        <s v="Chicken Lumpiang Shanghai 800g x 8" u="1"/>
        <s v="(INACTIVE) Mama Pina's Bundle C" u="1"/>
        <s v="(INACTIVE) PROMO-KERATIN PLUS LUXURIOUS RED 20G 10+2" u="1"/>
        <s v="SPEED Diswashing Liquid - Lemon 36X190Ml" u="1"/>
        <s v="(INACTIVE) PROMO-2 MAMA PINA'S PALM OIL 500ML FREE ALIBABA BISCUITS" u="1"/>
        <s v="CARP SUKANG SASA 1L PET" u="1"/>
        <s v="350ML BOTTLE PALM (MBC)" u="1"/>
        <s v="Delicious Spaghetti 1/2klx20" u="1"/>
        <s v="PINOY FIESTA SMOKED CHICKEN LONGANISA 200G" u="1"/>
        <s v="SELECT Cane Vinegar 144x60ml" u="1"/>
        <s v="(INACTIVE) MEN2 CORP - DELIVERY RECEIPT" u="1"/>
        <s v="FCI Marinated Chicken Skin 500g" u="1"/>
        <s v="(INACTIVE) SM PREM. MACKEREL IN NATURAL OIL 165GX100 (EO)" u="1"/>
        <s v="SWEET NATA DE COCO (RED) 24X12OZX340G" u="1"/>
        <s v="(INACTIVE) HIGHLANDS CORNED BEEF 48X150G" u="1"/>
        <s v="Bragg Apple Cider Vinegar 32ozx12" u="1"/>
        <s v="2CDOHSCB150G+1CDOHSCG150G-GANADOPROMO" u="1"/>
        <s v="WINROX Bleach - Fresh Flower 48X250Ml" u="1"/>
        <s v="CDO VIENNA SAUSAGE 48X70G" u="1"/>
        <s v="DEESTONE 7.50-16 D102 RIB 14PR" u="1"/>
        <s v="DONA ELENA CLASSIC GREEN PESTOSAUCE 190G" u="1"/>
        <s v="Arla Organic Powdered Milk Drink 2L Pack x24" u="1"/>
        <s v="GARDENIA ROCKY ROAD CREAM ROLL 50G" u="1"/>
        <s v="POTCHI GUMMY WORM JAR 120'SX12 (749)" u="1"/>
        <s v="PINOY FIESTA LUMPIANG SHANGHAI (PORK) 200G" u="1"/>
        <s v="KeratinPlus Black Tube 200g x 24 pcs" u="1"/>
        <s v="H &amp; Y Mango Pudding 160gx40 (117A)" u="1"/>
        <s v="H &amp; Y Taro Ube Conjac Jelly 160gx20 (105B)" u="1"/>
        <s v="SPEED BBFR 1KG + 2 FREE 55G MORE 150G 1:2" u="1"/>
        <s v="SWEET BABY PLUS - TRAVEL PACK XL 12/12" u="1"/>
        <s v="SAN MARINO TUNA FLAKES HOT &amp; SPICY 150GX48 (NEW)" u="1"/>
        <s v="Nanays Pork Tocino Ham 480g" u="1"/>
        <s v="DANES CHEESE IN CADDY BOX 35GX144" u="1"/>
        <s v="Jolly Coconut Milk 400ml" u="1"/>
        <s v="Dona Elena Whole Peeled Canned Tomato 400g" u="1"/>
        <s v="Fiona Cool Burst 100mlx24" u="1"/>
        <s v="CDO BEEFIO LUNCHEON BEEF 24X350G" u="1"/>
        <s v="BIGTIME CHEESE 450GX12" u="1"/>
        <s v="(INACTIVE) MAMA PINA'S PALM OIL 1L W/ FREE 1 PC SELECT SOY 200ML" u="1"/>
        <s v="(INACTIVE) HIGHLANDS CORNED BEEF 48X180G" u="1"/>
        <s v="Negosyo Pack Siomai 500g All Chicken x 20" u="1"/>
        <s v="Jimm's 5 in 1 Coffee Mix - No Sugar Added 10'sx30ties" u="1"/>
        <s v="Nanays Ham Pork Tocino 250g" u="1"/>
        <s v="CDO KARNE NORTE 48X100G" u="1"/>
        <s v="SBD EXPLORE MEDIUM 22/12" u="1"/>
        <s v="SELECT Soy Sauce 48X200Ml with Spout" u="1"/>
        <s v="Nissin Seafood Cup 75gmx24" u="1"/>
        <s v="SM PREM. MACKEREL IN T. SAUCE 165GX100 (EO)" u="1"/>
        <s v="Nanays Beef Tapa Garlic &amp; Pepper 480g" u="1"/>
        <s v="Richoco Big Rolls 330gx6pcs" u="1"/>
        <s v="SweetBaby Supreme Comfort Large20/12 w/ 3Pads " u="1"/>
        <s v="SPEED 2KGS BABAD FRESH ROSES POWEDER FL x6" u="1"/>
        <s v="(INACTIVE) CDO KARNE NORTE CLASSIC 48X175G" u="1"/>
        <s v="Jolly Soya Oil 2Lx6" u="1"/>
        <s v="MONAMI STRAWBERRY &amp; CREAM 50+3'SX40 (965)" u="1"/>
        <s v="SBD SUPREME COMFORT X-LARGE 10/12" u="1"/>
        <s v="(INACTIVE) AVIKO CRINKLE CUT 2.5KGX4" u="1"/>
        <s v="DON FRANK MELON JELLY 30GX10'SX24" u="1"/>
        <s v="CHICKBOY POP-NIK Garlic 8G X 12 X 20 pack" u="1"/>
        <s v="DEESTONE 7.50 R16LT SV402 RIB 14PR 122/121L" u="1"/>
        <s v="Select 1L Partner Pack3(Soy&amp;Vin) x6" u="1"/>
        <s v="CDO LIVER SPREAD 85G - PROMO" u="1"/>
        <s v="SPEED 90G BABAD FC W/ POWER WHITENER POWDER FL x96" u="1"/>
        <s v="BUDGET Detergent Bar - White 36X390G" u="1"/>
        <s v="CHIPS DELIGHT CHOCOLATE STRIPED COOKIES 70GX48" u="1"/>
        <s v="CDO BINGO KARNE NORTE 48X100G" u="1"/>
        <s v="Jolly Garbanzos 225gx24" u="1"/>
        <s v="SMILEY CHOCO 32GX10X20 (POLYBAG)" u="1"/>
        <s v="GARDENIA INDOMIE MI GORENG HOT &amp; SPICY" u="1"/>
        <s v="iColor Hair Dye Shampoo Dark Brown 30ml 10'sx48" u="1"/>
        <s v="Promo - Deoplus Deodorant Powder 80g w/ Free Puff" u="1"/>
        <s v="19L Carboy Select Sukang Puti x 1" u="1"/>
        <s v="SPEED BABAD FRESH ROSES 2KG + 2FREE" u="1"/>
        <s v="H &amp; Y Cola Mini Candy 24's x 40 pks (619)" u="1"/>
        <s v="OX TONGUE 1KG" u="1"/>
        <s v="CDO VIENNA SAUSAGE CLASSIC 48X70G (NEW)" u="1"/>
        <s v="SWEET KAONG (WHITE) 24X12OZX340G" u="1"/>
        <s v="Protec Disinfectant Spray - Fresh Citrus 250mlx12 w/ Alcohol" u="1"/>
        <s v="CREAM DORY (SEMI-TRIMMED) 1KG" u="1"/>
        <s v="ER Flat Spaghetti 12 x 1 kg (77762)" u="1"/>
        <s v="CHIPS DELIGHT CHOCOLATE CHIP COOKIES 200GX24 (ECO)" u="1"/>
        <s v="CHIPS DELIGHT STRIPED CAPUCCINO COOKIES 70GX48" u="1"/>
        <s v="H &amp; Y Sofee Assorted Jelly Strips 24's x 26 packs (233)" u="1"/>
        <s v="(INACTIVE) PROMO-CDO KARNE NORTE 150G FREE 1 BINGO CB 60G" u="1"/>
        <s v="(INACTIVE) DANES CHEESE 35G (7+1 PROMO) x18" u="1"/>
        <s v="CAP GREEN (MBC)" u="1"/>
        <s v="Super Save Macaroni 5k-Dancing Elbow" u="1"/>
        <s v="Arla Organic Powdered Milk Drink 6L Pack" u="1"/>
        <s v="GLADLY BATHROOM TISSUE 300+10 PULLS FREE 6'Sx16" u="1"/>
        <s v="SPEED Detergent Bar - Blue 36X380G" u="1"/>
        <s v="DRYPLUS B.DIAPER ECONO PACK M 30'S+4x8" u="1"/>
        <s v="TRAVELER ADULT DIAPER M-L 2'Sx60" u="1"/>
        <s v="Promo - Grips Gel Clear60g3+2 (Save P8.70)" u="1"/>
        <s v="(INACTIVE) SPEED Specked Blue 380g+35g Babad w/FC Free(1:1)" u="1"/>
        <s v="DAILYFIX BERRY SPECIAL 700G" u="1"/>
        <s v="BUDGET FABCON 360G DET BAR X 36" u="1"/>
        <s v="(INACTIVE) PROMO-4 MAMA PINA'S PALM OIL 350ML FREE ALIBABA BISCUITS" u="1"/>
        <s v="JOLLY Cherry Milk Baby Bath 18ml x 288" u="1"/>
        <s v="Banana Gummy 250gx30" u="1"/>
        <s v="HIGHLANDS CORNED BEEF REGULAR 150GX48" u="1"/>
        <s v="CHICKBOY POP-Strings Queso 8G X 12 X 20 pack" u="1"/>
        <s v="Gatorade Lemon 500mlx24" u="1"/>
        <s v="Jolly Heart Mate Canola Oil SUP 2L" u="1"/>
        <s v="Lumpiang Shanghai Negosyo Pack 400g x 18" u="1"/>
        <s v="GOODTYRE S.10.00R20 PR18 D.Y8268 MIX TTF SET" u="1"/>
        <s v="Alcoplus Isopropyl 70% Classic 150ml x 48" u="1"/>
        <s v="Family Dishwashing Liquid Lemon 1.5L" u="1"/>
        <s v="GARDENIA DELIZIO CAFFINO CLASSIC LATTE 30GX24'SX10" u="1"/>
        <s v="DAILYFIX STRAWBERRY &amp; YOGURT 700G" u="1"/>
        <s v="WINROX Bleach - Elegant Breeze 72X100Ml" u="1"/>
        <s v="Grips Wax Promo 12+2 Hard &amp; Mat 5gx36" u="1"/>
        <s v="LANGNESE GOLDEN CLEAR HONEY 125G" u="1"/>
        <s v="Alcoplus HandSanitizer Gel w/ Moist. 60mlx36" u="1"/>
        <s v="(INACTIVE) CDO KN CLASSIC PACK 60GX24 (SINGLE)" u="1"/>
        <s v="Pink Lava Wafer MLBB 50gx60pcs" u="1"/>
        <s v="(INACTIVE) SMCTR180GX3_SAVE P7.50 S&amp;M PROMO" u="1"/>
        <s v="(INACTIVE) PROMO-2 PCS BIGTIME NEGOSYO CHEESE 165G FREE 1 CBEEF 60G" u="1"/>
        <s v="WINROX Bleach - Fresh Flower 72X100Ml" u="1"/>
        <s v="Good Life Oyster Sauce 630 ml" u="1"/>
        <s v="CAP YELLOW (MBC)" u="1"/>
        <s v="(INACTIVE) 1 DANES BACON CHEESE 180GX24" u="1"/>
        <s v="(INACTIVE) PROMO-KERATIN PLUS SH DAILY NOURISHING 22ML 10+2" u="1"/>
        <s v="VFRESH WINTERCOOL BIG PACK 250'SX10 (773)" u="1"/>
        <s v="(INACTIVE) SAN MARINO CHILI CORNED TUNA 100G - PROMO" u="1"/>
        <s v="DEESTONE 12.00-20 LUG" u="1"/>
        <s v="Sweet Baby Diapers XXL 10+2Sx12P" u="1"/>
        <s v="Frozen Trio Pack (LumShang+SknLonga+ChickEmb)" u="1"/>
        <s v="(INACTIVE) GENERIC - DELIVERY RECEIPT" u="1"/>
        <s v="Speed Dagdag SB 150g x 6's + 1FREE by 16" u="1"/>
        <s v="(INACTIVE) KeratinPlus Black 20g x 12's x 24 Pack w/ Iso 40% 60ml" u="1"/>
        <s v="SAN MARINO TUNA FLAKES IN OIL 180GX48" u="1"/>
        <s v="FRENCH FRIES (MYDIBEL) 1KG X 10" u="1"/>
        <s v="Old Orchard Cranberry Juice 64oz." u="1"/>
        <s v="DONA ELENA SPANISH SARDINES IN MILD SPICY CORN OIL 228G" u="1"/>
        <s v="Old Orchard Ruby Red Grapefruit 64oz" u="1"/>
        <s v="OIL BOTTLE 500 ML (MC BRIDE)" u="1"/>
        <s v="LOTUS BISCOFF SPREAD SMOOTH 400G" u="1"/>
        <s v="SPEED KALAMANSI 360G DET. BAR X 36" u="1"/>
        <s v="PROMO-4 SMCTR 150G RSCI" u="1"/>
        <s v="BUDGET Citrus Scent 380g Det.Barx36" u="1"/>
        <s v="SPEED 55G MORE FABCON 150G BARX96" u="1"/>
        <s v="Winrox FL 1L + 1FREE BBPW 55G 1:1" u="1"/>
        <s v="GARDENIA TWIGGIES YELLOW CAKE (in POLYBAG 8X20G)" u="1"/>
        <s v="Cricket Orig Matte (25's/tray) (4-11162570)" u="1"/>
        <s v="Fiona Col Assrtd 100mlx24 w/ Free Face Towel" u="1"/>
        <s v="Alcoplus Ethyl 70% Alcohol 1 Gallon x 4" u="1"/>
        <s v="RAIMOL MEGA GOLD 5W40 SM/CJ4 (6X4)" u="1"/>
        <s v="PROMO-CDO LM 350GX2" u="1"/>
        <s v="Jolly Pineapple Chunks 225gx24" u="1"/>
        <s v="HIGHLANDS CORNED BEEF GOLD 320GX24" u="1"/>
        <s v="3IN1 SUPER COFFEEMIX WHITE 10X24X28G - 2+1" u="1"/>
        <s v="SELECT SOY 340ML ETC + SP 340ML 1:1" u="1"/>
        <s v="HAPPY DAY PINK GUAVA 1L" u="1"/>
        <s v="(INACTIVE) Mine Hazelnut Choco Bar 20g" u="1"/>
        <s v="MEN2 CREAM DORY 1KG (8256503052370)" u="1"/>
        <s v="CHIPS DELIGHT REDUCED SUGAR CHOCOLATE CHIP COOKIES 130GX24" u="1"/>
        <s v="(INACTIVE) Nanay's Pork Tapa Garlic &amp; Pepper 1kg x 10" u="1"/>
        <s v="CJF 8.25-20 RIB 14PR D MASTER" u="1"/>
        <s v="MYBIDA COMBO MIX 10'SX20 (657)" u="1"/>
        <s v="CDO VIENNA SAUSAGE CLASSIC 48X114G" u="1"/>
        <s v="OBERON G53 5KG" u="1"/>
        <s v="Fiona Sweet Breeze 100x24" u="1"/>
        <s v="(INACTIVE) GARDENIA NEUBAKE SPANISH BREAD PRICE OFF" u="1"/>
        <s v="PROMO-2 CDO KN 100G+2 CDO ML 100G" u="1"/>
        <s v="(INACTIVE) MEN2 SOL - SALES INVOICE" u="1"/>
        <s v="SM PREM. MACKEREL IN SWEET &amp; SOUR 165GX100 (EO)" u="1"/>
        <s v="Crumpy Breadspread Duo 225g" u="1"/>
        <s v="Richeese Wafer 22g x 20ib x 10pcs" u="1"/>
        <s v="Gatorade Green Apple 500mlx24" u="1"/>
        <s v="Chooga Mango 250ml w/ 1pc DatuPuti Soy Sauce 100ml" u="1"/>
        <s v="J.LEMON PET 1.5Lx12" u="1"/>
        <s v="WISHBONE CHUNKY BLUE CHEESE DRESSING 15OZ" u="1"/>
        <s v="MOTT's 100% APPLE JUICE 11.5oz (340ml)" u="1"/>
        <s v="DON FRANK CHOCOLATE JELLY 30GX10'SX24" u="1"/>
        <s v="Jolly Claro Palm Oil 500ml SUP" u="1"/>
        <s v="6 CDO KARNE NORTE 60G W/ FREE 20 TEXTS" u="1"/>
        <s v="(INACTIVE) CDO KARNE NORTE CLASSIC 48X150G" u="1"/>
        <s v="PACKAGING CANTON (MPI)" u="1"/>
        <s v="GENKI TAPE MEDIUM 75'SX3" u="1"/>
        <s v="Fiona Sweet Breeze 25mlx36" u="1"/>
        <s v="Langnese Golden Clear Honey 125g 2" u="1"/>
        <s v="Nanays Beef Tapa Sweet &amp; Spicy 480g" u="1"/>
        <s v="2PCS JOLLY WHOLE MUSHROOM 400G SAVE P7" u="1"/>
        <s v="DANES CHEESE 35G (7+1 PROMO) x18" u="1"/>
        <s v="H &amp; Y Sofee Assorted Jelly 100's x 6 pks (265)" u="1"/>
        <s v="Chicken Lumpiang Shanghai 400g x 18" u="1"/>
        <s v="SBD SUPREME COMFORT MEDIUM 4/36" u="1"/>
        <s v="Jimm's Oil Liniment 30ml x 100 Bot" u="1"/>
        <s v="SAN MARINO TUNA FLAKES IN HOT &amp; SPICY 48X180G" u="1"/>
        <s v="MADE FOR YOU MIX&amp;MATCH IC (C.NUT BROWN+WILDCHERRY) 25ML" u="1"/>
        <s v="Ecopal Btr 2ply 12`s x 8" u="1"/>
        <s v="SWEET BABY DIAPER REGULAR MEDIUM 60/6" u="1"/>
        <s v="Jolly Tomato Paste 150g" u="1"/>
        <s v="ROOTBEER PET 1.5Lx12" u="1"/>
        <s v="SPEED POWDER KALAMANSI 55G 6+1" u="1"/>
        <s v="PINOY FIESTA SMOKED PORK LONGANISA 220G" u="1"/>
        <s v="(INACTIVE) SELECT SOY SAUCE 350ML PET X5'S + 1FREE 5:1" u="1"/>
        <s v="Jolly Real Mayonnaise 443.60ml x12" u="1"/>
        <s v="DURACELL EVERYDAY ALKALINE HBDCAAA10" u="1"/>
        <s v="DailyFix Berry Special 350g" u="1"/>
        <s v="(INACTIVE) GARDENIA CLUSTERED CHEESE BUNS PLUS BEAR BRAND" u="1"/>
        <s v="Brooke Farms Rice Flour 500gmx20" u="1"/>
        <s v="GUMBALLS 50'SX40 (816)" u="1"/>
        <s v="Sweetbaby Premium Wipes w/ Aloe 64`sx24P" u="1"/>
        <s v="SWEET NATA DE COCO (WHT) 12X24OZX680G" u="1"/>
        <s v="Foodcrafters Hotdog Classic(32pcs)1kg" u="1"/>
        <s v="KING JOY 24sx12" u="1"/>
        <s v="Chooga Grape Juice Drink 200ml" u="1"/>
        <s v="2Jolly Cow Condensada 390g w/free 1Pc Gulaman" u="1"/>
        <s v="(INACTIVE) KeratinPlus Gold 20g x 24 packs 11 + 1 promo" u="1"/>
        <s v="3IN1 SUPER COFFEEMIX WHITE 10X24X28G - FREE" u="1"/>
        <s v="Foodcrafters Honeycured Bacon 250g" u="1"/>
        <s v="DON FRANK BUKO PANDAN GULAMAN 25GX10'SX24" u="1"/>
        <s v="Fiona Rosy Red 50mlx36 Spray" u="1"/>
        <s v="KONICA - C: KONICA INK - YELLOW (KONIKA)" u="1"/>
        <s v="Mama Pina`s Boneless Bangus Triplets M(3)" u="1"/>
        <s v="DEESTONE 195R14C KACHA R101 8PR 106/104P" u="1"/>
        <s v="Perfect Minipads 20sx48x2  B1T1" u="1"/>
        <s v="HIGHLANDS CORNED BEEF 48X180G (E.O)" u="1"/>
        <s v="POWERTUBE 7.00/7.50-16 MADE IN KOREA" u="1"/>
        <s v="(INACTIVE) 6 BINGO CBEEF 150G FREE 1 BINGO CB 60G" u="1"/>
        <s v="(INACTIVE) MAMA PINA'S OIL 500ML W/ SOYA" u="1"/>
        <s v="BIHON (SIONGCI)" u="1"/>
        <s v="Family Rubbing Alcohol 70% w/ Tie Up 473ml" u="1"/>
        <s v="GARDENIA NEUBAKE SPANISH BREAD BUY 2 TAKE 1" u="1"/>
        <s v="Foodcrafters Hotdog Queen Size 1kg x 10" u="1"/>
        <s v="(INACTIVE) SM PREM. TAWILIS IN CORN OIL 85GX48 (EO)" u="1"/>
        <s v="JUMBO FRUIT JAR 120'SX12 (979)" u="1"/>
        <s v="H &amp; Y Yogurt Long Stick 280g x 40 packs (395)" u="1"/>
        <s v="ARLA CHEESY SPREAD 240G" u="1"/>
        <s v="SPEED Babad 288X35G" u="1"/>
        <s v="DANES CLASSIC CHEESE BLOCK 12X450G" u="1"/>
        <s v="1 SM CT 180G+1 SM CCT 180G+1 FREE KN 60G" u="1"/>
        <s v="DON FRANK YELLOW GULAMAN 24GX10'SX24" u="1"/>
        <s v="PACKAGING PAMINTA WHOLE (MACHINEWORLD)" u="1"/>
        <s v="Jimm's Herbal Capsule - Food Supplement 500mg" u="1"/>
        <s v="Paradiso Sardines in Tomato Sauce 155gx100-EOC" u="1"/>
        <s v="H &amp; Y Assorted 160gx40 (111A)" u="1"/>
        <s v="Home Care Vewin 10-in-1 Kitchen Cleaner 500ml" u="1"/>
        <s v="Family Aloegel 100ml" u="1"/>
        <s v="SBD EXPLORE EXTRA LARGE 4/36" u="1"/>
        <s v="Sofee Gulaman Powder Mix - Black  (unflavored) 15gx10sctx10DB (802)" u="1"/>
        <s v="Pic Poc Orange 250ml" u="1"/>
        <s v="PINOY FIESTA PORK SIOMAI 220G" u="1"/>
        <s v="SPEED Powder - High Impact 192X50G" u="1"/>
        <s v="DANES CHEESE SPREAD 220GX24" u="1"/>
        <s v="Family Rubbing Alcohol 70% 60ml" u="1"/>
        <s v="Jolly Cow Chocolate Milk 1L" u="1"/>
        <s v="Family Rubbing Alcohol 70% 180ml" u="1"/>
        <s v="(INACTIVE) CDO BEEF LOAF 150GX4 - SAVING BUNDLE" u="1"/>
        <s v="Mama Pina`s Boneless Tinapa Singles XL(1)" u="1"/>
        <s v="Suka Pinakurat 375mlx24" u="1"/>
        <s v="Ego V-Roll Candy Strawberry Flavor 24's x 40 pks (360)" u="1"/>
        <s v="FRUTOS DOUBLICIOUS 50'SX40 (878)" u="1"/>
        <s v="SWEET NATA DE COCO (RED) 12X24OZX680G" u="1"/>
        <s v="Super Save Macaroni 5k-Elbow Giant" u="1"/>
        <s v="SBD EXPLORE EXTRA LARGE 4/36 B1T1" u="1"/>
        <s v="Gatorade Green Apple 350mlx24" u="1"/>
        <s v="PROMO-SMCTR 150GX3 + CTRAFT 155GX1" u="1"/>
        <s v="Freeda Soft Cotton Night Use 8's+1 x 36" u="1"/>
        <s v="EGG YELLOW 500G X 12" u="1"/>
        <s v="Freeda Pantyliner 20's+2 x 36" u="1"/>
        <s v="BIGTIME CHEESE 165 FREE 15G PROMO X 24" u="1"/>
        <s v="Chibog Jumbo Cheesedog 500g x 22" u="1"/>
        <s v="Sofee Gulaman Powder Mix - Black (unflavored) 15gx10sctx10DB (802)" u="1"/>
        <s v="Jelly Cup Pudding Bucket  14gx220sx4" u="1"/>
        <s v="JOLLY COW LOW FAT MILK 1L" u="1"/>
        <s v="Chibog Chicken Franks 1kg x 10" u="1"/>
        <s v="Perfect Ultrathin Liners 10sx60" u="1"/>
        <s v="BINGO CARNE NORTE 100GX48" u="1"/>
        <s v="Welch Fiber 100% Grape Juice 64oz" u="1"/>
        <s v="ER Flat Spaghetti 24 x 400 g" u="1"/>
        <s v="RBD PALM OLEIN" u="1"/>
        <s v="SBD SUPREME COMFORT LARGE 20/12" u="1"/>
        <s v="iColor Hair Dye Shampoo Light Brown 30ml 10'sx48" u="1"/>
        <s v="GLADLY BATHROOM TISSUE 300+10 PULLS FREE 1'Sx96" u="1"/>
        <s v="Sweet Baby Diapers SML 60+6/8" u="1"/>
        <s v="SAN MARINO CORNED TUNA  48X100G" u="1"/>
        <s v="CJF 9.00-20 14PR RIB D MASTER" u="1"/>
        <s v="LibY Dishwashing Liquid Ginger 500ml" u="1"/>
        <s v="Chooga Chiller Pineapple  200mlx10 - Free" u="1"/>
        <s v="Grips Wax Hard &amp; Shiny 25g x 216" u="1"/>
        <s v="(INACTIVE) MEN2 CORP - SALES INVOICE" u="1"/>
        <s v="Jellybee Tutti Fruitti Blue 12's x 20 pks (261)" u="1"/>
        <s v="(INACTIVE) CDO SEA QUEST TUNA FLAKES IN OIL 180GX48" u="1"/>
        <s v="Nanay's Pork Tocino Classic 1kg x 10" u="1"/>
        <s v="Yumbites Classic Hotdog 1kg x 10" u="1"/>
        <s v="Bertolli Balsamic Vinegar 12x250ml" u="1"/>
        <s v="SMART CHOICE BTR 2PLY 400PULLS 800S(+200S)9SX12P" u="1"/>
        <s v="LPG OTHER BRAND 50KG" u="1"/>
        <s v="3IN1 SUPER COFFEEMIX ORIG 10X24X18G - FREE" u="1"/>
        <s v="CJF 195-R14 OVATION" u="1"/>
        <s v="Smart Choice Cotton Rolls 10g 288P" u="1"/>
        <s v="PINOY FIESTA PORK TOCINO 220G" u="1"/>
        <s v="Jolly Sotanghon Pack" u="1"/>
        <s v="Jolly Young Corn (Cut)425gX24" u="1"/>
        <s v="SPD BBPW-L 2KGS 2FREE DSB 150G 1:2 BY6" u="1"/>
        <s v="Nabati Richnuts Wafer 22g x 20ib x 10pcs" u="1"/>
        <s v="Family Absorbent Cotton 25g" u="1"/>
        <s v="CDO KARNE NORTE 24X60G" u="1"/>
        <s v="Dona Elena Olive Oil Pomace 5Lx3" u="1"/>
        <s v="(INACTIVE) Promo-Fiona Rosy Red 50ml w/ Ice Glacier 25ml" u="1"/>
        <s v="Empress Advance Keratin Stunning Straight 12mlx12" u="1"/>
        <s v="iColor Gift Set Dark Brown 30ml x 5 with FREE pouch,bowl &amp; brush" u="1"/>
        <s v="DEESTONE 7.00-15 D102 RIB 12PR" u="1"/>
        <s v="GARDENIA CHOCOLATE CHIP LOAF 400g" u="1"/>
        <s v="(INACTIVE) 1 CDO KAONG RED 340GX24 (SUP)" u="1"/>
        <s v="SMILEYS COFFEE BLAST 20GX10X20" u="1"/>
        <s v="POTCHI STARWBERRY CREAM 50'SX40 (890)" u="1"/>
        <s v="Jellybee assorted 18'sx20 (208A)" u="1"/>
        <s v="Mama Pina's Paminta Fine 1gx15'sx6x24" u="1"/>
        <s v="OX TAIL 1K" u="1"/>
        <s v="JOLLY FRESH 100% PRUNE JUICE 6oz" u="1"/>
        <s v="BUDGET Jr Sunflower Fresh 120g Barx96" u="1"/>
        <s v="SPEED 500G SUNFLOWER BURST POWDER FL x 24" u="1"/>
        <s v="DEESTONE 235/75 R17.5 RIB" u="1"/>
        <s v="(INACTIVE) SMCCT180GX3_SAVE P7.50 S&amp;M PROMO" u="1"/>
        <s v="H &amp; Y Taro Ube 160gx40 (105A)" u="1"/>
        <s v="SELECT Soy Sauce 36X340Ml w/Easy Twist Cap" u="1"/>
        <s v="Jimm's 5 in 1 Coffee Mix - Stand Up Pouch 200g x 36" u="1"/>
        <s v="Langnese Bee Easy Lavender Honey 500g" u="1"/>
        <s v="GARDENIA DELICIA HAZELNUT 30G X 24PACKS X 10PCS" u="1"/>
        <s v="JIMMS GRANDEE BROWN COFFEE MIX 20G X 300" u="1"/>
        <s v="Food Keeper Clear 120sx12" u="1"/>
        <s v="Lumpiang Shanghai Beef 800g x 8" u="1"/>
        <s v="GARDENIA BANANA CHOCO MUFFIN 45G X 48" u="1"/>
        <s v="(INACTIVE) KeratinPlus Gold 20g x 12's x 24 Pack w/ Iso 40% 60ml" u="1"/>
        <s v="iColor ABKDT Healthy Shine Plus Vit.E ml 12'sx144x4" u="1"/>
        <s v="3IN1 SUPER COFFEEMIX SALT. CRML 10X24X25G - FREE" u="1"/>
        <s v="KAPSEN 11.00R22.5 16PR HS268 MIX" u="1"/>
        <s v="Foodcrafters Negosyo Pack 2kg" u="1"/>
        <s v="MEN2 SOL - COLLECTION RECEIPT" u="1"/>
        <s v="MAXXIS LT245/70 R16 8PR AT980" u="1"/>
        <s v="(INACTIVE) PROMO-2 HIGHLANDS GOLD CORNED BEEF 210G" u="1"/>
        <s v="DEESTONE 165R13C KARRIER R101 8PR 94/92R" u="1"/>
        <s v="H &amp; Y Assorted Fruity Jelly 24's x 20 packs (255)" u="1"/>
        <s v="Lovely Look Hair Spray 120ml" u="1"/>
        <s v="GARDENIA NEUBAKE WHITE BREAD 450G + BEAR BRAND" u="1"/>
        <s v="Welch Cranberry Juice Cocktail 10ozx24" u="1"/>
        <s v="(INACTIVE) CDO MEAT LOAF 100G - PROMO" u="1"/>
        <s v="JUMBO GOLF JAR 120'SX12 (980)" u="1"/>
        <s v="PRIMECARE ADULT DIAPER SOLO LARGE SPX80P" u="1"/>
        <s v="CDO BEEF LOAF 48X100G (OLD)" u="1"/>
        <s v="King Cup Sardines in T.S. Chili Added 155gx100" u="1"/>
        <s v="DON ELENA 100% TUNA SHREDDED IN SUNFLOWER OIL 185G" u="1"/>
        <s v="Good Life Vermicelli 3.2ozX250" u="1"/>
        <s v="LABEL FOR 500ML PALM OIL (MACHINEWORLD)" u="1"/>
        <s v="Alcoplus Ethyl 60ml (6pcs + 1doz Hard&amp;Mat 5g)" u="1"/>
        <s v="Chibog Footlong Cheesedog 1kg x 12" u="1"/>
        <s v="FG - BIGTIME NEGOSYO CHEESE 30G" u="1"/>
        <s v="Promo Bundle Pabaon ni Nanay 650g" u="1"/>
        <s v="(INACTIVE) BBPW-LZ 55GX6'S+1FREE DFC150G 6:1 BY32" u="1"/>
        <s v="SUPER Q - Pancit Canton 1kg x 12" u="1"/>
        <s v="Alcoplus Ethyl 70% Alcohol 1000mlx12 (1 Liter)" u="1"/>
        <s v="FRUTOS SAMPALOK 50'SX40 (1081)" u="1"/>
        <s v="GARDENIA AMAZING LOAF: BLACK FOREST 400G" u="1"/>
        <s v="Jolly Cow Condensada 390gx48 (promo)" u="1"/>
        <s v="Delicious Spaghetti 1klx12w/free DMC" u="1"/>
        <s v="CHERRY GUM 200'SX24 (802)" u="1"/>
        <s v="BUDGET SF 800g+Free Budget Jr.PB 120g 1:1" u="1"/>
        <s v="TRAVELER PREM. FACIAL TISSUE 400'SX36 (EMBOSSED BOX)" u="1"/>
        <s v="SMCCT180GX3_SAVE P7.50 S&amp;M PROMO" u="1"/>
        <s v="(INACTIVE) CDO KARNE NORTE 24X60G" u="1"/>
        <s v="Jackpot Lumpiang Shanghai All Chicken Flavor 820G" u="1"/>
        <s v="DRYPLUS B.DIAPER ECONO PACK L 30'S+4x8" u="1"/>
        <s v="SBD EXPLORE SMALL 4/36" u="1"/>
        <s v="(INACTIVE) Nanay's Pork Siomai 240g x 30" u="1"/>
        <s v="H &amp; Y Sofee Assorted Jelly 130 pcs x 6 jars (263)" u="1"/>
        <s v="WINROX Bleach - Fresh Lemon 24X500Ml" u="1"/>
        <s v="(INACTIVE) PALDO HWA RAMYUN CUP 65GX6" u="1"/>
        <s v="(INACTIVE) DANES CLASSIC CHEESE BLOCK 12X450G" u="1"/>
        <s v="SUPER Q - Sotanghon 35g/12 x 24" u="1"/>
        <s v="Burger Steak Duo Pack" u="1"/>
        <s v="SAN MARINO TUNA SPREAD 48X85G (EO)" u="1"/>
        <s v="CDO BINGO BEEF LOAF 150GX3-SAVER'S PACK" u="1"/>
        <s v="Cricket ED-1 Sulit 8 Pack (50's/strip) (ED-1 Original)" u="1"/>
        <s v="LibY Super Clean Fragrant Detergent Powder 200g" u="1"/>
        <s v="SPEED Diswashing Liquid - Kalamansi 36X190Ml" u="1"/>
        <s v="PORK PATA FRONT 1KG" u="1"/>
        <s v="Special Vermicelli Sotanghon 14ozx50" u="1"/>
        <s v="(INACTIVE) PROMO-ALCOPLUS ADVANCE SANITIZER 500ML W/ 40ML SPRAY" u="1"/>
        <s v="PROMO-2 BINGO C.BEEF 150G+1 BINGO BL 150GX16" u="1"/>
        <s v="GARDENIA HIGH FIBER WHEAT BREAD 400g" u="1"/>
        <s v="Negosyo Pack Lumpiang Shanghai Beef 200g x36" u="1"/>
        <s v="Family Alcologne w/ Baby Oil 60ml" u="1"/>
        <s v="DURACELL EVERYDAY ALKALINE HBDCAA10" u="1"/>
        <s v="CLASSIC WHITE BREAD 600G RS+FREE TOASTIES" u="1"/>
        <s v="Sweet Baby Diapers Large 20/12" u="1"/>
        <s v="(INACTIVE) CDO ALL PURPOSE MAYO DRESSING 220MLX24" u="1"/>
        <s v="PROMO-CDO KARNE NORTE 100G" u="1"/>
        <s v="H &amp; Y Frosty Ice Pop 720g x 16 pks (296)" u="1"/>
        <s v="PETLAS 16.0/70-20 (14PR) IND25 TL" u="1"/>
        <s v="iColor Hair Dye Shampoo 30ml Dark Brown 10'sx12" u="1"/>
        <s v="PROMO-3 CDO MEAT LOAF 150G" u="1"/>
        <s v="(INACTIVE) SAN MARINO TUNA FLAKES IN OIL 48X180G" u="1"/>
        <s v="Jolly Mandarin Orange 11oz" u="1"/>
        <s v="GENERIC DETERGENT POWDER 1KG" u="1"/>
        <s v="Super Save Spaghetti 1klx10w/Mrs Choose Spag" u="1"/>
        <s v="PALDO HWA RAMYUN CUP 65GX6" u="1"/>
        <s v="GARDENIA PREMIUM PANDESAL 350g" u="1"/>
        <s v="BINGO CORNED BEEF TIPID PACK 60GX24" u="1"/>
        <s v="RBD PALM OLEIN L (INACTIVE)" u="1"/>
        <s v="Chooga Grape Juice Drink 250ml" u="1"/>
        <s v="(INACTIVE) SAN MARINO CORNED TUNA 48X180G (EO)" u="1"/>
        <s v="Jolly Pcs &amp; Stems Mushroom  284gX24" u="1"/>
        <s v="KING CUP SARDINES CHILI 155g BUY 5 SAVE P10" u="1"/>
        <s v="H &amp; Y Lychee 300gx20 (102)" u="1"/>
        <s v="Foodcrafters Sliced Ham 250g x 56" u="1"/>
        <s v="(INACTIVE) 1 PROMO-ALCOPLUS ISO CLASSIC 500ML W/ SANITIZER RED" u="1"/>
        <s v="RESTOBAR HOTDOG PLATES SILVER 50'Sx20" u="1"/>
        <s v="SAN MARINO TUNA FILLET IN WATER 48X180G (E.O)" u="1"/>
        <s v="SPEED 50% Dagdag Bar - Blue 96X160G" u="1"/>
        <s v="PAKYAW RING CHEESE 300G X 10/bld" u="1"/>
        <s v="AlcoPlus Ethyl 150mlx48" u="1"/>
        <s v="(INACTIVE) CDO KARNE NORTE CLASSIC 48X260G" u="1"/>
        <s v="MAMA PINA'S BUNDLE XC" u="1"/>
        <s v="CARP SOY SAUCE 200ML SUP" u="1"/>
        <s v="Jellybee Lychee 12'sx30 (201A)" u="1"/>
        <s v="Gatorade Tropical Fruit 500mlx24" u="1"/>
        <s v="CREAM DORY 1KG" u="1"/>
        <s v="CDO LUNCHEON MEAT 48X165G" u="1"/>
        <s v="PINOY FIESTA PORK TOCINO 450G" u="1"/>
        <s v="Pagoda Toilet Deodorizer 100g Sampaguita" u="1"/>
        <s v="Good Life Bread Crumbs 80gX80" u="1"/>
        <s v="Dutch Cleanser Lemon-Canister 48x350g" u="1"/>
        <s v="Chooga Pineapple Juice Drink 200ml" u="1"/>
        <s v="Grips Wax Extreme Hard &amp; Mat 75gx36" u="1"/>
        <s v="iColor Gift Set Chestnut Brown 30mlx 5 with FREE pouch,bowl &amp; brush" u="1"/>
        <s v="(INACTIVE) CDO KARNE NORTE 48X100G" u="1"/>
        <s v="Frozen Box Candy 24sx40" u="1"/>
        <s v="SPEED 2kg Sunflower Burst Powderx6" u="1"/>
        <s v="Grips Hair Clay 75gx36" u="1"/>
        <s v="iColor Organic Hair Dye Shampoo Black 25ml 10'sx64" u="1"/>
        <s v="(INACTIVE) SAN MARINO TUNA FILLET IN WATER 48X180G" u="1"/>
        <s v="Beef Lumpiang Shanghai Beef 800g x 8" u="1"/>
        <s v="BIGTIME BURGER MAYO 250G X 24" u="1"/>
        <s v="Foodcrafters Chicken Embutido 200g x 40" u="1"/>
        <s v="iColor Hair Dye Shampoo Wild Cherry 25ml 10'sx64" u="1"/>
        <s v="Good Life Vermicelli 32ozX25" u="1"/>
        <s v="(INACTIVE) CDO KARNE NORTE CLASSIC 60GX6 SINGLES" u="1"/>
        <s v="Perfect Cottony Soft N Dry w/ Wings 8x36" u="1"/>
        <s v="Special Vermicelli Sotanghon 1.59ozx500" u="1"/>
        <s v="CJF BATTERY 3SM GOLD" u="1"/>
        <s v="Tropicana Orange 355ml" u="1"/>
        <s v="Yumbites Classic Hotdog 480g" u="1"/>
        <s v="Family Bathroom Tissue (2 Ply) 500shtsx72" u="1"/>
        <s v="CJF 11 R 22.5 OVATION VI-III RIB" u="1"/>
        <s v="(INACTIVE) CDO KARNE NORTE CLASSIC 48X150G (NEW)" u="1"/>
        <s v="CJF 6 SM TRUCKMASTER" u="1"/>
        <s v="GARDENIA CHOCO CHIP BRIOCHE BUN 120G" u="1"/>
        <s v="Mama Pina's Palm Oil 1L x 12 FD3" u="1"/>
        <s v="Family Absorbent Cotton 10g" u="1"/>
        <s v="Beef Lumpaing Shanghai 400g x 18" u="1"/>
        <s v="MEN2 SOL - SALES INVOICE" u="1"/>
        <s v="CJF 185-R14 OVATION" u="1"/>
        <s v="HIGHLANDS CORNED BEEF 48X260G (EO)" u="1"/>
        <s v="Family Absorbent Cotton 12g" u="1"/>
        <s v="DRYPLUS B.DIAPER BUDGET PACK XXL 15'S+2x16" u="1"/>
        <s v="KeratinPlus Shampoo Daily Nourishing 22ml 11 + 1 promo" u="1"/>
        <s v="Minola P. Edible Oil Pouch 500ml x 24" u="1"/>
        <s v="MALING 340Gx48" u="1"/>
        <s v="Family Absorbent Cotton 15g" u="1"/>
        <s v="FREE MUFFIN FACE MASK" u="1"/>
        <s v="ER Macaroni MEG 12 x 1 kg (80701)" u="1"/>
        <s v="3in1 Super Coffee Mix Salted Caramel 10x24x25g" u="1"/>
        <s v="PROMO-1 CDO NATA 340G+1PCS CDO KAONG 340G FREEE 1 BINGO CB 60G" u="1"/>
        <s v="Vaccum Sealed Boneless Tinapa Singles (XL)" u="1"/>
        <s v="2Jolly Whole Mushroom 400g free Small Canister" u="1"/>
        <s v="DANES CHEESE WITH BACON BITS 165Gx24" u="1"/>
        <s v="Capture Nature Tawas Deo Cologne 50ml" u="1"/>
        <s v="BERYL'S CHOCOCHIP COOKIES MIX 2KGX3" u="1"/>
        <s v="RBD SOYA BEAN OIL (INACTIVE)" u="1"/>
        <s v="RESTOBAR TRASH BAG BLACK MED 10'Sx50" u="1"/>
        <s v="Tin-Tin Choco Snack-Chocolate 10x20 (517)" u="1"/>
        <s v="Home Care Vewin Full Clog Destroyer 300ml" u="1"/>
        <s v="DAILYFIX STRAWBERRY &amp; YOGURT 350G" u="1"/>
        <s v="Dryplus MOM&amp;BABY PROMO PACK XL 20+10 PADS" u="1"/>
        <s v="1 PC - CDO NATA 340G &amp; 1 PC CDO KAONG 340G" u="1"/>
        <s v="WINROX Bleach - Elegant Breeze 24X500Ml" u="1"/>
        <s v="Sofee Gulaman Powder Mix - Green (unflavored) 15gx10sctx10DB (807)" u="1"/>
        <s v="DEESTONE 7.00-16 D102 RIB 12PR" u="1"/>
        <s v="Mama Pina's Bihon 454g x 20" u="1"/>
        <s v="Wilderness Red Ruby Cherry 21oz" u="1"/>
        <s v="Dona Elena Sliced Black Olives 140g" u="1"/>
        <s v="TRAVELER ADULT DIAPER M-L 10'Sx12" u="1"/>
        <s v="Sweet Baby Diapers Large 12/12" u="1"/>
        <s v="ER REAL RUMBLE PASTA-MIXED MAC 24X400G" u="1"/>
        <s v="BLACK PEPPER WHOLE (ANZ)" u="1"/>
        <s v="Promo-Alcoplus Iso.60ml 3pcs + 3pcs clay5g" u="1"/>
        <s v="Promo-Grips Wax 3doz w/Free Gel 1doz " u="1"/>
        <s v="H&amp;Y Swit Candy 24' x 40 pks" u="1"/>
        <s v="PROMO-SMCCT 150GX3" u="1"/>
        <s v="(INACTIVE) CDO MEAT LOAF 48X210G" u="1"/>
        <s v="(INACTIVE) 2 PROMO-ALCOPLUS ISO CLASSIC 500ML W/ SANITIZER RED" u="1"/>
        <s v="Sweet Baby Diapers Large 4/36" u="1"/>
        <s v="(INACTIVE) PROMO-KERATIN PLUS HAIRFALL SH 22ML 10+2" u="1"/>
        <s v="CDO KARNE NORTE H&amp;S 150GX48" u="1"/>
        <s v="Super Save Macaroni 5k-Ridge Jumbo" u="1"/>
        <s v="Promo-Alcoplus Ethyl 500ml + 3pcs Keratin Gold" u="1"/>
        <s v="Tasty Palamig Chocolate 25gx288" u="1"/>
        <s v="Jelly Stick Clear Bucket 300sx4" u="1"/>
        <s v="(INACTIVE) BBPW-LZ 1KG+2FREE DFC 150G 1:2 BY12" u="1"/>
        <s v="Drillo CCP PRM PHL 17g x 8ib x 13Ppcs" u="1"/>
        <s v="Nyam Nyam Jumbo Hotdog 1.2kg" u="1"/>
        <s v="Beybiko Baby Diapers XLarge 30's x 6" u="1"/>
        <s v="Grips Hair Clay 75gx24" u="1"/>
        <s v="SM PREM. MACKEREL IN NATURAL OIL 165GX100 (EO)" u="1"/>
        <s v="PINGPONG GUM 200'SX24 (801)" u="1"/>
        <s v="SCHOKO CARAMEL 50'SX40 (960)" u="1"/>
        <s v="PROMO CORELESS 2'Sx90" u="1"/>
        <s v="(INACTIVE) CDO KARNE NORTE CLASSIC 260GX48" u="1"/>
        <s v="GARDENIA NEUBAKE PAN DE COCO BREAD ROLL 150G" u="1"/>
        <s v="SWEET NATA DE COCO (WHT) 24X8OZX240G" u="1"/>
        <s v="Old Orchard Apple Cranberry Juice 32oz" u="1"/>
        <s v="Family Rubbing Alcohol 40% 250ml" u="1"/>
        <s v="BUTTERKIST 50'SX40 (837)" u="1"/>
        <s v="ER Saver BEG 8 x 5 kg" u="1"/>
        <s v="(INACTIVE) PROMO-SMCCT 150GX3" u="1"/>
        <s v="KeratinPlus Luxurious 20g x 24 packs 11 + 1 promo" u="1"/>
        <s v="BUDGET WHITE W/ANTIBAC 360G BAR X 36" u="1"/>
        <s v="SPEED 50% Dagdag Bar - W/ Fabcon 96X160G" u="1"/>
        <s v="(INACTIVE) BINGO ALL PURPOSE DRESSING 3.5X4" u="1"/>
        <s v="SAN MARINO CORNED TUNA ADOBO 155GX48" u="1"/>
        <s v="LibY Dishwashing Liquid Orange (Translucent) 460ml" u="1"/>
        <s v="H &amp; Y Yogurt Fruit Stick 180g x 40 packs (394)" u="1"/>
        <s v="Grips Hair Clay 5gx6sx72" u="1"/>
        <s v="Pagoda Hair Spray Refill 4oz (120ml)" u="1"/>
        <s v="SELECT Cane Vinegar 36x340ml w/Easy Twist Cap" u="1"/>
        <s v="MEN2 SALMON HEAD 1KG (9905)" u="1"/>
        <s v="Beybiko Baby Diapers Medium 30's x 6" u="1"/>
        <s v="TOP 6.00 - 16 (5H) RIM" u="1"/>
        <s v="Chibog Chicken Franks 500g x 20" u="1"/>
        <s v="Old Orchard Organic 100% Apple 64ozx8" u="1"/>
        <s v="(INACTIVE) SM PREM. MACKEREL IN T. SAUCE 165GX100 (EO)" u="1"/>
        <s v="HAWKWAY 11.00R22.5 HK802 MIX 16PR 146/143M" u="1"/>
        <s v="Sweet Baby Diapers XL 54+6/6" u="1"/>
        <s v="CHICKBOY Cheese 25g X 50/bld" u="1"/>
        <s v="DANES CLASSIC CHEESE BLOCK 180GX24 (NEW)" u="1"/>
        <s v="BUDGET 800g Purple Blossom Powderx12" u="1"/>
        <s v="Jolly Whole Mushroom 2840gx6" u="1"/>
        <s v="BIGTIME MAYO DRESSING 250G X 24" u="1"/>
        <s v="Fries Mccain Smile 500g" u="1"/>
        <s v="CDO CHICKEN FLAKES SWEET CHILI 150GX48" u="1"/>
        <s v="HARMONY TNPC 1PLY 1000S(+100)SPX20" u="1"/>
        <s v="Select Sukang Puti 1gal w/ Free SP 200ml 1:1" u="1"/>
        <s v="BBPW-LZ 1KG+2FREE DFC 150G 1:2 BY12" u="1"/>
        <s v="BEEF TRIPES 1KG" u="1"/>
        <s v="Arla Organic Low Fat Milk 1L" u="1"/>
        <s v="Promo - Grips Hard &amp; Mat 5g 22+2 (Dagdag Kita)" u="1"/>
        <s v="GARDENIA DELIZIO CAFFINO CLASSIC LATTE 30GX10'SX24" u="1"/>
        <s v="(INACTIVE) CDO KARNE NORTE CLASSIC 48X100G" u="1"/>
        <s v="Jolly Cow Pure Fresh Milk 1L Duo Packx6" u="1"/>
        <s v="Mama Pina's Bihon 454g x 12" u="1"/>
        <s v="Jelly Stick Promo Box Assorted Flavor x 200pcs (200)" u="1"/>
        <s v="Tipid Pack Speed White 135g+Pow BB 55g" u="1"/>
        <s v="MEN2 CORP - COLLECTION RECEIPT" u="1"/>
        <s v="Nanay's Skinless Longanisa 1kg x 10" u="1"/>
        <s v="LibY Whitening and Stain Free Detergent Powder 110g" u="1"/>
        <s v="Sofee Gulaman Powder Mix - Buko Pandan flavor 15gx10sctx10DB (817)" u="1"/>
        <s v="FROOTY TROPI MIX 20+3'SX50 (969)" u="1"/>
        <s v="DISPOSABLE FACEMASK 50'Sx40" u="1"/>
        <s v="Jolly Young Corn (Whole)425gX24" u="1"/>
        <s v="Old Orchard Apple Cocktail 32oz" u="1"/>
        <s v="ALI BIG LOVE SNACK BBQ 500G" u="1"/>
        <s v="Promo-Alcoplus Iso 500ml + 3pcs Keratin Gold" u="1"/>
        <s v="May 100% White Grape Juice 750mlX12" u="1"/>
        <s v="SELECT Soy Sauce 24X340Ml" u="1"/>
        <s v="Tasty Palamig Pineapple 25gx28" u="1"/>
        <s v="SAN MARINO CHILI CORNED TUNA 48X180G(EO)" u="1"/>
        <s v="(INACTIVE) SAN MARINO TUNA PAELLA 48X180G" u="1"/>
        <s v="Baby Plus Absorbent Diaper Large 30x6" u="1"/>
        <s v="Jolly Mush Whole 400g + 2 Maggi 8g" u="1"/>
        <s v="Cricket Firepower w/ Flex - Fluo (16's/tray) (Firepower)" u="1"/>
        <s v="Super Save Macaroni 5k-Shell Small" u="1"/>
        <s v="SELECT 1L Partner Packx6" u="1"/>
        <s v="Daily Fix Very Nutty Granola 350g" u="1"/>
        <s v="FIRST PROTECT SURGICAL MASK 8'S" u="1"/>
        <s v="DONA ELENA AL DENTE LINGUINE 500G" u="1"/>
        <s v="Imilk 50'S'X40 (930)" u="1"/>
        <s v="FROOTY CHOCOLICIOUS 20+3'SX50 (868)" u="1"/>
        <s v="CDO BEEF LOAF 150GX4 - SAVING BUNDLE" u="1"/>
        <s v="Promo-Keratin Plus 20gx12 Free Jinlikojic Soap" u="1"/>
        <s v="(INACTIVE) Promo-Fiona RaspberryDrops 100ml w/ Youthful 75ml x 24" u="1"/>
        <s v="PINOY FIESTA BEEF TAPA 220G" u="1"/>
        <s v="HIGHLANDS CB GOLD 210GX2 (GOLD BAR)" u="1"/>
        <s v="Jolly Premium Sliced Mushroom 198g" u="1"/>
        <s v="Speed BBFR 55gx6's+1FREEx32" u="1"/>
        <s v="(INACTIVE) SM PREM. MACKEREL IN SWEET &amp; SOUR 165GX100 (EO)" u="1"/>
        <s v="HAWKWAY 275/70R22.5 HK867 RIB 18PR" u="1"/>
        <s v="CDO CB CHEESY &amp; CREAMY SPAG 260GX48" u="1"/>
        <s v="SWEET KAONG (GREEN) 12X24OZX680G" u="1"/>
        <s v="CHICKBOY POP-NIK Chocolate 8G X 12 X 20 pack" u="1"/>
        <s v="(INACTIVE) SPEED 55gMB 150gx5's+1FREE 40gMB 135g 5:1" u="1"/>
        <s v="Deoplus Deodorant Powder 80g x 24pcs" u="1"/>
        <s v="PROMO-JINLI KOJIC ACID SOAP 65G'2 w/ AlcoPlus 60mlX24" u="1"/>
        <s v="DON FRANK ORANGE JELLY 30GX10'SX24" u="1"/>
        <s v="SOO-YOUNG KOJIC ACID SOAP 90Gx48" u="1"/>
        <s v="GLADLY BATHROOM TISSUE 500'Sx12x8" u="1"/>
        <s v="DANES MAYO ALL-PURPOSE DRESSING 220MLX24" u="1"/>
        <s v="HIGHLANDS CLASSIC CORNED BEEF 260GX48" u="1"/>
        <s v="Nanays Sliced Sweet Ham x 40" u="1"/>
        <s v="Jolly Maraschino Cherries w/ Stem 26ozX12" u="1"/>
        <s v="Lumpiang Shanghai Negosyo Pack 800g x 8" u="1"/>
        <s v="Mama Pina's Palm Oil 500ml x 24 (Inactive)" u="1"/>
        <s v="Giant Gum Jar 150sx12" u="1"/>
        <s v="Jimm's 5 in 1 Coffee Mix 20'sx30ib" u="1"/>
        <s v="Pagoda Muriatic Acid Household Grade Half Gallon" u="1"/>
        <s v="CHOCQUIK COOKIE 10'SX20 (685)" u="1"/>
        <s v="CDO KARNE NORTE CHUNKY 48X150G (NEW)" u="1"/>
        <s v="CDO HOMESTYLE CHILI GARLIC CB 260GX48" u="1"/>
        <s v="Fresh Flower 2.5mlx12x12" u="1"/>
        <s v="(INACTIVE) BINGO BEEF LOAF 48x100G" u="1"/>
        <s v="(INACTIVE) GARDENIA POCKET SANDWICH BUNDLE BUY2 TAKE1" u="1"/>
        <s v="SPEED Babad W/ Fabcon 12X1Kg" u="1"/>
        <s v="CJF BATTERY 2SM ENDURO" u="1"/>
        <s v="SPEED CUT BAR W/FABRIC CONDITIONER 6+1" u="1"/>
        <s v="King Happy Egg 24sx12" u="1"/>
        <s v="RESTOBAR PAPER PLATES SILVER 9' 25'Sx20" u="1"/>
        <s v="CJF DELIUM 195R15 102" u="1"/>
        <s v="Mama Pina's Bihon 454g x 24" u="1"/>
        <s v="(INACTIVE) MAMA PINA'S OIL 500ML  W/ SOYA" u="1"/>
        <s v="HIGHLANDS CB 150G PROMO PACK X 3" u="1"/>
        <s v="CDO KARNE NORTE CLASSIC 48X260G" u="1"/>
        <s v="BINGO CORNED BEEF 60GX24 (SINGLE)" u="1"/>
        <s v="PERFECT SOFT N DRY NON WING 8SX36P" u="1"/>
        <s v="DONA ELENA S.SARDINES PUREOLIVE OIL 228G" u="1"/>
        <s v="BBPW-LZ 55GX6'S+1FREE DFC150G 6:1 BY32" u="1"/>
        <s v="Family Aloegel 50ml" u="1"/>
        <s v="PROMO-3 CDO MEAT LOAF 100G" u="1"/>
        <s v="CDO LUNCHEON MEAT 48X150G" u="1"/>
        <s v="Sweet Baby Diapers Extra Large 18/12" u="1"/>
        <s v="SAN MARINO  MACKEREL IN SWEET&amp; SOUR SAUCE 165GX100" u="1"/>
        <s v="WILDERNESS-MIXES BERRY_PATCH STRA-21OZ" u="1"/>
        <s v="(INACTIVE) SPEED 55GMORE SB 150G X5'S+1 FREE 5:1" u="1"/>
        <s v="Vernel Antibac-Blue Sky 35ml" u="1"/>
        <s v="PROMO-ALCOPLUS ISO CLASSIC 500ML W/ SANITIZER RED 2" u="1"/>
        <s v="Nyam Nyam Jumbo Hotdog 1kg" u="1"/>
        <s v="Dona Elena Flat Fillet Anchovies 56gx24" u="1"/>
        <s v="Speed Babad Kalamansi 1kg+2FREE 55g" u="1"/>
        <s v="ALIBABA ASSORTED BISCUIT 20GX10'SX10" u="1"/>
        <s v="LibY Super Clean Fragrant Detergent Powder 50g" u="1"/>
        <s v="Jolly Real Mayonnaise 887ml x12" u="1"/>
        <s v="JOLLY FRESH PITTED PRUINES 12oz" u="1"/>
        <s v="Old Orchard 100% Grape 64oz" u="1"/>
        <s v="AVIKO SUNNY FARMS SHOESTRING FRIES CN 1KGX12" u="1"/>
        <s v="GENKI PANTS MEDIUM 60'SX3" u="1"/>
        <s v="Drillo PBJ PRM PHL 17g x 8ib x 12+1pcs" u="1"/>
        <s v="BBPW-LZ 2KG+4FREE DFC 150G 1:4 BY6" u="1"/>
        <s v="Pagoda Air Freshener Orange" u="1"/>
        <s v="SAN MARINO TUNA PAELLA 48X180G" u="1"/>
        <s v="HUBAD BIHON" u="1"/>
        <s v="SELECT Sukang Puti 6X1/2Gal" u="1"/>
        <s v="AVIKO SHOESTRING FRIES 10X1000G" u="1"/>
        <s v="PLASTIC MBx1000 (22x38) (GJC)" u="1"/>
        <s v="Fiona Snow Breeze 50mlx36" u="1"/>
        <s v="(INACTIVE) CDO KARNE NORTE 48X150G (EASY-OPEN)" u="1"/>
        <s v="DR COCO GREEN TEA LHW 500ML BOTTLE" u="1"/>
        <s v="Promo-Alcoplus Isopropyl 40% 500ml w/ Iso 40% 60ml" u="1"/>
        <s v="KeratinPlus Luxurious 20g x 12's x 24 packs" u="1"/>
        <s v="(INACTIVE) TIPID PACK SPEED FABCON 130GPOW PW55" u="1"/>
        <s v="Mama Pina's Canolein Oil 1L x 12" u="1"/>
        <s v="(INACTIVE) SPEED 55GMORE FC 150G X5'S+1 FREE 5:1" u="1"/>
        <s v="Grips Hair Pomade 75g x 36 Jars" u="1"/>
        <s v="YAKEE! SUPER ASIM GUM BALL 25+3'SX40 (876)" u="1"/>
        <s v="Pagoda Cold Wave Lotion 946ml" u="1"/>
        <s v="Speed Babad Kalamansi 2kg+2FREE 55g" u="1"/>
        <s v="DONA ELENA SANGRIA 750ML" u="1"/>
        <s v="Jolly Whole Mushroom 284gx24" u="1"/>
        <s v="SPEED FABCON 380Gx3'S+FREE FABCON 160G (3:1)X12" u="1"/>
        <s v="(INACTIVE) DANES BACON CHEESE 180GX24" u="1"/>
        <s v="Jolly Maraschino Cherries w/ Stem 10ozx12" u="1"/>
        <s v="TRAVELER ADULT DIAPER ESSENTIALS L-XL 10'Sx10" u="1"/>
        <s v="(INACTIVE) BUDGET SF 65gx6's+Free Budget Powder PB 65g 6:2" u="1"/>
        <s v="Jolly Heart Mate Canola Oil SUP 1L" u="1"/>
        <s v="Jolly Claro Pet 250mlx48" u="1"/>
        <s v="SAN MARINO PREM. S. SARDINES GIFT SET 240G" u="1"/>
        <s v="Lovely Look Hair Spray 240ml" u="1"/>
        <s v="Jolly Cow Fresh Milk 200mlx27" u="1"/>
        <s v="RAIMOL TITANIUM - DIESEL FUEL SAVER (24X100mL)" u="1"/>
        <s v="Alcoplus Ethly 330ml x 24 - Spray" u="1"/>
        <s v="H &amp; Y Assorted Conjac Jelly 160gx20 (111B)" u="1"/>
        <s v="NEUBAKE CHOCO BREAD ROLL 150G" u="1"/>
        <s v="Chibog Chicken Franks 500g x 22" u="1"/>
        <s v="PROMO-CDO KARNE NORTE 150G FREE 1 BINGO CB 60G" u="1"/>
        <s v="CJF RUBIA 15W40 DRUM" u="1"/>
        <s v="SELECT Soy Sauce 72x100ml" u="1"/>
        <s v="Good Life Sesame Oil 650mlX12" u="1"/>
        <s v="Minola P. Edible Oil Plastic 925ml x 12" u="1"/>
        <s v="(INACTIVE) MEN2 CORP - COLLECTION RECEIPT" u="1"/>
        <s v="Nanay's Burger Patties (in canister) 240g" u="1"/>
        <s v="KINGCUP 4T.SAUCE EOC free Vermicelli 1.59oz" u="1"/>
        <s v="Richoco Milk Vanilla Wafer MLBB 50gx60pcs" u="1"/>
        <s v="(INACTIVE) DANES CHEESE BLOCK 12X450G" u="1"/>
        <s v="Dona Elena Red Wine 750 ml" u="1"/>
        <s v="CARP SUKANG SASA 19KG CARBOUY" u="1"/>
        <s v="GARDENIA BUTTER TOAST 5 - SLICE PACK" u="1"/>
        <s v="Promo - Grips Extreme HM 5g 24+6 (Dagdag Kita)" u="1"/>
        <s v="JOLLY FRESH APPLE SAVE 10 PROMO" u="1"/>
        <s v="PINOY FIESTA KAPAMPANGAN SISIG 220G" u="1"/>
        <s v="BUDGET 800g Purple Blossom Powderx12 1" u="1"/>
        <s v="Select Sukang Puti 1/2gal w/ Free SP 200ml 1:1" u="1"/>
        <s v="(INACTIVE) HIGHLANDS C BEEF PROMO 150GX48" u="1"/>
        <s v="iColor Gift Set Black 25mlx 6 with FREE pouch,bowl &amp; brush" u="1"/>
        <s v="GULF HARMONY HYDRAULIC OIL 68 200L (DRUM) oil10" u="1"/>
        <s v="SPEED 55g Babad FC w/Power Whitener Powderx192" u="1"/>
        <s v="FS ORANGE PET 1.5Lx12" u="1"/>
        <s v="RESTOBAR TRASH BAG BLACK SML 10'Sx50" u="1"/>
        <s v="FROOTY RAINBOW POP 25+4'SX40 (865)" u="1"/>
        <s v="Good Life Bihon 400gx30" u="1"/>
        <s v="ARLA MILK GOODNESS ORGANIC LOW FAT 1L" u="1"/>
        <s v="MAMA PINAS BUNDLE K (1P350ML1BIHON2BML1001BML150)" u="1"/>
        <s v="SMCCT150GX3_SAVE P6.00 S&amp;M PROMO" u="1"/>
        <s v="AlcoPlus Ethly 250mlx48" u="1"/>
        <s v="CHICKEN STAR CHICKEN HOTDOG 1KG" u="1"/>
        <s v="Fiona Youthfull Bliss 25mlx36" u="1"/>
        <s v="Gatorade Tropical Fruit 350mlx24" u="1"/>
        <s v="GARDENIA CHOCO CREAM ROLL 50G" u="1"/>
        <s v="Nyam Nyam Super King Hotdog 1.2k" u="1"/>
        <s v="LOTUS BISCOFF SPREAD SMOOTH 200G" u="1"/>
        <s v="Yumbites Classic Hotdog 230g" u="1"/>
        <s v="SOLUCKY LEMON FLAVOR CREAM 10'SX18 (623)" u="1"/>
        <s v="SWEET BABY DIAPERS REGULAR LARGE JUMBO 54/6" u="1"/>
        <s v="Fries Mccain Tator Tots 500g" u="1"/>
        <s v="RAIMOL EP2 GREASE NLG12 (GP15KG)" u="1"/>
        <s v="3 CDO KARNE NORTE 100G W/ FREE 20 TEXTS" u="1"/>
        <s v="(INACTIVE) Promo-Fiona RaspberryDrops 50ml w/ Youthful 25ml" u="1"/>
        <s v="ALIBABA FUN CRACKER CHEESE 20GX10'SX10" u="1"/>
        <s v="CJF BATTERY 3SM CHAMPION" u="1"/>
        <s v="WINROX Bleach - Regular Scent 24X500Ml" u="1"/>
        <s v="PROMO-6 BINGO CBEEF 150G FREE 1 BINGO CB 60G" u="1"/>
        <s v="LABEL FOR 350ML PALM OIL (MACHINEWORLD)" u="1"/>
        <s v="iColor Organic Hair Dye Shampoo Black 25ml 10'sx48" u="1"/>
        <s v="CDO KAONG RED 340GX24 (SUP)" u="1"/>
        <s v="Jolly Creamy Duo Pack save 8" u="1"/>
        <s v="SPEED DAGDAG KALAMANSI 145G BAR X 96" u="1"/>
        <s v="Select Cane Vinegar 1L w/ Free SP 200ml 1:1" u="1"/>
        <s v="SAN MARINO TUNA FLAKES IN OIL 180GX48 (EO)" u="1"/>
        <s v="Fiona Pretty Mist 100mlx24" u="1"/>
        <s v="ARLA MILK GOODNESS CHOCOLATE 1L" u="1"/>
        <s v="ARLA MILK GOODNESS LACTOSE FREE 1L" u="1"/>
        <s v="DON FRANK COFFEE JELLY 30GX10'SX24" u="1"/>
        <s v="Mama Pina's Palm Oil 1L x 12 BWS" u="1"/>
        <s v="SPEED Detergent Bar - Speckled Blue 36X380G" u="1"/>
        <s v="(INACTIVE) Mama Pina's Palm Oil 500ml x 24 (Inactive)" u="1"/>
        <s v="(INACTIVE) Cricket Sweet Series (50's/tray) (4-14165014)" u="1"/>
        <s v="iColor Plus Hair Color Crème Ash Pink 40ml 10sx12" u="1"/>
        <s v="Super Save Spaghetti 1kx10" u="1"/>
        <s v="SAN MARINO CORNED TUNA 48X180G (EO)" u="1"/>
        <s v="HIGHLANDS LUNCHEON BEEF 165GX48" u="1"/>
        <s v="Jolly Peach Halves 825g" u="1"/>
        <s v="RESTOBAR INTERFOLDED P.TOWER 200'Sx30" u="1"/>
        <s v="(INACTIVE) GARDENIA CHOCO CHIP LOAF 7 PESO OFF" u="1"/>
        <s v="(INACTIVE) FG-1CDCONG340G+1CDOKR340G+CDOCJ340G" u="1"/>
        <s v="(INACTIVE) PROMO-ALCOPLUS ISO CLASSIC 500ML W/ SANITIZER RED" u="1"/>
        <s v="DailyFix Strawberry &amp; Yogurt Granola - 350g" u="1"/>
        <s v="(INACTIVE) Pear Shaped Ham 800g" u="1"/>
        <s v="Grips Momentum Body Spray 100ml x 24" u="1"/>
        <s v="Family Rubbing Alcohol Ethyl 70% 1 Gallon x 4" u="1"/>
        <s v="Jimm's 7 in 1 Coffee Mix 12'sx30ib" u="1"/>
        <s v="Foodcrafters Hotdog Super King 1.2kx16s" u="1"/>
        <s v="CHICKBOY Sweet Corn 25g X 50/bld" u="1"/>
        <s v="3CDOKN 150G SAVE 5.00-GANADO BUNDLE" u="1"/>
        <s v="CDO LUNCHEON MEAT 48X165G (OLD)" u="1"/>
        <s v="Foodcrafters Negosyo Pack 1k x 10" u="1"/>
        <s v="DON ELENA S.SARDINES PURE OLIVE OIL 228G" u="1"/>
        <s v="H &amp; Y Assorted 300gx20 (112)" u="1"/>
        <s v="MALING 170Gx48" u="1"/>
        <s v="(INACTIVE) BINGO MEAT LOAF 48X150G" u="1"/>
        <s v="FUNCEE 350MLx24" u="1"/>
        <s v="(INACTIVE) BIG SMILE SULIT BUNDLES" u="1"/>
        <s v="Sofee Gulaman Powder Mix - Strawberry flavor 15gx10sctx10DB (813)" u="1"/>
        <s v="Speed Dagdag White 150g x6's + 1 FREE by 16" u="1"/>
        <s v="DURACELL EVERYDAY ALKALINE AA2" u="1"/>
        <s v="SAN MARINO CORNED TUNA CALDERETA 155GX48 (NEW)" u="1"/>
        <s v="(INACTIVE) SAN MARINO CORNED TUNA 48X85G (Easy-Open)" u="1"/>
        <s v="Jolly Pineapple Chunks 567g" u="1"/>
        <s v="PERFECT SOFT N DRY W/ WINGS 8SX36P" u="1"/>
        <s v="SOO-YOUNG SOAP FOR YOUNG WOMEN 60Gx120" u="1"/>
        <s v="Perfect Ultrathin 20sx48x2-B1T1" u="1"/>
        <s v="PROMO-2 BINGO CB 100G+1 BINGO ML 100G" u="1"/>
        <s v="DURACELL EVERYDAY ALKALINE AA4" u="1"/>
        <s v="(INACTIVE) CDO MEAT LOAF 48X100G" u="1"/>
        <s v="LibY Whitening and Stain Free Detergent Powder 50g" u="1"/>
        <s v="DANES CHEESE SPREAD 220GX24 (NEW)" u="1"/>
        <s v="PROMO-2 SM MAC S.S 180G+1 SM MAC T.S 180G" u="1"/>
        <s v="YELLOWFIN TUNA BELLY 1KG" u="1"/>
        <s v="GARDENIA INDOMIE MI GORENG 85G X 40" u="1"/>
        <s v="Bon Bon Feeding Bottle Plain 4oz" u="1"/>
        <s v="Good Life Bread Crumbs 230gx30" u="1"/>
        <s v="WINROX Bleach - Elegant Breeze 48X250Ml" u="1"/>
        <s v="Juicee 12sx12" u="1"/>
        <s v="Good Life Bihon 200gX30" u="1"/>
        <s v="BUDGET 800g Sunflower Fresh Powderx12" u="1"/>
        <s v="HAWKWAY 12.00 R 20 HK808 MINING LUG 20PR" u="1"/>
        <s v="SWEET KAONG (RED) 24X12OZX340G" u="1"/>
        <s v="SMILEYS VANILLA 32GX10X20 (POLYBAG)" u="1"/>
        <s v="Dona Elena Spanish Sardines Mild Spicy" u="1"/>
        <s v="Jolly Green Peas 425g" u="1"/>
        <s v="Foodcrafters Negosyo Pack Chicken 1k x 10" u="1"/>
        <s v="Bon Bon Feeding Bottle Plain 8oz" u="1"/>
        <s v="Perfect Minipads 10sx60x2-B1T1" u="1"/>
        <s v="Ego Milky Fruit Milk Drink 24's x 16pks (338)" u="1"/>
        <s v="Smart Choice Scented Wipes Travel Pack 15sx96P" u="1"/>
        <s v="DANES QUICKMELT CHEESE 165G" u="1"/>
        <s v="Bon Bon Baby Oil Lightly Scented 30mlx72" u="1"/>
        <s v="(INACTIVE) SPEED BBFR 1KG + 2 FREE 55G MORE 150G 1:2" u="1"/>
        <s v="CDO KARNE NORTE 48X175G (EASY-OPEN)" u="1"/>
        <s v="PROMO-CDO LUNCHEON MEAT 350G" u="1"/>
        <s v="Mama Pina's Palm Oil 1L x 12 BTC" u="1"/>
        <s v="BEEF SHORT PLATE 1KG" u="1"/>
        <s v="GARDENIA INDOMIE MI GORENG HOT &amp; SPICY 85G X 40" u="1"/>
        <s v="SMILEYS VANILLA 65GX60 (SLUGPACK)" u="1"/>
        <s v="Jellybee Ice Pop 12's x 15 pks (259)" u="1"/>
        <s v="Deoplus Deodorant Powder 40g x 36 pcs" u="1"/>
        <s v="Jellybee Choco M 24 x 40pks (A994)" u="1"/>
        <s v="(INACTIVE) MAMA PINA'S OIL 350ML W/ SOYA 36X1" u="1"/>
        <s v="Alcoplus ECQ Isopropyl 70% 250mlFtx48" u="1"/>
        <s v="Dona Elena Sweet Red Wine 750ml" u="1"/>
        <s v="Cricket Elec Simplicity (50's/tray) (ED-4 Electronic)" u="1"/>
        <s v="King Cup Sardines in Tomato Sauce 155gx100-EOC (NEW)" u="1"/>
        <s v="Jellybee Jelly Stick 160g x 20 x 24pks (266)" u="1"/>
        <s v="SUPER Q - Q1 Misua 160g x 48" u="1"/>
        <s v="Chooga Pineapple Juice Drink 250ml" u="1"/>
        <s v="FRESH ECONOROLL BTR 2PLY 150PULLS 300S 11+1x12P" u="1"/>
        <s v="PROMO-CDO KN 260GX2" u="1"/>
        <s v="Jolly Salted Black Beans 100gx48" u="1"/>
        <s v="H &amp; Y Assorted Mini Fruits Candy 24's x 40 packs (618)" u="1"/>
        <s v="ALIBABA FUN STICK PEANUT 20GX10'SX10" u="1"/>
        <s v="GARDENIA TWIGGIES PINK CAKE (in POLYBAG 8X20G)" u="1"/>
        <s v="CHOCO JOY 50'SX40 (809)" u="1"/>
        <s v="Tasty Palamig Sagot Gulaman 25gx288" u="1"/>
        <s v="SEA QUEST TUNA FLAKES IN OIL 48X180G (E.O)" u="1"/>
        <s v="GARDENIA B2T1 - CHR CHR CSR" u="1"/>
        <s v="SELECT Cane Vinegar (1/2Gal) 6X1895Ml" u="1"/>
        <s v="(INACTIVE) CDO KARNE NORTE CLASSIC 24X60G" u="1"/>
        <s v="1CDOML150G+1CDOBL150G+CDOCL150GPRMPCK" u="1"/>
        <s v="SELECT Cane Vinegar (1 Gal) 4X3795Ml" u="1"/>
        <s v="Cricket Elec Simplicity (50's/tray) (4-14165012)" u="1"/>
        <s v="Family Rubbing Alcohol 70% w/ Moist 500ml" u="1"/>
        <s v="Sulit! Saver Spaghetti 20 x 1 kg (77943)" u="1"/>
        <s v="3IN1 SUPER COFFEEMIX TOFCARAMEL 10X24X28G - 2+1" u="1"/>
        <s v="GARDENIA CHEESE BUNS 250G" u="1"/>
        <s v="CJF DELIUM 185 R14" u="1"/>
        <s v="Promo-Fiona Bubbly Pink 50ml w/ Cool Burst 25ml" u="1"/>
        <s v="LOTUS BISCOFF SANDWICH MILK CHOCOLATE 150G" u="1"/>
        <s v="Select Soy Sauce 350mL PET x 24" u="1"/>
        <s v="3IN1 SUPER COFFEEMIX ORIG 10X24X18G - LESS 33%" u="1"/>
        <s v="Deoplus Tawas Powder 50g x 144 pcs" u="1"/>
        <s v="GARDENIA DELICIA HAZELNUT CHOCOLATE SPREAD 200G" u="1"/>
        <s v="Pork Lumpiang Shanghai Negosyo Pack 400g x 18" u="1"/>
        <s v="Perwoll Brilliant White Sachet 144x60ml" u="1"/>
        <s v="Jolly Asparagus (Spears)430gX24" u="1"/>
        <s v="GARDENIA DELICIA MILKY CHOCOLATE SPREAD 200G" u="1"/>
        <s v="GLADLY BATHROOM TISSUE 500'Sx1x96" u="1"/>
        <s v="H &amp; Y Assrtd. Artificially Flavoured Bub.Gum 72gx40 pks (A901)" u="1"/>
        <s v="iColor Plus Shampoo-In Hair Color Medium Brown 30ml 5+1FREE" u="1"/>
        <s v="Fiona 25ml 6pcs w/ Free 1doz Gel Sachet" u="1"/>
        <s v="CJF 17.5 RIM 6 HOLES" u="1"/>
        <s v="BINGO CORNED BEEF 150GX3-SAVER'S PACK" u="1"/>
        <s v="H &amp; Y Taro Ube 300gx20 (106)" u="1"/>
        <s v="PAKYAW RING CALAMARES 300G X 10/bld" u="1"/>
        <s v="GARDENIA TWIGGIES CHOCO BROWN CAKE (in POLYBAG 8X20G)" u="1"/>
        <s v="Jelly Cup Clear Bucket 9gx120sx12" u="1"/>
        <s v="Pagoda Air Freshener Apple" u="1"/>
        <s v="Good Life Premium Vermicelli 500g" u="1"/>
        <s v="Caterpillar Gummy 250gx30" u="1"/>
        <s v="SPEED 500g Babad Fresh Roses Powderx24" u="1"/>
        <s v="Mama Pina's Palm Oil 500ml x 24 BWS" u="1"/>
        <s v="Mama Pina's Palm Oil 350ml x 36 (Inactive)" u="1"/>
        <s v="PROMO-KERATIN PLUS LUXURIOUS RED 20G 10+2" u="1"/>
        <s v="SWEET BABY PLUS - MINI PACK MED 4/36" u="1"/>
        <s v="(INACTIVE) Mama Pina's Bundle E (1B+1B+1OIL350)" u="1"/>
        <s v="Jolly Spreads Swirl Hazelnut 400g" u="1"/>
        <s v="CDO LUNCHEON MEAT X 2 COMBO SAVERS" u="1"/>
        <s v="CDO MEAT LOAF 100G - PROMO" u="1"/>
        <s v="Haba-Haba Yogurt 50sx40" u="1"/>
        <s v="Gatorade Blue Bolt 350mlx24" u="1"/>
        <s v="Jolly Corn Oil 2Lx6" u="1"/>
        <s v="CJF BATTERY NS40 GOLD" u="1"/>
        <s v="(INACTIVE) Alcoplus ECQ Ethyl Alcohol 250mlFtx48" u="1"/>
        <s v="Alcoplus Advance Antibacterial Sanitizer 40mlx36" u="1"/>
        <s v="(INACTIVE) Fiona Snow Breeze 50mlx36" u="1"/>
        <s v="Arla Organic Low Fat Milk 200ml" u="1"/>
        <s v="Richoco Cookies - Cookies &amp; Cream 28G x 20ib x 10+1pcs" u="1"/>
        <s v="HAENO LARVACIDE POWER C" u="1"/>
        <s v="Perfect Cottony Soft N Dry Overnights 8x24x2 B1T1" u="1"/>
        <s v="BUDGET 65g Sunflower Fresh Powderx192" u="1"/>
        <s v="Family Rubbing Alcohol 70% w/ Moist 150ml" u="1"/>
        <s v="Family Rubbing Alcohol 70% w/ Moist 250ml" u="1"/>
        <s v="MON'AMI BUTTERCREAM 50'SX40 (968)" u="1"/>
        <s v="Perwoll Classic Laundry Detergent 24x500ml" u="1"/>
        <s v="(INACTIVE) PROMO-2 BINGO CB 150G+1 BINGO ML 150G" u="1"/>
        <s v="Home Care Vewin 84 Household Disenfectant 600ml" u="1"/>
        <s v="KeratinPlus Black 20g x 24 packs (12+2)" u="1"/>
        <s v="RESTOBAR MINI FOLDED TN 40'Sx96" u="1"/>
        <s v="Fiona Bubbly Pink 50mlx36" u="1"/>
        <s v="FRENCH FRIES (LUTOSA) 1KG X 10" u="1"/>
        <s v="GARDENIA BUTTER TOAST 2SLICES X 12PACKS" u="1"/>
        <s v="Grips Wax - Extreme Hard &amp; Mat 5gx12x36" u="1"/>
        <s v="H &amp; Y Gold Coin 100's x 12 jars (A905)" u="1"/>
        <s v="PACKAGING TAPE 2''X100M CLEAR (CONNAN)" u="1"/>
        <s v="DEESTONE 8.25-20 D103 RIB 14PR" u="1"/>
        <s v="Grips Strong Hold Green 60gx72" u="1"/>
        <s v="BUDGET POWERBLUE 360G DET. BAR X 36" u="1"/>
        <s v="Promo-KeratinPlus Shampoo Hair Fall Control 22ml(11+1)" u="1"/>
        <s v="HAENO LARVACIDE POWER D" u="1"/>
        <s v="CJF BATTERY 2D TRUCKMASTER" u="1"/>
        <s v="Perfect Ultrathin Liners 20sx48" u="1"/>
        <s v="(INACTIVE) CDO BEEFIO LUNCHEON BEEF 24X350G" u="1"/>
        <s v="CARP SOY SAUCE 350ML PET" u="1"/>
        <s v="ER Saver MEG 8 x 5 kg (77921)" u="1"/>
        <s v="SEA QUEST TUNA FLAKES IN OIL 48X155G" u="1"/>
        <s v="Freeda Pantyliner Single Wrap 20's+2 x 36" u="1"/>
        <s v="ALIBABA FUN CRACKER MILK 20GX10'SX10" u="1"/>
        <s v="Old Orchard Apple Cranberry Juice 64oz" u="1"/>
        <s v="(INACTIVE) SPEED FABCON 380Gx3'S+FREE FABCON 160G (3:1)X12" u="1"/>
        <s v="PROMO-3 HIGHLANDS C.BEEF 150GX16" u="1"/>
        <s v="ATLANTIC GEAR OIL EP SAE 90 GL-4 (DRUM)" u="1"/>
        <s v="Welch 100% Grape Juice Purple 16oz" u="1"/>
        <s v="Dona Elena Flat Fillet Anchovies 56g" u="1"/>
        <s v="ER Healthy Spaghetti 12 x 1 kg (77932)" u="1"/>
        <s v="PROMO-2 MAMA PINA'S PALM OIL 1L FREE ALIBABA BISCUITS" u="1"/>
        <s v="iColor Hair Dye Shampoo 30ml Burgundy 10'sx12" u="1"/>
        <s v="CHEEZY FRANKS 500G" u="1"/>
        <s v="iColor Plus Hair Color Crème Ash Gray 40ml 10sx12" u="1"/>
        <s v="DONA ELENA WHOLE PEELED TOMATOES 800G" u="1"/>
        <s v="DONA ELENA DICED CANNED TOMATOES 2550G" u="1"/>
        <s v="(INACTIVE) CDO KARNE NORTE CLASSIC 100GX48 NL" u="1"/>
        <s v="(INACTIVE) Fries Mccain Smile 500g" u="1"/>
        <s v="Jelly Stick Clear Pack 24sx25" u="1"/>
        <s v="Tipid Pack Speed FC 135g+Pow FR 55g" u="1"/>
        <s v="SAN MARINO PREMIUM SPANISH SARDINES 24X240G" u="1"/>
        <s v="Jolly Claro Merienda Packx6" u="1"/>
        <s v="Jolly Claro Palm Oil 2Lx6 SUP" u="1"/>
        <s v="FRESH BTR 2PLY JUMBO PACK 4`SX12P" u="1"/>
        <s v="Dryplus MOM&amp;BABY CONVI PACK L24" u="1"/>
        <s v="(INACTIVE) Grips Hair Clay 75gx24" u="1"/>
        <s v="PROMO-6 CDO MEAT LOAF 150G FREE 1 BINGO CB 60G" u="1"/>
        <s v="WISHBONE THOUSAND ISLAND DRESSING 8OZ" u="1"/>
        <s v="Jolly Pcs &amp; Stems Mushroom 2840gx6" u="1"/>
        <s v="Family Aguardiente 180ml" u="1"/>
        <s v="Smart Choice Cotton Rolls 90g 24P" u="1"/>
        <s v="BUDGET Jr Purple Blossom 120g Barx96" u="1"/>
        <s v="Super Save Macaroni 5k-Ridge Small" u="1"/>
        <s v="PORK JOWLS 1KG" u="1"/>
        <s v="2Jolly Cream of Mushroom Soup 10.5oz Save 8" u="1"/>
        <s v="GENKI TAPE LARGE 62'SX3" u="1"/>
        <s v="Good Life Oyster Sauce 210mlx12" u="1"/>
        <s v="CHIPS DELIGHT BROWNIES COOKIES 200GX24" u="1"/>
        <s v="ARLA MILK GOODNESS ORGANIC 1L" u="1"/>
        <s v="Foodcrafters Sliced Ham 250g" u="1"/>
        <s v="BS - CHEESE ENSAYMAMON" u="1"/>
        <s v="PROMO-2 SM MAC T.S 180G+1 SM MAC S.S 180G" u="1"/>
        <s v="SAN MARINO CORNED TUNA 150GX48 (NEW)" u="1"/>
        <s v="KOOL'EM  SOFT CHEWY 50'SX40 (808)" u="1"/>
        <s v="Good Life Premium 1st Class Vermacelli 1kg" u="1"/>
        <s v="Vaccum Sealed Boneless Bangus Triples (M)" u="1"/>
        <s v="(INACTIVE) Nanays Pork Tocino Ham 230g x 36" u="1"/>
        <s v="Brooke Farm Whole Mushrooms 425g x 24" u="1"/>
        <s v="SMILEYS BERRY BLAST STRAWBERRY 20GX10X20" u="1"/>
        <s v="GARDENIA BLUEBERRY MUFFIN" u="1"/>
        <s v="REMITTANCE SHORTAGES" u="1"/>
        <s v="Family Rubbing Alcohol 70% 473ml" u="1"/>
        <s v="LibY Dishwashing Liquid Green Tea (Translucent) 460ml" u="1"/>
        <s v="SPEED KAL 1kg Get 500 SK@50%off" u="1"/>
        <s v="CDO KARNE NORTE 48X150G (EASY-OPEN)" u="1"/>
        <s v="ER Saver Small Elbow 8 x 5 kg" u="1"/>
        <s v="Grips Hair Clay 25g x 216" u="1"/>
        <s v="TIPID PACK SPEED FABCON 130GPOW PW55" u="1"/>
        <s v="ARLA CHEESY SPREAD 240G 2" u="1"/>
        <s v="CJF BATTERY 3SMF ENDURO" u="1"/>
        <s v="Promo-Fiona Rosy Red 100mlFTx24 w/ Shampoo" u="1"/>
        <s v="SPEED 1kg Kalamansi Powderx12(new)" u="1"/>
        <s v="(INACTIVE) BINGO CARNE NORTE 100GX48" u="1"/>
        <s v="PROMO-3 CDO BEEF LOAF 150G" u="1"/>
        <s v="Beybiko Baby Diapers Small 12's x 12" u="1"/>
        <s v="Vernel Wild Rose 35ml 6+1x48" u="1"/>
        <s v="DAILYFIX NUTTY GRANOLA 700G" u="1"/>
        <s v="SAN MARINO CORNED TUNA 48X150G (EASY-OPEN)" u="1"/>
        <s v="SPEED BBFR55Gx6's+2FREE" u="1"/>
        <s v="SPEED BBPW 1KG + 2 FREE 55G MORE 150G 1:2" u="1"/>
        <s v="SPEED SB x3's less 5pesos" u="1"/>
        <s v="TRAVELER PREM. FACIAL TISSUE 150'SX48 (FANCY)" u="1"/>
        <s v="PINOY FIESTA PREMIUM HOTDOG 230G" u="1"/>
        <s v="iColor Plus Shampoo-In Hair Color Chestnut Brown 30ml 5+1FREE 2" u="1"/>
        <s v="CDO KARNE NORTE 24X60G (OLD)" u="1"/>
        <s v="MAMA PINA'S PALM OIL 1L W/ FREE 1 PC SELECT SOY 200ML" u="1"/>
        <s v="AVIKO CRINKLE CUT 2.5KGX4" u="1"/>
        <s v="500ML BOTTLE PALM (MBC)" u="1"/>
        <s v="(INACTIVE) iColor Hair Dye Shampoo Dark Brown 30ml 10'sx48" u="1"/>
        <s v="(INACTIVE) Tipid Pack Speed Kal 135g+Pow FR 55g" u="1"/>
        <s v="Capture Nature Tawas Super Strength 50ml" u="1"/>
        <s v="Sweetbaby Premium 4 hands and faces 30`sx48P" u="1"/>
        <s v="CDO KARNE NORTE CLASSIC 260GX48" u="1"/>
        <s v="SPEED 90g Babad FC w/Power Whitener Powderx96 2" u="1"/>
        <s v="Yumbites King Hotdog 1k - Free" u="1"/>
        <s v="ARLA MILK GOODNESS ORGANIC 200ML" u="1"/>
        <s v="PrimeCare Adult Diaper L 10x8" u="1"/>
        <s v="SPEED FC x3's less 5pesos" u="1"/>
        <s v="BUDGET WHITE W/ANTIBAC 360G DET. BAR X 36" u="1"/>
        <s v="Mama Pina's Bundle E (1B+1B+1OIL350)" u="1"/>
        <s v="SPEED KAL x3's less 5pesos" u="1"/>
        <s v="DEESTONE 10.00-20 NYLON LUG" u="1"/>
        <s v="(INACTIVE) BUDGET PB 65gx6's+Free Budget Powder SF 65g 6:2" u="1"/>
        <s v="Vernel Lavender 35ml 6+1x48" u="1"/>
        <s v="Nanays Beef Tapa Garlic &amp; Pepper 480g x 20" u="1"/>
        <s v="(INACTIVE) Cricket Mini Faces Series (50's/tray) (4-12165021)" u="1"/>
        <s v="(INACTIVE) Cricket Mini Simplicity Glossy Series (50's/tray) (4-12165005)" u="1"/>
        <s v="CDO TOCINO LOAF 48X150G" u="1"/>
        <s v="(INACTIVE) Mama Pina's Bundle P" u="1"/>
        <s v="(INACTIVE) Dona Elena Capers in Vinegar 100g" u="1"/>
        <s v="SPEED 55gMW 150gx5's+1FREE 40gMW 135g 5:1" u="1"/>
        <s v="Promo-Pic Poc Grape 250ml+1 ChocoMucho" u="1"/>
        <s v="PROMO-2 MAMA PINA'S PALM OIL 500ML FREE ALIBABA BISCUITS" u="1"/>
        <s v="BOX 1000MLx12 (SUPERIOR)" u="1"/>
        <s v="H &amp; Y Frosty J.r Icy Cone Candy 24'sx16packs (295)" u="1"/>
        <s v="H &amp; Y Lychee 1500gx6 (103)" u="1"/>
        <s v="SWEET NATA DE COCO (GRN) 24X12OZX340G" u="1"/>
        <s v="Cricket Elec Simplicity (25's/tray) (ED-4 Electronic)" u="1"/>
        <s v="(INACTIVE) DANES CHEESE BACON IN CADDY BOX 35GX144" u="1"/>
        <s v="CDO KARNE NORTE CLASSIC 60GX6 SINGLES" u="1"/>
        <s v="BERYL'S DOUBLE CHOCOLATE CHUNK COOKIES MIX 500Gx18" u="1"/>
        <s v="(INACTIVE) CDO LIVER SPREAD 48X85G (EO)" u="1"/>
        <s v="Tasty Palamig Pineapple 500gx20" u="1"/>
        <s v="TOFIKO CHOCO CRISP 10'SX12X26G (658)" u="1"/>
        <s v="Foodcrafters Longanisa 240g" u="1"/>
        <s v="Freeda Clean and Dry Net Side Night Use w/ wings 8's+1 x 36" u="1"/>
        <s v="CARP VEGAN SEASONING 19KG CARBOUY" u="1"/>
        <s v="HIGHLANDS CORNED BEEF REGULAR 100GX48" u="1"/>
        <s v="Jar-Wax Extreme Hard &amp; Mat 25gx48" u="1"/>
        <s v="LYE WATER X 24KGS" u="1"/>
        <s v="3 Jolly Pcs &amp; Stem 198g w/ 2 Jolly Green Pies 155g" u="1"/>
        <s v="Fiona Sweet Breeze  75mlx24" u="1"/>
        <s v="GARDENIA CLASSIC WHITE BREAD 400g" u="1"/>
        <s v="VACANT" u="1"/>
        <s v="(INACTIVE) SMCTR150GX3_SAVE P6.00 S&amp;M PROMO" u="1"/>
        <s v="EL REAL PARTY PASTA RAINBOW SALAD 30X400G" u="1"/>
        <s v="Tasty Palamig Buko Pandan 500gx20" u="1"/>
        <s v="Dino Egg Gum Jar 150sx12" u="1"/>
        <s v="GARDENIA BUTTER TOAST 2 (POLYBAG)" u="1"/>
        <s v="Dona Elena White Wine 750 ml" u="1"/>
        <s v="Winrox EB 1L + 1FREE BBPW 55g 1:1" u="1"/>
        <s v="Tasty Palamig Blue Lemonade 25gx288" u="1"/>
        <s v="SELECT Cane Vinegar 72X100Ml" u="1"/>
        <s v="RAIMOL MONO 40 SG/CD (RD200L)" u="1"/>
        <s v="CHOCQUIK FIVE 10'SX20X25G (849)" u="1"/>
        <s v="Jolly Whole Kernel Corn 120gx48" u="1"/>
        <s v="Foodcrafters Negosyo Pack Beef 1k x 10" u="1"/>
        <s v="(INACTIVE) CDO VIENNA SAUSAGE 48X70G" u="1"/>
        <s v="GARDENIA POCKET SANDWICH CHOCOLATE 50G" u="1"/>
        <s v="Fundador Solera 200ml x 48" u="1"/>
        <s v="TOP 8.5 - 20 (10H) RIM" u="1"/>
        <s v="Promo-Freeda Soft Cotton Day &amp; Night Plus Pliner 8's(3x18)" u="1"/>
        <s v="Fiona Pretty Mist 75mlx24" u="1"/>
        <s v="Jolly Cow Non Fat Milk 1LX12" u="1"/>
        <s v="(INACTIVE) CDO LIVER SPREAD 48X85G" u="1"/>
        <s v="GARDENIA DELICIA MILKY CHOCOLATE 30G" u="1"/>
        <s v="Fresh Watermelon Powder 24sx40" u="1"/>
        <s v="Natalicious Mango 250mlx10" u="1"/>
        <s v="SWEET KAONG (GREEN) 24X12OZX340G" u="1"/>
        <s v="Saint Sealand Fresh Jasmine Air Freshener 320ml" u="1"/>
        <s v="GARDENIA DELIZIO CAFFINO CLASSIC LATTE 30G X 24TIES X 10PCS" u="1"/>
        <s v="ALI BIG LOVE SNACK NACHO 500G" u="1"/>
        <s v="Select 1L Partner Pack (Soy&amp;SP) x 6" u="1"/>
        <s v="Jolly Vegetable Oil 16.2" u="1"/>
        <s v="DANES CLASSIC CHEESE BLOCK 165Gx24" u="1"/>
        <s v="SPEED 90G BABAD FRESH ROSES POWDER FL x96" u="1"/>
        <s v="CONAPLORE UHT FULL CREAM MILK 1LX12" u="1"/>
        <s v="SAN MARINO TAWILIS IN CORN OIL 180GX48" u="1"/>
        <s v="DON FRANK BUKO PANDAN GULAMAN 24GX10'SX24" u="1"/>
        <s v="CORR. BOX=PALMOIL 24X500ML" u="1"/>
        <s v="SELECT Sukang Puti 24X350Ml" u="1"/>
        <s v="Richoco Wafer MLBB 50gx60pcs" u="1"/>
        <s v="ARLA Milk Goodness Organic 200ml 2" u="1"/>
        <s v="(INACTIVE) FREE MUFFIN FACE MASK" u="1"/>
        <s v="2Jolly Whole Mush400g+1Cream of Mush10.5oz Save 15" u="1"/>
        <s v="Fiona Rosy Red 50mlFtx36" u="1"/>
        <s v="Foodcrafters Bacon 250g - Free" u="1"/>
        <s v="Sofee Jelly Powder Mix - Orange Flavor 15g x 10 sachets x 10DB (816)" u="1"/>
        <s v="Cricket Orig Simplicity (50's/tray) (ED-1 Original)" u="1"/>
        <s v="GENKI TAPE SMALL 82+5'SX3" u="1"/>
        <s v="Cricket Mini Faces Series (50's/tray) (4-12165021)" u="1"/>
        <s v="Tasty Palamig Lemon Iced Tea 500gx20" u="1"/>
        <s v="(INACTIVE) Nanay's Pork Tocino Classic 1kg x 10" u="1"/>
        <s v="KeratinPlus Shampoo Daily Nourishing 22ml x 12's" u="1"/>
        <s v="SPEED BBFR 1kg Get 1kg BBFR@30%off" u="1"/>
        <s v="CHAMPI TSOKO PNUTS PREMIUM 20'SX48 (795)" u="1"/>
        <s v="Good Life Vermicelli 16ozX50" u="1"/>
        <s v="ARLA MILK GOODNESS FULL CREAM 1L B2S10" u="1"/>
        <s v="Mama Pina`s Boneless Bangus Double L(2)" u="1"/>
        <s v="SMART CHOICE CORELESS 2`S X 90P" u="1"/>
        <s v="CDO MEAT LOAF 48X150G (OLD)" u="1"/>
        <s v="BINGO CORNED BEEF 60GX8 BUNDLE" u="1"/>
        <s v="Dona Elena Pure Olive Oil 5L x 3" u="1"/>
        <s v="Langnese Bee Easy Lavender Honey 250g" u="1"/>
        <s v="SELECT Sukang Puti 36x340ml w/Easy Twist cap" u="1"/>
        <s v="SELECT Soy Sauce 144x60ml" u="1"/>
        <s v="Nyam Nyam Jumbo Hotdog 500g" u="1"/>
        <s v="Fiona Ice Glacier 50mlx36" u="1"/>
        <s v="KIKIAM 250G (1/4K)" u="1"/>
        <s v="PROMO CORELESS 10'Sx18" u="1"/>
        <s v="(INACTIVE) Mama Pina's Pancit Canton 227g x 5" u="1"/>
        <s v="Nyam Nyam King Size Hotdog 1.2kg" u="1"/>
        <s v="SBD SUPREME COMFORT MEDIUM 22/12" u="1"/>
        <s v="LibY Fabric Softener Floral Scent 1000ml" u="1"/>
        <s v="H &amp; Y Sofee Assorted w/ Nata De CoCo 24'sx20packs (282)" u="1"/>
        <s v="PROMO-SAN MARINO CTR 180GX3" u="1"/>
        <s v="(INACTIVE) BINGO CORNED BEEF 60GX24 (SINGLE)" u="1"/>
        <s v="Promo -  Grips Gel Clear60g3+2 (Save P8.70)" u="1"/>
        <s v="ALIBABA FISH CRACKER 16GX10'SX20" u="1"/>
        <s v="DANES SWEET AND CREAMY 180GX24" u="1"/>
        <s v="Mama Pina's Palm Oil 350ml x 36 BWS" u="1"/>
        <s v="Delicious Macaroni 5k-Salad" u="1"/>
        <s v="Gatorade Blue Bolt 1.5Lx12" u="1"/>
        <s v="CHOCQUIK 20g 12'SX18 (8080)" u="1"/>
        <s v="Pagoda Pure Acetone 946ml" u="1"/>
        <s v="iColor Hair Dry Shampoo Triple Color Changer 25ml 10'sx12" u="1"/>
        <s v="SPEED 55GMORE WHITE 150GX5'S+1FREE 5:1" u="1"/>
        <s v="Super Save Macaroni 5k-Salad" u="1"/>
        <s v="4LITERS BOTTLE SOYA [SQUARE] (BPSI)" u="1"/>
        <s v="BIGTIME CHEESE 165GX24" u="1"/>
        <s v="HIGHLANDS CORNED BEEF 48X100G" u="1"/>
        <s v="BON CHEF PANKO BREAD CRUMBS 1KGX10" u="1"/>
        <s v="SFC 380G+1FREE BBPW-LZ 55g x 36" u="1"/>
        <s v="CLARO PET DUO PACK WITH KING CUPX6" u="1"/>
        <s v="Red Bull Supreme x2sx25 w/free Carabiner" u="1"/>
        <s v="Promo-Chooga Juice Grapes 200ml + 1 Breadpan" u="1"/>
        <s v="CHOCQUIK'O  CHOCO MALT TABLET  12'SX50 (1048)" u="1"/>
        <s v="Brooke Farms Sweetened Condensed Creamer 380gx48" u="1"/>
        <s v="Jolly Salted Black Beans 180gx48" u="1"/>
        <s v="CDO KARNE NORTE CLASSIC 150GX48" u="1"/>
        <s v="Cricket Pocket Pastel 'Cricket Buddy' (25's/tray) (4-15162501)" u="1"/>
        <s v="Foodcrafters Bacon 250g - PG" u="1"/>
        <s v="Vernel Antibac-Lavender Refill 1tr" u="1"/>
        <s v="POTCHI GUMMY BEAR 50'SX40 (891)" u="1"/>
        <s v="TWO FOR HUE IC (LIGHT BROWNx2) 25ML" u="1"/>
        <s v="iColor Hair Dry Shampoo Triple Color Changer 25ml 10'sx64" u="1"/>
        <s v="Welch 100% Grape Juice Purple 46oz" u="1"/>
        <s v="ER Macaroni Salad 30 x 400 g (77758)" u="1"/>
        <s v="BUDGET Power Blue 380g Det.Barx36" u="1"/>
        <s v="CDO KARNE NORTE CLASSIC 48X100G" u="1"/>
        <s v="3in1 Super Coffee Mix Hazelnut 10x24x28g" u="1"/>
        <s v="AlcoPlus Ethyl 60mlx36-Spray" u="1"/>
        <s v="RESTOBAR TRASH BAG BLACK XXL 10'Sx50" u="1"/>
        <s v="V FRESH SPEARMINT 50+5'SX40 (1018)" u="1"/>
        <s v="RESTOBAR PLASTIC FORKS 25'Sx50" u="1"/>
        <s v="Alcoplus Isoproply 70% 330ml x 24 - Spray" u="1"/>
        <s v="PINOY FIESTA MEATBALL 220G" u="1"/>
        <s v="(INACTIVE) 2SMCTR150G+1SMCTSS150G PROMO PACK" u="1"/>
        <s v="ER Spaghetti 24 x 400 g (77714)" u="1"/>
        <s v="CDO KARNE NORTE CHUNKY 48X150G" u="1"/>
        <s v="SBD SUPREME COMFORT SMALL 4/36" u="1"/>
        <s v="H &amp; Y Taro Ube 1500gx6 (107)" u="1"/>
        <s v="TIPID PACK SPEED BLUE 135G+POW FR 55G x 40" u="1"/>
        <s v="Chooga Chiller Orange 250ml" u="1"/>
        <s v="TRAVELER ADULT DIAPER ESSENTIALS M-L 10'Sx10" u="1"/>
        <s v="Dona Elena Blended Oil 1Lx15" u="1"/>
        <s v="SPD BBPW-L 2KGS+1FREE BBPW-L 500G 1:1 BY 6" u="1"/>
        <s v="Cricket Orig Simplicity (25's/tray) (4-11162501)" u="1"/>
        <s v="2 BINGO CORNED BEEF 100G+1 BINGO MEAT LOAF 100G" u="1"/>
        <s v="iColor Plus Shampoo-In Hair Color Dark Brown 30ml 5+1FREE" u="1"/>
        <s v="CJF DELIUM 165/65 R13" u="1"/>
        <s v="CJF DELIUM 185/60 R15" u="1"/>
        <s v="DEESTONE 11.00R22.5 SV401 RIB 18PR 151/148K" u="1"/>
        <s v="GARDENIA HIGH FIBER WHEAT RAISIN LOAF 400g" u="1"/>
        <s v="2 BINGO CORNED BEEF 150G+1 BINGO MEAT LOAF 150G" u="1"/>
        <s v="(INACTIVE) CDO LUNCHEON MEAT 48X150G" u="1"/>
        <s v="ALIBABA HAPPY BEAR PLAIN 20GX10'SX10" u="1"/>
        <s v="H &amp; Y Star Cup Chocolate + Biscuit 24's x 30 packs (644)" u="1"/>
        <s v="EGG BITS PLAIN 15GX10X10" u="1"/>
        <s v="BIG SMILE SULIT BUNDLES" u="1"/>
        <s v="BUNGE NON-DAIRY WHIP TOPPING 1LX12" u="1"/>
        <s v="PROMO-KERATIN PLUS BLACK 20G 10+2" u="1"/>
        <s v="SOYA BEAN OIL (PARABOR)" u="1"/>
        <s v="iColor Hair Dry Shampoo Triple Color Changer 25ml 10'sx48" u="1"/>
        <s v="GARDENIA PANDESAL + FREE NESCAFE (2GX3PCS)" u="1"/>
        <s v="Fresh Strawberry Powder 24sx40" u="1"/>
        <s v="SWEET KAONG (RED) 24X8OZX240G" u="1"/>
        <s v="3IN1 SUPER COFFEEMIX HAZELNUT 10X24X28G - FREE" u="1"/>
        <s v="GARDENIA NEUBAKE WHEATEN BREAD 480G PLUS BEAR BRAND" u="1"/>
        <s v="DEESTONE 11.00R20 SK421 BLOCK MIX 16PR 150/147K" u="1"/>
        <s v="WINROX BLEACH FRESH LEMON 1000ML W/FREE" u="1"/>
        <s v="H &amp; Y Golden Coin Chocoloate Candy 24's x 30 pks (A321)" u="1"/>
        <s v="Mama Pina's Palm Oil 1L x 12" u="1"/>
        <s v="OPERATIONAL SHORTAGES" u="1"/>
        <s v="GARDENIA UBE FILLED BUNS 80G" u="1"/>
        <s v="DON FRANK GREEN GULAMAN 24GX10'SX24" u="1"/>
        <s v="SPEED 55gMK 150gx5's+1FREE 40gMK 135g 5:1" u="1"/>
        <s v="Suka Pinakurat Sweetened 250mlx30" u="1"/>
        <s v="Jelly Cup Pudding Bucket 14gx300sx4" u="1"/>
        <s v="Shanghai Roll Chicken" u="1"/>
        <s v="ARLA MILK GOODNESS CHOCOLATE 200ML" u="1"/>
        <s v="Jolly Whole Corn Kernels 425gX24" u="1"/>
        <s v="SUPER Q - Golden Bihon 454g x 15" u="1"/>
        <s v="Jolly Canola Oil 1L-Duo" u="1"/>
        <s v="WINROX Bleach - Fresh Lemon 6X1/2Gallon" u="1"/>
        <s v="Time Break Cheese 20G x 20ib x 10pcs" u="1"/>
        <s v="PROMO BATHROOM TISSUE 2PLY 300'Sx12x8" u="1"/>
        <s v="CHRISTMAS PACK" u="1"/>
        <s v="(INACTIVE) HANVIN - CHARGE SALES INVOICE" u="1"/>
        <s v="Nanay's Pork Tapa Garlic &amp; Pepper 1kg x 10" u="1"/>
        <s v="Sofee Gulaman Powder Mix - Red (unflavored) 15gx10sctx10DB (803)" u="1"/>
        <s v="(INACTIVE) CDO LUNCHEON MEAT 48X165G (OLD)" u="1"/>
        <s v="Jolly Green Peas 155gx50" u="1"/>
        <s v="Delicious Spaghetti 1kx10w/Dole Butter &amp; C" u="1"/>
        <s v="2 MAMA PINA'S OIL 500 ML W/ FREE BINGO CORNED BEEF 60G" u="1"/>
        <s v="WINROX Bleach - Regular Scent 6X1/2Gal" u="1"/>
        <s v="2 Jolly Whole Corn + 2 Jolly Cream Corn" u="1"/>
        <s v="SWEET BABY PLUS - JUMBO PACK LGE 42/6" u="1"/>
        <s v="Fiona Cool Burst 50ml Spray x36" u="1"/>
        <s v="(INACTIVE) SPEED KAL 55GX6'S+1FREE 55GMORE SK 150G 6:1" u="1"/>
        <s v="(INACTIVE) SPEED Kalamansi 380g+35g Kal Free 1:1" u="1"/>
        <s v="Jackpot Hotdog Super King Size With Cheese 1.2kg" u="1"/>
        <s v="Pic Poc Mango 250ml" u="1"/>
        <s v="Chibog Regular Cheesedog 200g x 45" u="1"/>
        <s v="KeratinPlus Black 20g 11 + 1 promo" u="1"/>
        <s v="(INACTIVE) CDO BINGO KARNE NORTE 48X100G" u="1"/>
        <s v="GARDENIA MULTIGRAIN SOFT BUN" u="1"/>
        <s v="SPEED Detergent Bar - Kalamansi 36X380G" u="1"/>
        <s v="ER Macaroni MEG 48 x 250 g (77763)" u="1"/>
        <s v="Jolly Green Peas 100gx48" u="1"/>
        <s v="Yumbites Jumbo Hotdog 1kg x 10" u="1"/>
        <s v="FCI Bacon 12inch 1kg" u="1"/>
        <s v="Bon Bon Silicon Nipple" u="1"/>
        <s v="CHICKBOY POP-NIK Inasal 8G X 12 X 20 pack" u="1"/>
        <s v="SAN MARINO TUNA FLAKES IN OIL 48X180G" u="1"/>
        <s v="Happy Day Apple Juice 1L" u="1"/>
        <s v="(INACTIVE) BINGO CORNED BEEF 60GX8 BUNDLE" u="1"/>
        <s v="3CDOKN 100G SAVE 4.00-GANADO BUNDLE" u="1"/>
        <s v="2Jolly Whole Mush 400g w/free Olive Oil Pure 20ml" u="1"/>
        <s v="GARDENIA NEUBAKE SPANISH BREAD 150g" u="1"/>
        <s v="Promo-Alcoplus Advance 500ml w/ HandSanitizer 60ml" u="1"/>
        <s v="Fundador Ultra Smooth 12x1L" u="1"/>
        <s v="SBD EXPLORE LARGE 4/36" u="1"/>
        <s v="(INACTIVE) JINLI KOJIC ACID SOAP 65Gx2 w/ Alcohol 60ml (1x48)" u="1"/>
        <s v="(INACTIVE) SPEED BBPW55Gx6's+2FREE" u="1"/>
        <s v="Jimm's 3 plus 1 Coffee Mix with Ginseng 12's" u="1"/>
        <s v="Wilderness Berry Strawberry 21oz" u="1"/>
        <s v="SWEET BABY PLUS - MINI PACK LGE 4/36" u="1"/>
        <s v="Jellybee Assorted Fruity Jelly 12x30 (254)" u="1"/>
        <s v="GLADLY CORELESS TISSUE 30G 10'Sx18" u="1"/>
        <s v="Good Life Premium Vermicelli 250g" u="1"/>
        <s v="DANES BACON CHEESE 180GX24" u="1"/>
        <s v="JUMBO CHERRI JAR 120'SX12 (710)" u="1"/>
        <s v="SPEED SB 55Gx5'S+1FREE 5:1" u="1"/>
        <s v="Jolly Pineapple Chunks 432gx24" u="1"/>
        <s v="Good Life Sesame Oil 100mlx24" u="1"/>
        <s v="SPEED 55G MORE SPECK. BLUE 150G BARX96" u="1"/>
        <s v="(INACTIVE) Alcoplus Ethyl 500mlFtx24 Head Spray" u="1"/>
        <s v="Cricket Elec Pastel Series (25's/tray) (4-16162504)" u="1"/>
        <s v="RESTOBAR TRASH BAG BLACK LGR 10'Sx50" u="1"/>
        <s v="PACKAGING PAMINTA FINE (MACHINEWORLD)" u="1"/>
        <s v="WINROX Bleach - Fresh Flower 24X500Ml" u="1"/>
        <s v="CDO KARNE NORTE CLASSIC 48X150G (NEW)" u="1"/>
        <s v="Cocio Classic Chocolate Milk 270mlx8" u="1"/>
        <s v="ER YAKAP SARAP BUNDLE PACK 10X1.9KG" u="1"/>
        <s v="(INACTIVE) SMCCT150GX3_SAVE P6.00 S&amp;M PROMO" u="1"/>
        <s v="PROMO-CDO KARNE NORTE 48X100G" u="1"/>
        <s v="TENTAY PATIS FLAVOR 350ML PET" u="1"/>
        <s v="CDO KARNE NORTE HNS 100GX48 NL" u="1"/>
        <s v="PROMO BATHROOM TISSUE 1'Sx16x3 (PLASTIC BUNDLE)" u="1"/>
        <s v="(INACTIVE) Fiona Snow Breeze 25mlx36" u="1"/>
        <s v="Speed Dagdag Kal 150g x6's + 1 FREE by 16" u="1"/>
        <s v="Pagoda Muriatic Acid Household Grade 500ml" u="1"/>
        <s v="SAN MARINO TUNA FILLET SS 180GX48EO (IN)" u="1"/>
        <s v="LibY Super Clean Fragrant Detergent Powder 3000g" u="1"/>
        <s v="PROMO-3 CDO MEAT LOAF 100G AP" u="1"/>
        <s v="Gatorade Lemon 350mlx24" u="1"/>
        <s v="Good Life Sesame Oil 210mlX24" u="1"/>
        <s v="Grips Wax Hard &amp; Mat 25g x 216" u="1"/>
        <s v="(INACTIVE) iColor Organic Hair Dye Shampoo Black 25ml 10'sx64" u="1"/>
        <s v="Cricket Orig Simplicity (25's/tray) (ED-1 Original)" u="1"/>
        <s v="King Cup Sardines in T.S. Chili Added 155gx100-EOC OLD" u="1"/>
        <s v="OTSO VANILLA SANDWICH 10'SX20 (602)" u="1"/>
        <s v="10X16 HD BLUE" u="1"/>
        <s v="GARDENIA PREMIUM PANDESAL 350G FREE BB" u="1"/>
        <s v="SWEET NATA DE COCO (GRN) 12X24OZX680G" u="1"/>
        <s v="Alcoplus Isopropyl 40% 250mlFx48" u="1"/>
        <s v="CJF TIRE 175R13 8P OVATION" u="1"/>
        <s v="SPEED 500g Kalamansi Powderx24(new)" u="1"/>
        <s v="Tasty Palamig Mango 25gx288" u="1"/>
        <s v="CDO MEAT LOAF 150GX4 - SAVING BUNDLE" u="1"/>
        <s v="Jolly Canola 500 ml Duo Packx12" u="1"/>
        <s v="Alcoplus Isopropyl 40% 60mlFtx36" u="1"/>
        <s v="ALIBABA HAPPY BEAR CHOCO 20GX10'SX10" u="1"/>
        <s v="Paradiso Sardines in Tomato Sauce 425gx48" u="1"/>
        <s v="SWEET BABY PLUS - TRAVEL PACK SML 12/12" u="1"/>
        <s v="CDO KARNE NORTE HOT &amp; SPICY 48X100G" u="1"/>
        <s v="MAMA PINAS BUNDLE I (2C1L1BML100) X 6" u="1"/>
        <s v="SWEET BABY DIAPERS - NEW BORN 12/12" u="1"/>
        <s v="SUPER BUBBLE 40'SX40 (832)" u="1"/>
        <s v="Pagoda Cold Wave Lotion 473ml" u="1"/>
        <s v="Tasty Milktea Chocolate 500gx20" u="1"/>
        <s v="Grips Strong Hold Green 130gx48" u="1"/>
        <s v="Good Life Sesame Oil 420mlx24" u="1"/>
        <s v="CJF 7.00-16 12PR S253" u="1"/>
        <s v="(INACTIVE) MAMA PINA'S OIL 350ML W/FREE 4 SACHET PREMIUM PAMINTA" u="1"/>
        <s v="HUE SPEND LESS FOR COMPLETE IC (BLACK+ARGAN) 25ML" u="1"/>
        <s v="SAN MARINO TUNA SPREAD 48X85G" u="1"/>
        <s v="Promo-Fiona Rosy Red 100ml w/ Ice Glacier 75ml x 24" u="1"/>
        <s v="CJF BATTERY 2SM GOLD" u="1"/>
        <s v="PROMO BATHROOM TISSUE 2PLY 300'Sx4x24" u="1"/>
        <s v="Chooga Chiller Apple  200mlx10" u="1"/>
        <s v="CDO CORNED BEEF 48X175G" u="1"/>
        <s v="Cricket Mini Doggie Series (50's/tray) (4-12165023)" u="1"/>
        <s v="iColor ABKDT Intense Repair Plus Vit.B5 20ml 12'sx144x4" u="1"/>
        <s v="HANVIN - CHARGE SALES INVOICE" u="1"/>
        <s v="MAMA PINA'S BUNDLE H (1C1L1SV200) x 12" u="1"/>
        <s v="DANES HG MAYO 220G W/ SAUCER PROMO" u="1"/>
        <s v="Jolly Grass Jelly 540gx24" u="1"/>
        <s v="DON ELENA SANGRIA 750ML" u="1"/>
        <s v="COMFORSER R13/55R17 CF710 94V" u="1"/>
        <s v="Gelee Nata De Coco 20gx24sx20" u="1"/>
        <s v="SMART CHOICE BTR 2PLY 400PULLS 800S (+200S) 10+2X8P" u="1"/>
        <s v="CARP VEGAN SEASONING 3785ML PLASTIC" u="1"/>
        <s v="Jolly Pancit Pack Save 10" u="1"/>
        <s v="DANES CHILI CHEESE 165G" u="1"/>
        <s v="Chooga Chiller Pineapple  200mlx10" u="1"/>
        <s v="Motts 100% Apple Juice 32oz" u="1"/>
        <s v="SPEED KAL 380G X 2'S + 1FREE POW SK 55G 2:1" u="1"/>
        <s v="(INACTIVE) Grips Ignite 100ml w/ Free Clay 25g" u="1"/>
        <s v="HIGHLANDS CORNED BEEF 48X150G" u="1"/>
        <s v="Jolly Corn Oil 5Lx4" u="1"/>
        <s v="DRYPLUS B.DIAPER TRIAL PACK XL 4'Sx72" u="1"/>
        <s v="(INACTIVE) GARDENIA BUY 2 BREADROLL SAVE P11.50 - BUNDLE A" u="1"/>
        <s v="Pic Poc Grape 250ml" u="1"/>
        <s v="SUPER Q - Kan Mian 50g/12 x 24" u="1"/>
        <s v="3IN1 SUPER COFFEEMIX ORIG 10X24X18G - 2+1" u="1"/>
        <s v="Love Jelly 12sx12" u="1"/>
        <s v="Tasty Palamig Sagot Gulaman 500gx20" u="1"/>
        <s v="CDO KARNE NORTE CLASSIC 175GX48" u="1"/>
        <s v="DOLUX Bleach 24X500Ml" u="1"/>
        <s v="Fiona Pretty Mist 25mlx36" u="1"/>
        <s v="CHAMPI CHOCO PREMIUM 20'SX48 (791)" u="1"/>
        <s v="HIGHLANDS C BEEF PROMO 180GX48" u="1"/>
        <s v="SPEED Powder - Kalamansi 24X480G" u="1"/>
        <s v="GARDENIA CLASSIC WHITE BREAD 600g REGULAR SLICE" u="1"/>
        <s v="KONICA - C: KONICA INK - MAGENTA (KONIKA)" u="1"/>
        <s v="RAIMOL LUBRO DEO SAE 15W40 CF-4/SG (GP18L)" u="1"/>
        <s v="SWEET BABY PLUS - BIG PACK LGE 28/6" u="1"/>
        <s v="Franzia California Red 750mlx12" u="1"/>
        <s v="GARDENIA POCKET SANDWICH STRAWBERRY PASTILLAS" u="1"/>
        <s v="SAN MARINO CHILI CORNED TUNA 48X150G (EASY-OPEN)" u="1"/>
        <s v="SPEED 2Kg Babad FC w/Power Whitener Powderx6" u="1"/>
        <s v="Chooga Orange  Juice Drink 250ml" u="1"/>
        <s v="(INACTIVE) iColor Organic Hair Dye Shampoo Black 25ml 10'sx48" u="1"/>
        <s v="SAN MARINO CHILI CORNED TUNA 48X160G (Easy-Open)" u="1"/>
        <s v="Foodcrafters Hotdog Super King 1.2k" u="1"/>
        <s v="DONA ELENA DICED CANNED TOMATOES 800G" u="1"/>
        <s v="CDO VIENNA SAUSAGE CLASSIC 48X70G" u="1"/>
        <s v="MALING 340G" u="1"/>
        <s v="Super Coffee Mix Brown Sugar 10`s x24" u="1"/>
        <s v="CHIPS DELIGHT CHOCOLATE STRIPED COOKIES 175GX20" u="1"/>
        <s v="GARDENIA BS - CHEESE ENSAYMADA" u="1"/>
        <s v="SweetBaby Supreme ComfortMed 12/12 w/ 2 Pads" u="1"/>
        <s v="AlcoPlus Ethyl 60mlx36" u="1"/>
        <s v="KING CUP SARDINES TOM SAUCE EOC 155g BUY 5 SAVE P10" u="1"/>
        <s v="SAN MARINO CORNED TUNA 48X180G (EASY-OPEN)" u="1"/>
        <s v="SM CHILI CORNED TUNA 60G (6'S)X24" u="1"/>
        <s v="SAN MARINO CHILI CORNED TUNA 48X180G (EASY-OPEN)" u="1"/>
        <s v="Pink Lava Wafer PHL 22g x 20ib x 10pcs" u="1"/>
        <s v="BUDGET Pink Carnation 380g Det.Barx36" u="1"/>
        <s v="RAIMOL LUBRO DEO SAE 15W40 CF-4S/G(RD200L)" u="1"/>
        <s v="3IN1 SUPER COFFEEMIX TOFCARAMEL 10X24X28G - FREE" u="1"/>
        <s v="Ego V-Roll Candy Chocolate Flavor 24's x 40 pks (361)" u="1"/>
        <s v="Speed BBFR 55gx5's+1FREE 5:1" u="1"/>
        <s v="May 100% Red Grape Juice 750mlX12" u="1"/>
        <s v="GLADLY CORELESS TWIN 30G 2'SX90" u="1"/>
        <s v="(INACTIVE) SAN MARINO CORNED TUNA 48X150G 1" u="1"/>
        <s v="ALIBABA FISH CRACKER 150GX15'S" u="1"/>
        <s v="Family Tawas Powder 50g" u="1"/>
        <s v="Negosyo Pack Lumpiang Shanghai Chicken 200g x36" u="1"/>
        <s v="Jolly Whole Mushroom 400gx24" u="1"/>
        <s v="TENTAY FISHBALL SAUCE - SPICY 350G" u="1"/>
        <s v="Cricket ED-1 Sulit 8 Pack (50's/strip) (4-11159001)" u="1"/>
        <s v="Smart Choice Scented Wipes Econo Pack 80sx36P" u="1"/>
        <s v="DANES CHEESE SWEET &amp; CREAMY 35G x144" u="1"/>
        <s v="CHIPS DELIGHT STRIPED CAPUCCINO COOKIES 175GX20" u="1"/>
        <s v="Food Keeper Pudding 120sx12" u="1"/>
        <s v="KIKIAM 500G (1/2K)" u="1"/>
        <s v="Family Dishwashing Liquid Calamansi 500ml" u="1"/>
        <s v="Dolphin Gummy 250gx30" u="1"/>
        <s v="Jolly Claro Palm Oil 1Lx12 SUP" u="1"/>
        <s v="iColor Gift Set Medium Brown 30ml x 5 with FREE pouch,bowl &amp; brush" u="1"/>
        <s v="(INACTIVE) SPEED SPECK BLUE 380Gx3'S+ FREE SPECK BLUE 160G (3:1)x12" u="1"/>
        <s v="LibY Whitening and Stain Free Detergent Powder 35g" u="1"/>
        <s v="HIGHLANDS CLASSIC CORNED BEEF 150GX48" u="1"/>
        <s v="LOTUS BISCOFF ORIGINAL 124G" u="1"/>
        <s v="DON FRANK CHOCO JELLY 30GX10'SX24" u="1"/>
        <s v="CDO VIENNA SAUSAGE 48X114G" u="1"/>
        <s v="LOTUS BISCOFF ORIGINAL 125G" u="1"/>
        <s v="GARDENIA MULTIGRAIN SOFT BUN - 15 PERCENT OFF" u="1"/>
        <s v="SPEED 50% Dagdag Bar - Speckled Blue 96X160G" u="1"/>
        <s v="PROMO-CDO KN 100GX3" u="1"/>
        <s v="Fresh Milo Powder 24sx40" u="1"/>
        <s v="KAMI BTR 2PLY 150PULLs 300s 11+1x12P" u="1"/>
        <s v="PROMO-4 MAMA PINA'S PALM OIL 350ML FREE ALIBABA BISCUITS" u="1"/>
        <s v="iColor Shampoo in Hair Color Dark Brown 30ml 5+1FREE" u="1"/>
        <s v="FROOTY KISSY POP 20'SX50 (772)" u="1"/>
        <s v="KeratinPlus Gold 20g x 24 packs 11 + 1 promo" u="1"/>
        <s v="Nanay's Pork Siomai 240g x 30" u="1"/>
        <s v="(INACTIVE) Promo-Fiona Rosy Red 100mlFTx24 w/ Shampoo" u="1"/>
        <s v="HIGHLANDS CORNED BEEF GOLD 210GX48" u="1"/>
        <s v="(INACTIVE) CDO VIENNA SAUSAGE 48X114G" u="1"/>
        <s v="Jolly Claro SUP 1L Duo Pack" u="1"/>
        <s v="WINROX Bleach - Fresh Flower 12X1000Ml" u="1"/>
        <s v="CDO KARNE NORTE CLASSIC 175GX48 N20,20" u="1"/>
        <s v="SAN MARINO CHILI CORNED TUNA 48X85G" u="1"/>
        <s v="LOTUS BISCOFF SANDWICH VANILLA 150G" u="1"/>
        <s v="(INACTIVE) Icolor Organic Hair Dye Shampoo 25ml Black 10'sx12" u="1"/>
        <s v="RC COLA 1.5L PETx12" u="1"/>
        <s v="GARDENIA AMAZING BUTTERSCOTCH LOAF 400G" u="1"/>
        <s v="Suka Waykurat 250mlx30" u="1"/>
        <s v="ALIBABA FISH CRACKER 330GX35'S" u="1"/>
        <s v="NEUBAKE MONGO BREAD ROLL" u="1"/>
        <s v="Doña Elena Diced Canned Tomatoes 400g" u="1"/>
        <s v="PROMO-CDO KN 150GX3" u="1"/>
        <s v="SPEED WHITE 380G X 2'S + 1 FREE POW SK 55G 2:1" u="1"/>
        <s v="Dona Elena Pure Olive Oil 5Lx4" u="1"/>
        <s v="Grips Momentum Body Spray 100mlx24" u="1"/>
        <s v="ARLA ORGANIC FULL CREAM 800G" u="1"/>
        <s v="KINGCUP 2T.S + 2T.S CHILI EOC free Vermicelli 1.59oz" u="1"/>
        <s v="PROMO-2 BINGO C. BEEF 150G+1 BINGO ML 150GX16" u="1"/>
        <s v="MEN2 SOL - DELIVERY RECEIPT" u="1"/>
        <s v="Nyam Nyam Super Kingsize Brown Hotdog 1.2kg x 8" u="1"/>
        <s v="Sofee Gulaman Powder Mix - White (unflavored) 15gx10sctx10DB" u="1"/>
        <s v="LibY Whitening and Stain Free Detergent Powder 5000g" u="1"/>
        <s v="SAN MARINO CHILI CORNED TUNA 48X85G (Easy-Open)" u="1"/>
        <s v="CDO SEA QUEST TUNA FLAKES IN OIL H&amp;S 155GX48EO (IN)" u="1"/>
        <s v="Pagoda Pure Acetone 473ml" u="1"/>
        <s v="Fiona Raspberry 25mlx36" u="1"/>
        <s v="FRUTOS TROPICAL FRUITS 50+3'SX40 (907)" u="1"/>
        <s v="WHITE BREAD 600G RS + FREE LADYSCHOICE" u="1"/>
        <s v="HIGHLANDS CORNED BEEF 48X180G" u="1"/>
        <s v="Jolly Claro Pet 1L w/Lucky Me PC" u="1"/>
        <s v="BINGO BEEF LOAF 48X150G" u="1"/>
        <s v="CDO KARNE NORTE 48X260G (E.O)" u="1"/>
        <s v="KeratinPlus Gold Tube 200g x 24 pcs" u="1"/>
        <s v="PROMO-JINLI KOJIC ACID SOAP 135G w/ AlcoPlus 60mlX48" u="1"/>
        <s v="(INACTIVE) Cricket Sweet Series (25's/tray) (4-14162519)" u="1"/>
        <s v="DANES BACON CHEESE 35GX144" u="1"/>
        <s v="ALIBABA FUN STICK CHOCO 20GX10'SX10" u="1"/>
        <s v="Brooke Farms Glutinous Rice Flour 500gmx20" u="1"/>
        <s v="SOO-YOUNG KOJIC ACID 60Gx48" u="1"/>
        <s v="Beybiko Baby Diapers XLarge 4's x 30" u="1"/>
        <s v="SPD BBPW-L 1KGS+2FREE DSB 145G 1:2 BY12" u="1"/>
        <s v="BINGO MEAT LOAF 150GX3-SAVER'S PACK" u="1"/>
        <s v="Foodcrafters Pork Siomai 500g" u="1"/>
        <s v="CDO CORNED BEEF 48X150G" u="1"/>
        <s v="Doña Elena Al Dente Lasagna 500g" u="1"/>
        <s v="WHOLE PRE-CUT FOLDED 1000'SX20" u="1"/>
        <s v="DEESTONE 165/65R13 NAKARA R201 77T" u="1"/>
        <s v="PINOY FIESTA PORK SIOMAI 1KG" u="1"/>
        <s v="Family Rubbing Alcohol 70% w/ Moist 500mlx36 (PET)" u="1"/>
        <s v="PROMO-CDO KARNE NORTE 48X150G" u="1"/>
        <s v="DANES CLASSIC CHEESE BLOCK 24X180G" u="1"/>
        <s v="(INACTIVE) HIGHLANDS CORNED BEEF 48X260G (EO)" u="1"/>
        <s v="PROMO-JINLI KOJIC ACID SOAP 45G'3 w/ ALCOPLUSX16" u="1"/>
        <s v="(INACTIVE) CDO KARNE NORTE 60G - PROMO" u="1"/>
        <s v="Frozen Trio Pack (Longa-ChickShang-Tapa)" u="1"/>
        <s v="MYBIDA CHOCOLATE 10'SX20 (653)" u="1"/>
        <s v="AKOTO KOJIC SOAP W/ COLLAGEN - SAVERS PACK 65G" u="1"/>
        <s v="Sweet Baby Diapers Extra Large 4/36" u="1"/>
        <s v="GARDENIA BUTTER SUGAR CREAM ROLL 50G" u="1"/>
        <s v="Pagoda Cold Lotion 60ml" u="1"/>
        <s v="GARDENIA NEUBAKE SPANISH BREAD PRICE OFF" u="1"/>
        <s v="Beybiko Baby Diapers Medium 4's x 30" u="1"/>
        <s v="Jolly Whole Mushroom 850gx24" u="1"/>
        <s v="ARLA CHEESY SPREAD 500G" u="1"/>
        <s v="Dona Elena Pitted Green Olives 140g" u="1"/>
        <s v="LPG (11KG AS Cylinder) CTA - ECTA# 71932" u="1"/>
        <s v="SAN MARINO CORNED TUNA AFRITADA 155GX48" u="1"/>
        <s v="Foodcrafters Bacon 1kg x 10" u="1"/>
        <s v="10+2 DANES CHEESE 35G" u="1"/>
        <s v="Crumpy Breadspread Nut 400g" u="1"/>
        <s v="(INACTIVE) KeratinPlus Luxurious 20g x 24 packs 11 + 1 promo" u="1"/>
        <s v="GARDENIA BS - CHEESE ENSAYMAMON" u="1"/>
        <s v="Yumbites Jumbo Hotdog 500g x 20" u="1"/>
        <s v="CJF BATTERY 1SM ENDURO" u="1"/>
        <s v="Nanays Beef Tapa Sweet &amp; Spicy 230g" u="1"/>
        <s v="POTCHI GUMMY WORMS SNACKPACK 12'SX10X25G (755)" u="1"/>
        <s v="SMCT SPANISH STYLE 180GX48" u="1"/>
        <s v="PROMO-2 BINGO KN 150G + 2 BINGO ML 150G X 12" u="1"/>
        <s v="Fiona Sweet Breeze 50mlx36" u="1"/>
        <s v="(INACTIVE) CDO K.NORTE HOT&amp;SPICY 48X100G" u="1"/>
        <s v="CJF 22.5/65 R17 GO" u="1"/>
        <s v="SELECT Cane Vinegar 12X1000Ml" u="1"/>
        <s v="Alcoplus Ethyl 500mlFtx24 Head Spray" u="1"/>
        <s v="Promo-2 Pic Poc Lychee 250ml+1 Kopiko" u="1"/>
        <s v="Perwoll Color Sachet 144x60ml" u="1"/>
        <s v="ER Saver Salad 8 x 5 kg" u="1"/>
        <s v="PROMO-CDO ML 210X2" u="1"/>
        <s v="CDO SEA QUEST TUNA FLAKES IN OIL 155GX48 (NEW)" u="1"/>
        <s v="Nanay's Corned Beef 1kg" u="1"/>
        <s v="KLICX CRUNCHER MINI 24'SX20 (763)" u="1"/>
        <s v="GARDENIA PS RASPBERRY AND PEANUT BUTTER" u="1"/>
        <s v="CDO CHUNKISADO K.NORTE 48X175G" u="1"/>
        <s v="(INACTIVE) GARDENIA NEUBAKE WHEATEN BREAD 480G PLUS BEAR BRAND" u="1"/>
        <s v="(INACTIVE) CDO TOCINO LOAF 48X150G" u="1"/>
        <s v="Franzia Wine Cal. Red 3L w/ F Wine Bag" u="1"/>
        <s v="Home Care Vewin Powerful Toilet Cleaner 500ml" u="1"/>
        <s v="GENKI PANTS XLARGE 44'SX3" u="1"/>
        <s v="Mama Pina's Bundle A" u="1"/>
        <s v="Time Break Choco 20G x 20ib x 10pcs" u="1"/>
        <s v="Nanay's Beef Tapa Garlic &amp; Pepper 250g" u="1"/>
        <s v="Jimm's 5 in 1 Coffee Mix - Sugar Free 20'sx30ib" u="1"/>
        <s v="Dona Elena Pitted Green Olives 310g" u="1"/>
        <s v="RESTOBAR KIKIAM PLATES LAMINATED 50'Sx20" u="1"/>
        <s v="Sweet Baby Diapers Medium 12/12" u="1"/>
        <s v="(INACTIVE) SPEED SB 1kg Get 1kg SB@30%off" u="1"/>
        <s v="(INACTIVE) Marinated Chicken Wings Garlic 1kg" u="1"/>
        <s v="TENTAY SPECIAL PATIS 1L PE" u="1"/>
        <s v="iColor Shampoo-In Hair Color Black 25ml 10'sx12" u="1"/>
        <s v="(INACTIVE) SAN MARINO  MACKEREL IN SWEET&amp; SOUR SAUCE 165GX100" u="1"/>
        <s v="EL REAL PARTY PASTA RAINBOW SALAD 12X1KG" u="1"/>
        <s v="MAMA PINA'S OIL 1L W/ SOYA 12X1" u="1"/>
        <s v="DANES HERB AND GARLIC 165G" u="1"/>
        <s v="Comstock Royal Blueberry 21oz" u="1"/>
        <s v="Tasty Palamig Blue Lemonade 500gx20" u="1"/>
        <s v="2SMCCT150G+1SMCTSS150G PROMO PACK" u="1"/>
        <s v="SPEED 55g Sunflower Burst Powderx192" u="1"/>
        <s v="(INACTIVE) Grips Momentum Body Spray 100mlx24" u="1"/>
        <s v="Speed BBPW 55gx6's+1FREEx32" u="1"/>
        <s v="Natalicious Asstd 250mlx10" u="1"/>
        <s v="PROMO-3 CDO LIVER SPREAD 85GX16" u="1"/>
        <s v="Nanay's Skinless Longanisa 200g x 60" u="1"/>
        <s v="Assorted Pudding Cup 20gx24sx20" u="1"/>
        <s v="MADE FOR YOU MIX&amp;MATCH IC (MID BROWN+BURGUNDY) 25ML" u="1"/>
        <s v="CJF 265 70 R16 GIO LAND" u="1"/>
        <s v="Primera Ham 400g" u="1"/>
        <s v="Jolly Whole Mushroom 198gx48" u="1"/>
        <s v="MAMA PINAS BUNDLE J (2P1L1BML100) X 6" u="1"/>
        <s v="Promo-2 Pic Poc Grape 250ml+1 Kopiko" u="1"/>
        <s v="CDO SEA QUEST TUNA FLAKES IN OIL 180GX48" u="1"/>
        <s v="SPEED 55GMORE BLUE 150G X5'S+1 FREE 5:1" u="1"/>
        <s v="Foodcrafters Hotdog Classic 2.5kg x 4" u="1"/>
        <s v="WING TN 1KG SPX5" u="1"/>
        <s v="SUPER Q - Q1 Misua 1 Dozen x 24" u="1"/>
        <s v="GARDENIA UBE AND CHEESE LOAF 7 PESO OFF" u="1"/>
        <s v="LibY Super Clean Fragrant Detergent Powder 1000g" u="1"/>
        <s v="HLCB GOLD CHILI GARLIC 150GX48" u="1"/>
        <s v="Fundador Solera 1L x 12 w/ Free Jersey" u="1"/>
        <s v="(INACTIVE) SAN MARINO TUNA FLAKES IN OIL 150GX48 1" u="1"/>
        <s v="TOP 5.50-15 (6H) RIM" u="1"/>
        <s v="LOTUS BISCOFF ORIGINAL 250G" u="1"/>
        <s v="Sweet Baby Diapers Medium 22/12" u="1"/>
        <s v="Bragg Apple Cider Vinegar 16ozx12" u="1"/>
        <s v="AlcoPlus Iso. 500mlx24" u="1"/>
        <s v="SELECT Soy Sauce (1 Gal) 4X3795Ml" u="1"/>
        <s v="(INACTIVE) SAN MARINO MACKEREL IN TOMATO SAUCE 165GX100" u="1"/>
        <s v="ALIBABA FUN CRACKER CHOCO 20GX10'SX10" u="1"/>
        <s v="PROMO-SAN MARINO CCT 180GX3" u="1"/>
        <s v="Fresh Flower 1.5ccx12x12" u="1"/>
        <s v="Smart Choice Cotton Buds 108tips 240P" u="1"/>
        <s v="Grips Hair Pomade 5g x 6's x 72 pck" u="1"/>
        <s v="SWEET NATA DE COCO (GRN) 24X8OZX240G" u="1"/>
        <s v="Jolly Fresh Orange Juice 1Lx12" u="1"/>
        <s v="Arla Organic Low Fat Milk 1L B2S10" u="1"/>
        <s v="SPEED CUTBAR WHITE 160G 6+1 PROMO" u="1"/>
        <s v="DON FRANK WHITE GULAMAN 24GX10'SX24" u="1"/>
        <s v="ARLA ORGANIC FULL CREAM MILK 533G" u="1"/>
        <s v="SALT IODIZED X 25KGS" u="1"/>
        <s v="SPEED 90g Sunflower Burst Powderx96" u="1"/>
        <s v="WINROX Bleach - Regular Scent 48X250Ml" u="1"/>
        <s v="Mama Pina's Palm Olein 1L" u="1"/>
        <s v="1512 SOLVENT 1L (EIE)" u="1"/>
        <s v="GARDENIA NEUBAKE MONGO BREAD ROLL" u="1"/>
        <s v="PROMO-2 CDO LMEAT 350G FREE 1CBEEF 60G" u="1"/>
        <s v="CHIPS DELIGHT MINI CHOCOLATE CHIP COOKIES 35GX12X12" u="1"/>
        <s v="WHOLESALE INTERFOLDED P.TOWER 175'Sx30" u="1"/>
        <s v="SEA QUEST TUNA FLAKES IN OIL 48X155G (E.O)" u="1"/>
        <s v="SUPER Q - Sunny Margarine 250g x 60" u="1"/>
        <s v="Pagoda Cold Wavel Lotion 120ml" u="1"/>
        <s v="Jolly Pcs &amp; Stems Mushroom 284gX24" u="1"/>
        <s v="Nanays Pork Tocino Classic 230g x 36" u="1"/>
        <s v="Fiona Snow Breeze 100mlx24" u="1"/>
        <s v="Tasty Palamig Orange 500gx20" u="1"/>
        <s v="(INACTIVE) SPD KAL-L 2KGS+1FREE KAL-L 500G 1:1 BY 6" u="1"/>
        <s v="DON FRANK BUKO JELLY 30GX10'SX24" u="1"/>
        <s v="OLEIN 2R (JAREZ)" u="1"/>
        <s v="SPEED 500g Babad FC w/Power Whitener Powderx24" u="1"/>
        <s v="Langnese Bee Easy Wildflower Honey 250g" u="1"/>
        <s v="GARDENIA CHEESE TOASTIES 25G X 24PACKS X 10PCS" u="1"/>
        <s v="Good Life Vermicelli 1.59ozX500" u="1"/>
        <s v="(INACTIVE) SAN MARINO CORNED TUNA 24X380G" u="1"/>
        <s v="Jolly Spreads Choco Hazelnut 200g" u="1"/>
        <s v="(INACTIVE) SPEED KAL 380G X 2'S + 1FREE POW SK 55G 2:1" u="1"/>
        <s v="PROMO-2 BINGO CB 150G+1 BINGO ML 150G" u="1"/>
        <s v="(INACTIVE) CDO SPANISH SARDINES 24X240G" u="1"/>
        <s v="GARDENIA CHOCOLATE MUFFIN" u="1"/>
        <s v="Cricket Orig Blister Pack 2s (12's/tray) (4-11150201)" u="1"/>
        <s v="Jolly Spreads Choco Hazelnut 400g" u="1"/>
        <s v="GENERIC - DELIVERY RECEIPT" u="1"/>
        <s v="(INACTIVE) iColor Hair Dye Shampoo Light Brown 30ml 10'sx12" u="1"/>
        <s v="VITOUR 265-65 R17" u="1"/>
        <s v="PrimeCare Adult Diaper M 10x8" u="1"/>
        <s v="Fiona Rosy Red 75mlFtx24" u="1"/>
        <s v="(INACTIVE) SPEED Powder - High Impact 24X500G" u="1"/>
        <s v="RESTOBAR PAPER PLATES LAMINATED 9' 25'Sx20" u="1"/>
        <s v="Jolly Pieces and Stems 100g 3pcs Save P5" u="1"/>
        <s v="(INACTIVE) SAN MARINO CORNED TUNA CALDERETA 155GX48" u="1"/>
        <s v="MAMA PINA'S BUNDLE C (1PF1SS350+D) x6" u="1"/>
        <s v="(INACTIVE) SAN MARINO TAWILIS IN CORN OIL 85GX48" u="1"/>
        <s v="SELECT Sukang Puti 48X200Ml" u="1"/>
        <s v="SPEED CUTBAR SPECKLED BLUE 160G 6+1 PROMO" u="1"/>
        <s v="(INACTIVE) PROMO-CDO JAR 6 KN 60G+3 KN 100GX6" u="1"/>
        <s v="BUDGET W/FABCON 360G DET. BAR X 36" u="1"/>
        <s v="Jolly Whole Mushroom SUP 100gx48" u="1"/>
        <s v="Vernel Antibac Blue Sky 24x400ml" u="1"/>
        <s v="3IN1 SUPER COFFEEMIX SALT. CRML 10X24X25G - B1T1" u="1"/>
        <s v="Pagoda Muriatic Acid Super Strength 500ml" u="1"/>
        <s v="SPEED 55G MORE WHITE 150G BAR X 96" u="1"/>
        <s v="(INACTIVE) CDO BEEFIO L.BEEF 24X350G (with hashed beef)" u="1"/>
        <s v="DEESTONE 185R14C KACHA R101 8PR 102/100Q" u="1"/>
        <s v="Freeda Soft Cotton Day Use w/ wings 8's+1 x 36" u="1"/>
        <s v="DEESTONE 245/70R19.5 SV401 RIB 16PR" u="1"/>
        <s v="Jolly Cow Non Fat Milk 1Lx6 Duo Pack" u="1"/>
        <s v="Fiona Youthful Bliss 50ml Spray x36" u="1"/>
        <s v="Foodcrafters Pork Siomai 250g" u="1"/>
        <s v="Grips Wax Extreme Hard &amp; Mat 25g x 216" u="1"/>
        <s v="(INACTIVE) SAN MARINO TUNA FLAKES IN OIL 150GX48 2" u="1"/>
        <s v="2LITER BOX CANOLEIN (WPCC)" u="1"/>
        <s v="Fiona Pretty Mist Spray 50mlx36" u="1"/>
        <s v="Dona Elena Extra Virgin Olive Oil 500mlx12" u="1"/>
        <s v="Vaccum Sealed Boneless Bangus Singles (XL)" u="1"/>
        <s v="2LITERS BOTTLE NUTRI (MBC)" u="1"/>
        <s v="CREAM DORY TRIMMED(RED STRAP) 1KG" u="1"/>
        <s v="HAWKWAY 315/80R22.5 HK802 MIX 22PR" u="1"/>
        <s v="MAMA PINAS BUNDLE J (2P1L1BML100) X 6 FD3" u="1"/>
        <s v="SQUID BALL 250G (1/4K)" u="1"/>
        <s v="CARP VEGAN SEASONING 350ML PET" u="1"/>
        <s v="Promo-Fiona RaspberryDrops 100ml w/ Youthful 75ml x 24" u="1"/>
        <s v="Red Bull Supreme 150ml x 50" u="1"/>
        <s v="(INACTIVE) Promo-Alcoplus Isopropyl 70% 500ml w/ SanitizerRed" u="1"/>
        <s v="Jar-Wax HArd &amp; Shiny 25gx48" u="1"/>
        <s v="Protec Disinfectant Spray - Natural Lavander Scent 250mlx12 w/ Alcohol" u="1"/>
        <s v="Smart Choice Value Cottonn Balls 200x72" u="1"/>
        <s v="KONICA - C: KONICA INK - BLACK (KONIKA)" u="1"/>
        <s v="Alcoplus ISO 60ml(6pcs+1pckClaySachet5g)" u="1"/>
        <s v="SPEED DAGDAG FABCON 145G BAR X 96" u="1"/>
        <s v="JOLLY CLARO SUP 500ML" u="1"/>
        <s v="Richoco White Wafer 22g x 20ib x 10pcs" u="1"/>
        <s v="FROOTY CHOCO POP 25+3'SX40 (863)" u="1"/>
        <s v="iColor Hair Dye Shampoo Light Brown 30ml 10'sx12" u="1"/>
        <s v="2CDOML150+2CDOBCB150+MPB454+SSS350+J3P1CMG" u="1"/>
        <s v="(INACTIVE) Alcoplus ECQ Isopropyl 70% 150mlFtx48" u="1"/>
        <s v="PRESA 11R22.5 16PR PL909 TL" u="1"/>
        <s v="SPEED DAGDAG WHITE 145G X 6'S+1FREE BY 16" u="1"/>
        <s v="SWEET KAONG (WHITE) 24X12OZX340G (SUP)" u="1"/>
        <s v="Perfect Soft &amp; Fit w/o wings 8sx36 B1T1" u="1"/>
        <s v="Mama Pina's Palm Oil 1L x 12 (Inactive)" u="1"/>
        <s v="TOPTOP CHOCO PEANUT  12'SX10X20G (108)" u="1"/>
        <s v="MALING 170G" u="1"/>
        <s v="SweetBaby Supreme Comfort Large 12/12 w/ 2Pads" u="1"/>
      </sharedItems>
    </cacheField>
    <cacheField name="isActive" numFmtId="0">
      <sharedItems containsBlank="1" count="3">
        <b v="1"/>
        <b v="0"/>
        <m u="1"/>
      </sharedItems>
    </cacheField>
    <cacheField name="SubDescription" numFmtId="0">
      <sharedItems count="93">
        <s v="RBD PALM OLEIN (FOREIGN)"/>
        <s v="BUNKER OIL"/>
        <s v="1G BOX PAMINTA FINE"/>
        <s v="1G BOX PAMINTA WHOLE"/>
        <s v="1G BOX PAMINTA CRACKED"/>
        <s v="2LITERS BOTTLE PALM MAZOLA"/>
        <s v="SALT IODIZED (SALINE)"/>
        <s v="CORNSTARCH"/>
        <s v="350ML BOX PALM"/>
        <s v="900ML BOTTLE PALM MAZOLA"/>
        <s v="1LITER BOX PALM MZL"/>
        <s v="LYE WATER (BAKED BS)"/>
        <s v="FLOUR (HARINA)"/>
        <s v="500ML BOTTLE PALM [SWAK]"/>
        <s v="350ML BOTTLE PALM [SWAK]"/>
        <s v="1LITER BOTTLE CANSOY [NUTRI]"/>
        <s v="300G BOX CANTON"/>
        <s v="DOUBLE SIDED TAPE"/>
        <s v="PACKAGING TAPE CLEAR"/>
        <s v="HEADER PAMINTA CRACKED"/>
        <s v="HEADER PAMINTA FINE"/>
        <s v="HEADER PAMINTA WHOLE"/>
        <s v="PLASTIC TRANSPARENT 9.5 * 6.5 * 15.5"/>
        <s v="PAPER PLATE SILVER"/>
        <s v="RBD COCONUT OIL"/>
        <s v="500ML BOX PALM"/>
        <s v="MOTHERBAG 22 X 44"/>
        <s v="1LITER BOTTLE PALM [SWAK]"/>
        <s v="2LITERS BOTTLE CANOLEIN [ROUND]"/>
        <s v="1LITER BOX PALM"/>
        <s v="2LITERS BOX PALM"/>
        <s v="RBD SOYA BEAN OIL"/>
        <s v="RBD CANOLA OIL"/>
        <s v="FLOUR (HARINA LC)"/>
        <s v="CELLULOSE (CMC)"/>
        <s v="NENKYO (MAMA NEN)"/>
        <s v="PORERENE (PAPA PORON)"/>
        <s v="GINISA MIX (ADDITIVES)"/>
        <s v="2LITERS BOX PALM MZL"/>
        <s v="1LITER BOX CANOLEIN"/>
        <s v="1LITER BOX SOYA"/>
        <s v="2LITERS BOX CANOLEIN"/>
        <s v="2LITERS BOX SOYA"/>
        <s v="4LITERS BOX CHECK"/>
        <s v="4LITERS LABEL CANOLA"/>
        <s v="4LITERS LABEL PALM"/>
        <s v="4LITERS LABEL SOYA"/>
        <s v="2LITERS BOTTLE PALM [NUTRI]"/>
        <s v="2LITERS BOTTLE SOYA [ROUND]"/>
        <s v="PACKAGING CANTON 250G LC"/>
        <s v="PACKAGING CANTON 80G LC"/>
        <s v="RBD PALM OLEIN (LOCAL)"/>
        <s v="4LITERS BOTTLE GODZILLA"/>
        <s v="1LITER LABEL PALM MZL"/>
        <s v="PACKAGING CANTON 80G"/>
        <s v="EGG YELLOW (COLORING)"/>
        <s v="1LITER LABEL PALM"/>
        <s v="PACKAGING CANTON 300G"/>
        <s v="2LITERS LABEL CANOLEIN"/>
        <s v="2LITERS LABEL PALM"/>
        <s v="2LITERS LABEL SOYA"/>
        <s v="1LITER LABEL CANOLEIN"/>
        <s v="500ML LABEL PALM"/>
        <s v="350ML LABEL PALM"/>
        <s v="1LITER BOX PALM [TIE-UP]"/>
        <s v="PACKAGING BIHON 454G"/>
        <s v="2LITERS BOTTLE CANOLEIN" u="1"/>
        <s v="FLOUR" u="1"/>
        <s v="BOTTLE CAP PALM" u="1"/>
        <s v="4LITERS BOTTLE SOYA [SQUARE]" u="1"/>
        <s v="CAP YELLOW 2L [NUTRI]" u="1"/>
        <s v="GINISA" u="1"/>
        <s v="2LITERS BOTTLE NUTRI" u="1"/>
        <s v="1LITER BOTTLE PALM" u="1"/>
        <s v="PACKAGING BIHON" u="1"/>
        <s v="4LITERS LABEL CANOLEIN" u="1"/>
        <s v="PACKAGING CANTON" u="1"/>
        <s v="2LITER BOX SOYA" u="1"/>
        <s v="2LITERS BOX CANSOY" u="1"/>
        <s v="2LITERS BOTTLE PALM" u="1"/>
        <s v="2LITERS BOTTLE SOYA" u="1"/>
        <s v="ADDITIVES" u="1"/>
        <s v="BOTTLE CAP" u="1"/>
        <s v="350ML BOTTLE PALM" u="1"/>
        <s v="COLORING" u="1"/>
        <s v="SALINE" u="1"/>
        <s v="1LITER BOTTLE NUTRI" u="1"/>
        <s v="RBD PALM OLEIN" u="1"/>
        <s v="CAP YELLOW" u="1"/>
        <s v="1LITER BOX PALM BUNDLE" u="1"/>
        <s v="CAP GREEN" u="1"/>
        <s v="500ML BOTTLE PALM" u="1"/>
        <s v="LYE WATER" u="1"/>
      </sharedItems>
    </cacheField>
    <cacheField name="CategoryCode" numFmtId="0">
      <sharedItems count="11">
        <s v="RBD OIL"/>
        <s v="BUNKER OIL"/>
        <s v="BOX"/>
        <s v="BOTTLE"/>
        <s v="INGREDIENTS"/>
        <s v="TAPE"/>
        <s v="HEADER"/>
        <s v="OTHERS"/>
        <s v="MOTHERBAG"/>
        <s v="LABEL"/>
        <s v="PACKAGING"/>
      </sharedItems>
    </cacheField>
    <cacheField name="CatName" numFmtId="0">
      <sharedItems count="13">
        <s v="REFINED OIL"/>
        <s v="BUNKER OIL"/>
        <s v="BOX"/>
        <s v="BOTTLE"/>
        <s v="INGREDIENTS"/>
        <s v="TAPE"/>
        <s v="HEADER"/>
        <s v="OTHERS"/>
        <s v="MOTHERBAG"/>
        <s v="LABEL"/>
        <s v="PACKAGING"/>
        <s v="CAP" u="1"/>
        <s v="RAW MATERIALS" u="1"/>
      </sharedItems>
    </cacheField>
    <cacheField name="Division" numFmtId="0">
      <sharedItems containsBlank="1" count="2">
        <m/>
        <s v="BAGBAGUIN, CALOOCAN, CALOOCAN CITY"/>
      </sharedItems>
    </cacheField>
    <cacheField name="ProductCode" numFmtId="0">
      <sharedItems/>
    </cacheField>
  </cacheFields>
  <extLst>
    <ext xmlns:x14="http://schemas.microsoft.com/office/spreadsheetml/2009/9/main" uri="{725AE2AE-9491-48be-B2B4-4EB974FC3084}">
      <x14:pivotCacheDefinition pivotCacheId="31"/>
    </ext>
  </extLst>
</pivotCacheDefinition>
</file>

<file path=xl/pivotCache/pivotCacheRecords1.xml><?xml version="1.0" encoding="utf-8"?>
<pivotCacheRecords xmlns="http://schemas.openxmlformats.org/spreadsheetml/2006/main" xmlns:r="http://schemas.openxmlformats.org/officeDocument/2006/relationships" count="14">
  <r>
    <x v="0"/>
    <x v="0"/>
    <n v="0.97499999999999998"/>
    <n v="56.954999999999998"/>
    <n v="55.531124999999996"/>
  </r>
  <r>
    <x v="1"/>
    <x v="0"/>
    <n v="1.1200000000000001"/>
    <n v="56.808"/>
    <n v="63.624960000000009"/>
  </r>
  <r>
    <x v="2"/>
    <x v="0"/>
    <n v="1.093"/>
    <n v="55.918999999999997"/>
    <n v="61.119466999999993"/>
  </r>
  <r>
    <x v="3"/>
    <x v="0"/>
    <n v="1.02"/>
    <n v="55.619"/>
    <n v="56.731380000000001"/>
  </r>
  <r>
    <x v="4"/>
    <x v="1"/>
    <m/>
    <m/>
    <m/>
  </r>
  <r>
    <x v="4"/>
    <x v="1"/>
    <m/>
    <m/>
    <m/>
  </r>
  <r>
    <x v="5"/>
    <x v="2"/>
    <n v="1.5"/>
    <n v="52.386000000000003"/>
    <n v="78.579000000000008"/>
  </r>
  <r>
    <x v="6"/>
    <x v="2"/>
    <n v="1.8029999999999999"/>
    <n v="56.362000000000002"/>
    <n v="101.62068600000001"/>
  </r>
  <r>
    <x v="7"/>
    <x v="2"/>
    <n v="1.7"/>
    <n v="58.91"/>
    <n v="100.14699999999999"/>
  </r>
  <r>
    <x v="8"/>
    <x v="2"/>
    <n v="1.575"/>
    <n v="56.79"/>
    <n v="89.444249999999997"/>
  </r>
  <r>
    <x v="9"/>
    <x v="2"/>
    <n v="1.5549999999999999"/>
    <n v="54.481999999999999"/>
    <n v="84.71951"/>
  </r>
  <r>
    <x v="10"/>
    <x v="2"/>
    <n v="1.1879999999999999"/>
    <n v="54.567999999999998"/>
    <n v="64.826783999999989"/>
  </r>
  <r>
    <x v="11"/>
    <x v="2"/>
    <n v="1.238"/>
    <n v="55.863999999999997"/>
    <n v="69.159632000000002"/>
  </r>
  <r>
    <x v="12"/>
    <x v="2"/>
    <n v="1.2150000000000001"/>
    <n v="56.116"/>
    <n v="68.180940000000007"/>
  </r>
</pivotCacheRecords>
</file>

<file path=xl/pivotCache/pivotCacheRecords2.xml><?xml version="1.0" encoding="utf-8"?>
<pivotCacheRecords xmlns="http://schemas.openxmlformats.org/spreadsheetml/2006/main" xmlns:r="http://schemas.openxmlformats.org/officeDocument/2006/relationships" count="11">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x v="0"/>
    <x v="0"/>
    <x v="1"/>
    <x v="0"/>
    <x v="0"/>
    <x v="0"/>
    <x v="1"/>
    <x v="0"/>
    <x v="0"/>
    <x v="0"/>
    <x v="0"/>
    <x v="0"/>
    <x v="0"/>
    <x v="0"/>
    <x v="0"/>
    <x v="0"/>
    <x v="0"/>
    <x v="1"/>
    <x v="1"/>
    <x v="1"/>
    <x v="1"/>
    <x v="1"/>
    <x v="0"/>
    <x v="0"/>
    <x v="1"/>
    <x v="1"/>
    <x v="1"/>
    <x v="1"/>
    <x v="0"/>
    <x v="0"/>
    <x v="1"/>
    <x v="1"/>
    <x v="1"/>
    <x v="1"/>
    <x v="0"/>
    <x v="0"/>
    <x v="0"/>
    <x v="0"/>
    <x v="0"/>
    <x v="0"/>
    <x v="0"/>
    <x v="0"/>
    <x v="1"/>
    <x v="0"/>
    <x v="1"/>
    <x v="0"/>
    <x v="0"/>
    <x v="0"/>
    <x v="0"/>
    <x v="0"/>
    <x v="0"/>
    <x v="0"/>
    <x v="0"/>
    <x v="0"/>
    <x v="0"/>
    <x v="1"/>
    <x v="1"/>
    <x v="1"/>
    <x v="0"/>
    <x v="0"/>
    <x v="0"/>
    <x v="1"/>
    <x v="1"/>
    <x v="1"/>
    <x v="0"/>
    <x v="0"/>
    <x v="0"/>
    <x v="1"/>
    <x v="1"/>
    <x v="1"/>
    <x v="0"/>
    <x v="0"/>
    <x v="0"/>
    <x v="0"/>
    <x v="0"/>
    <x v="0"/>
    <x v="0"/>
    <x v="0"/>
    <x v="0"/>
    <x v="0"/>
    <x v="0"/>
    <x v="0"/>
    <x v="0"/>
    <x v="0"/>
    <x v="0"/>
    <x v="0"/>
    <x v="0"/>
    <x v="0"/>
    <x v="0"/>
    <x v="0"/>
    <x v="0"/>
    <x v="0"/>
    <x v="0"/>
    <x v="0"/>
    <x v="0"/>
    <x v="0"/>
    <x v="0"/>
    <x v="0"/>
    <x v="0"/>
    <x v="0"/>
    <x v="1"/>
    <x v="0"/>
    <x v="0"/>
    <x v="0"/>
    <x v="0"/>
    <x v="0"/>
    <x v="0"/>
    <x v="0"/>
    <x v="0"/>
    <x v="0"/>
    <x v="0"/>
    <x v="0"/>
    <x v="0"/>
    <x v="0"/>
    <x v="0"/>
    <x v="0"/>
    <x v="0"/>
    <x v="0"/>
    <x v="0"/>
    <x v="0"/>
    <x v="0"/>
    <x v="0"/>
    <x v="0"/>
    <x v="0"/>
    <x v="0"/>
    <x v="0"/>
    <x v="0"/>
    <x v="0"/>
    <x v="1"/>
    <x v="0"/>
    <x v="1"/>
    <x v="0"/>
    <x v="0"/>
    <x v="0"/>
    <x v="0"/>
    <x v="1"/>
    <x v="1"/>
    <x v="0"/>
    <x v="0"/>
    <x v="0"/>
    <x v="0"/>
    <x v="0"/>
    <x v="0"/>
    <x v="0"/>
    <x v="0"/>
    <x v="0"/>
  </r>
  <r>
    <x v="2"/>
    <x v="2"/>
    <x v="0"/>
    <x v="0"/>
    <x v="2"/>
    <x v="0"/>
    <x v="0"/>
    <x v="0"/>
    <x v="2"/>
    <x v="0"/>
    <x v="0"/>
    <x v="0"/>
    <x v="0"/>
    <x v="0"/>
    <x v="0"/>
    <x v="0"/>
    <x v="0"/>
    <x v="1"/>
    <x v="0"/>
    <x v="2"/>
    <x v="2"/>
    <x v="2"/>
    <x v="2"/>
    <x v="2"/>
    <x v="0"/>
    <x v="0"/>
    <x v="2"/>
    <x v="2"/>
    <x v="2"/>
    <x v="2"/>
    <x v="0"/>
    <x v="0"/>
    <x v="2"/>
    <x v="2"/>
    <x v="2"/>
    <x v="2"/>
    <x v="0"/>
    <x v="0"/>
    <x v="0"/>
    <x v="0"/>
    <x v="0"/>
    <x v="0"/>
    <x v="0"/>
    <x v="0"/>
    <x v="2"/>
    <x v="0"/>
    <x v="2"/>
    <x v="0"/>
    <x v="0"/>
    <x v="0"/>
    <x v="0"/>
    <x v="0"/>
    <x v="0"/>
    <x v="0"/>
    <x v="0"/>
    <x v="0"/>
    <x v="0"/>
    <x v="2"/>
    <x v="2"/>
    <x v="2"/>
    <x v="0"/>
    <x v="0"/>
    <x v="0"/>
    <x v="2"/>
    <x v="2"/>
    <x v="2"/>
    <x v="0"/>
    <x v="0"/>
    <x v="0"/>
    <x v="2"/>
    <x v="2"/>
    <x v="2"/>
    <x v="0"/>
    <x v="0"/>
    <x v="0"/>
    <x v="0"/>
    <x v="0"/>
    <x v="0"/>
    <x v="0"/>
    <x v="0"/>
    <x v="0"/>
    <x v="0"/>
    <x v="0"/>
    <x v="0"/>
    <x v="0"/>
    <x v="0"/>
    <x v="0"/>
    <x v="0"/>
    <x v="0"/>
    <x v="0"/>
    <x v="0"/>
    <x v="0"/>
    <x v="0"/>
    <x v="0"/>
    <x v="0"/>
    <x v="0"/>
    <x v="0"/>
    <x v="1"/>
    <x v="0"/>
    <x v="1"/>
    <x v="1"/>
    <x v="1"/>
    <x v="2"/>
    <x v="0"/>
    <x v="0"/>
    <x v="0"/>
    <x v="0"/>
    <x v="0"/>
    <x v="0"/>
    <x v="0"/>
    <x v="0"/>
    <x v="0"/>
    <x v="1"/>
    <x v="0"/>
    <x v="0"/>
    <x v="0"/>
    <x v="0"/>
    <x v="0"/>
    <x v="0"/>
    <x v="0"/>
    <x v="0"/>
    <x v="0"/>
    <x v="0"/>
    <x v="0"/>
    <x v="0"/>
    <x v="0"/>
    <x v="0"/>
    <x v="0"/>
    <x v="0"/>
    <x v="0"/>
    <x v="2"/>
    <x v="0"/>
    <x v="2"/>
    <x v="0"/>
    <x v="0"/>
    <x v="0"/>
    <x v="0"/>
    <x v="2"/>
    <x v="2"/>
    <x v="0"/>
    <x v="0"/>
    <x v="0"/>
    <x v="0"/>
    <x v="0"/>
    <x v="0"/>
    <x v="0"/>
    <x v="0"/>
    <x v="0"/>
  </r>
  <r>
    <x v="3"/>
    <x v="3"/>
    <x v="0"/>
    <x v="0"/>
    <x v="3"/>
    <x v="0"/>
    <x v="0"/>
    <x v="0"/>
    <x v="3"/>
    <x v="1"/>
    <x v="0"/>
    <x v="0"/>
    <x v="0"/>
    <x v="0"/>
    <x v="0"/>
    <x v="0"/>
    <x v="0"/>
    <x v="2"/>
    <x v="1"/>
    <x v="3"/>
    <x v="3"/>
    <x v="3"/>
    <x v="3"/>
    <x v="3"/>
    <x v="1"/>
    <x v="0"/>
    <x v="3"/>
    <x v="3"/>
    <x v="3"/>
    <x v="3"/>
    <x v="1"/>
    <x v="0"/>
    <x v="3"/>
    <x v="3"/>
    <x v="3"/>
    <x v="3"/>
    <x v="1"/>
    <x v="0"/>
    <x v="0"/>
    <x v="0"/>
    <x v="0"/>
    <x v="0"/>
    <x v="0"/>
    <x v="0"/>
    <x v="3"/>
    <x v="0"/>
    <x v="3"/>
    <x v="0"/>
    <x v="0"/>
    <x v="0"/>
    <x v="0"/>
    <x v="0"/>
    <x v="0"/>
    <x v="0"/>
    <x v="0"/>
    <x v="0"/>
    <x v="0"/>
    <x v="3"/>
    <x v="3"/>
    <x v="3"/>
    <x v="1"/>
    <x v="1"/>
    <x v="0"/>
    <x v="3"/>
    <x v="3"/>
    <x v="3"/>
    <x v="1"/>
    <x v="1"/>
    <x v="0"/>
    <x v="3"/>
    <x v="3"/>
    <x v="3"/>
    <x v="1"/>
    <x v="1"/>
    <x v="0"/>
    <x v="0"/>
    <x v="0"/>
    <x v="0"/>
    <x v="0"/>
    <x v="0"/>
    <x v="0"/>
    <x v="0"/>
    <x v="0"/>
    <x v="0"/>
    <x v="0"/>
    <x v="0"/>
    <x v="0"/>
    <x v="0"/>
    <x v="0"/>
    <x v="0"/>
    <x v="0"/>
    <x v="0"/>
    <x v="0"/>
    <x v="0"/>
    <x v="0"/>
    <x v="0"/>
    <x v="0"/>
    <x v="0"/>
    <x v="1"/>
    <x v="2"/>
    <x v="0"/>
    <x v="2"/>
    <x v="3"/>
    <x v="0"/>
    <x v="0"/>
    <x v="0"/>
    <x v="0"/>
    <x v="0"/>
    <x v="0"/>
    <x v="0"/>
    <x v="0"/>
    <x v="0"/>
    <x v="0"/>
    <x v="0"/>
    <x v="0"/>
    <x v="0"/>
    <x v="0"/>
    <x v="0"/>
    <x v="0"/>
    <x v="0"/>
    <x v="0"/>
    <x v="0"/>
    <x v="0"/>
    <x v="0"/>
    <x v="0"/>
    <x v="0"/>
    <x v="0"/>
    <x v="0"/>
    <x v="0"/>
    <x v="0"/>
    <x v="3"/>
    <x v="0"/>
    <x v="3"/>
    <x v="0"/>
    <x v="0"/>
    <x v="0"/>
    <x v="0"/>
    <x v="3"/>
    <x v="3"/>
    <x v="0"/>
    <x v="0"/>
    <x v="0"/>
    <x v="0"/>
    <x v="0"/>
    <x v="0"/>
    <x v="0"/>
    <x v="0"/>
    <x v="0"/>
  </r>
  <r>
    <x v="4"/>
    <x v="4"/>
    <x v="0"/>
    <x v="0"/>
    <x v="4"/>
    <x v="0"/>
    <x v="0"/>
    <x v="0"/>
    <x v="4"/>
    <x v="2"/>
    <x v="0"/>
    <x v="0"/>
    <x v="0"/>
    <x v="0"/>
    <x v="0"/>
    <x v="0"/>
    <x v="0"/>
    <x v="3"/>
    <x v="0"/>
    <x v="4"/>
    <x v="4"/>
    <x v="4"/>
    <x v="4"/>
    <x v="2"/>
    <x v="0"/>
    <x v="0"/>
    <x v="4"/>
    <x v="4"/>
    <x v="4"/>
    <x v="2"/>
    <x v="0"/>
    <x v="0"/>
    <x v="4"/>
    <x v="4"/>
    <x v="4"/>
    <x v="2"/>
    <x v="0"/>
    <x v="0"/>
    <x v="0"/>
    <x v="0"/>
    <x v="0"/>
    <x v="0"/>
    <x v="0"/>
    <x v="0"/>
    <x v="4"/>
    <x v="0"/>
    <x v="4"/>
    <x v="0"/>
    <x v="0"/>
    <x v="0"/>
    <x v="0"/>
    <x v="0"/>
    <x v="0"/>
    <x v="0"/>
    <x v="0"/>
    <x v="0"/>
    <x v="0"/>
    <x v="4"/>
    <x v="4"/>
    <x v="4"/>
    <x v="0"/>
    <x v="0"/>
    <x v="0"/>
    <x v="4"/>
    <x v="4"/>
    <x v="4"/>
    <x v="0"/>
    <x v="0"/>
    <x v="0"/>
    <x v="4"/>
    <x v="4"/>
    <x v="4"/>
    <x v="0"/>
    <x v="0"/>
    <x v="0"/>
    <x v="0"/>
    <x v="0"/>
    <x v="0"/>
    <x v="0"/>
    <x v="0"/>
    <x v="0"/>
    <x v="0"/>
    <x v="0"/>
    <x v="0"/>
    <x v="0"/>
    <x v="0"/>
    <x v="0"/>
    <x v="0"/>
    <x v="0"/>
    <x v="0"/>
    <x v="0"/>
    <x v="0"/>
    <x v="0"/>
    <x v="0"/>
    <x v="0"/>
    <x v="0"/>
    <x v="0"/>
    <x v="2"/>
    <x v="2"/>
    <x v="2"/>
    <x v="0"/>
    <x v="3"/>
    <x v="4"/>
    <x v="0"/>
    <x v="0"/>
    <x v="0"/>
    <x v="0"/>
    <x v="0"/>
    <x v="0"/>
    <x v="0"/>
    <x v="0"/>
    <x v="0"/>
    <x v="0"/>
    <x v="0"/>
    <x v="0"/>
    <x v="0"/>
    <x v="0"/>
    <x v="0"/>
    <x v="0"/>
    <x v="0"/>
    <x v="0"/>
    <x v="0"/>
    <x v="0"/>
    <x v="0"/>
    <x v="0"/>
    <x v="0"/>
    <x v="0"/>
    <x v="0"/>
    <x v="0"/>
    <x v="0"/>
    <x v="3"/>
    <x v="0"/>
    <x v="3"/>
    <x v="0"/>
    <x v="0"/>
    <x v="0"/>
    <x v="0"/>
    <x v="4"/>
    <x v="4"/>
    <x v="0"/>
    <x v="0"/>
    <x v="0"/>
    <x v="0"/>
    <x v="0"/>
    <x v="0"/>
    <x v="0"/>
    <x v="0"/>
    <x v="0"/>
  </r>
  <r>
    <x v="5"/>
    <x v="5"/>
    <x v="0"/>
    <x v="0"/>
    <x v="5"/>
    <x v="0"/>
    <x v="0"/>
    <x v="0"/>
    <x v="5"/>
    <x v="3"/>
    <x v="0"/>
    <x v="0"/>
    <x v="0"/>
    <x v="0"/>
    <x v="0"/>
    <x v="0"/>
    <x v="0"/>
    <x v="4"/>
    <x v="2"/>
    <x v="5"/>
    <x v="5"/>
    <x v="4"/>
    <x v="4"/>
    <x v="2"/>
    <x v="0"/>
    <x v="0"/>
    <x v="5"/>
    <x v="4"/>
    <x v="4"/>
    <x v="2"/>
    <x v="0"/>
    <x v="0"/>
    <x v="5"/>
    <x v="4"/>
    <x v="4"/>
    <x v="2"/>
    <x v="0"/>
    <x v="0"/>
    <x v="0"/>
    <x v="0"/>
    <x v="0"/>
    <x v="0"/>
    <x v="0"/>
    <x v="0"/>
    <x v="5"/>
    <x v="0"/>
    <x v="5"/>
    <x v="0"/>
    <x v="0"/>
    <x v="0"/>
    <x v="0"/>
    <x v="0"/>
    <x v="0"/>
    <x v="0"/>
    <x v="0"/>
    <x v="0"/>
    <x v="0"/>
    <x v="5"/>
    <x v="4"/>
    <x v="4"/>
    <x v="0"/>
    <x v="0"/>
    <x v="0"/>
    <x v="5"/>
    <x v="4"/>
    <x v="4"/>
    <x v="0"/>
    <x v="0"/>
    <x v="0"/>
    <x v="5"/>
    <x v="4"/>
    <x v="4"/>
    <x v="0"/>
    <x v="0"/>
    <x v="0"/>
    <x v="0"/>
    <x v="0"/>
    <x v="0"/>
    <x v="0"/>
    <x v="0"/>
    <x v="0"/>
    <x v="0"/>
    <x v="0"/>
    <x v="0"/>
    <x v="0"/>
    <x v="0"/>
    <x v="0"/>
    <x v="0"/>
    <x v="0"/>
    <x v="0"/>
    <x v="0"/>
    <x v="0"/>
    <x v="0"/>
    <x v="0"/>
    <x v="0"/>
    <x v="0"/>
    <x v="0"/>
    <x v="2"/>
    <x v="2"/>
    <x v="2"/>
    <x v="0"/>
    <x v="3"/>
    <x v="5"/>
    <x v="0"/>
    <x v="0"/>
    <x v="0"/>
    <x v="0"/>
    <x v="0"/>
    <x v="0"/>
    <x v="0"/>
    <x v="0"/>
    <x v="0"/>
    <x v="0"/>
    <x v="0"/>
    <x v="0"/>
    <x v="0"/>
    <x v="0"/>
    <x v="0"/>
    <x v="0"/>
    <x v="0"/>
    <x v="0"/>
    <x v="0"/>
    <x v="0"/>
    <x v="0"/>
    <x v="0"/>
    <x v="0"/>
    <x v="0"/>
    <x v="0"/>
    <x v="0"/>
    <x v="0"/>
    <x v="3"/>
    <x v="0"/>
    <x v="3"/>
    <x v="0"/>
    <x v="0"/>
    <x v="0"/>
    <x v="0"/>
    <x v="5"/>
    <x v="5"/>
    <x v="0"/>
    <x v="0"/>
    <x v="0"/>
    <x v="0"/>
    <x v="0"/>
    <x v="0"/>
    <x v="0"/>
    <x v="0"/>
    <x v="0"/>
  </r>
  <r>
    <x v="6"/>
    <x v="6"/>
    <x v="0"/>
    <x v="0"/>
    <x v="6"/>
    <x v="0"/>
    <x v="0"/>
    <x v="0"/>
    <x v="5"/>
    <x v="3"/>
    <x v="0"/>
    <x v="0"/>
    <x v="0"/>
    <x v="0"/>
    <x v="0"/>
    <x v="0"/>
    <x v="0"/>
    <x v="5"/>
    <x v="3"/>
    <x v="6"/>
    <x v="5"/>
    <x v="4"/>
    <x v="4"/>
    <x v="2"/>
    <x v="0"/>
    <x v="0"/>
    <x v="5"/>
    <x v="4"/>
    <x v="4"/>
    <x v="2"/>
    <x v="0"/>
    <x v="0"/>
    <x v="5"/>
    <x v="4"/>
    <x v="4"/>
    <x v="2"/>
    <x v="0"/>
    <x v="0"/>
    <x v="0"/>
    <x v="0"/>
    <x v="0"/>
    <x v="0"/>
    <x v="0"/>
    <x v="0"/>
    <x v="6"/>
    <x v="0"/>
    <x v="6"/>
    <x v="0"/>
    <x v="0"/>
    <x v="0"/>
    <x v="0"/>
    <x v="0"/>
    <x v="0"/>
    <x v="0"/>
    <x v="0"/>
    <x v="0"/>
    <x v="0"/>
    <x v="5"/>
    <x v="4"/>
    <x v="4"/>
    <x v="0"/>
    <x v="0"/>
    <x v="0"/>
    <x v="5"/>
    <x v="4"/>
    <x v="4"/>
    <x v="0"/>
    <x v="0"/>
    <x v="0"/>
    <x v="5"/>
    <x v="4"/>
    <x v="4"/>
    <x v="0"/>
    <x v="0"/>
    <x v="0"/>
    <x v="0"/>
    <x v="0"/>
    <x v="0"/>
    <x v="0"/>
    <x v="0"/>
    <x v="0"/>
    <x v="0"/>
    <x v="0"/>
    <x v="0"/>
    <x v="0"/>
    <x v="0"/>
    <x v="0"/>
    <x v="0"/>
    <x v="0"/>
    <x v="0"/>
    <x v="0"/>
    <x v="0"/>
    <x v="0"/>
    <x v="0"/>
    <x v="0"/>
    <x v="0"/>
    <x v="0"/>
    <x v="2"/>
    <x v="2"/>
    <x v="2"/>
    <x v="0"/>
    <x v="3"/>
    <x v="6"/>
    <x v="0"/>
    <x v="0"/>
    <x v="0"/>
    <x v="0"/>
    <x v="0"/>
    <x v="0"/>
    <x v="0"/>
    <x v="0"/>
    <x v="0"/>
    <x v="0"/>
    <x v="0"/>
    <x v="0"/>
    <x v="0"/>
    <x v="0"/>
    <x v="0"/>
    <x v="0"/>
    <x v="0"/>
    <x v="0"/>
    <x v="0"/>
    <x v="0"/>
    <x v="0"/>
    <x v="0"/>
    <x v="0"/>
    <x v="0"/>
    <x v="0"/>
    <x v="0"/>
    <x v="0"/>
    <x v="3"/>
    <x v="0"/>
    <x v="3"/>
    <x v="0"/>
    <x v="0"/>
    <x v="0"/>
    <x v="0"/>
    <x v="6"/>
    <x v="6"/>
    <x v="0"/>
    <x v="0"/>
    <x v="0"/>
    <x v="0"/>
    <x v="0"/>
    <x v="0"/>
    <x v="0"/>
    <x v="0"/>
    <x v="0"/>
  </r>
  <r>
    <x v="7"/>
    <x v="7"/>
    <x v="0"/>
    <x v="0"/>
    <x v="7"/>
    <x v="0"/>
    <x v="0"/>
    <x v="0"/>
    <x v="5"/>
    <x v="3"/>
    <x v="0"/>
    <x v="0"/>
    <x v="0"/>
    <x v="0"/>
    <x v="0"/>
    <x v="0"/>
    <x v="0"/>
    <x v="1"/>
    <x v="1"/>
    <x v="7"/>
    <x v="5"/>
    <x v="4"/>
    <x v="4"/>
    <x v="2"/>
    <x v="0"/>
    <x v="0"/>
    <x v="5"/>
    <x v="4"/>
    <x v="4"/>
    <x v="2"/>
    <x v="0"/>
    <x v="0"/>
    <x v="5"/>
    <x v="4"/>
    <x v="4"/>
    <x v="2"/>
    <x v="0"/>
    <x v="0"/>
    <x v="0"/>
    <x v="0"/>
    <x v="0"/>
    <x v="0"/>
    <x v="0"/>
    <x v="0"/>
    <x v="7"/>
    <x v="0"/>
    <x v="7"/>
    <x v="0"/>
    <x v="0"/>
    <x v="0"/>
    <x v="0"/>
    <x v="0"/>
    <x v="0"/>
    <x v="0"/>
    <x v="0"/>
    <x v="0"/>
    <x v="0"/>
    <x v="5"/>
    <x v="4"/>
    <x v="4"/>
    <x v="0"/>
    <x v="0"/>
    <x v="0"/>
    <x v="5"/>
    <x v="4"/>
    <x v="4"/>
    <x v="0"/>
    <x v="0"/>
    <x v="0"/>
    <x v="5"/>
    <x v="4"/>
    <x v="4"/>
    <x v="0"/>
    <x v="0"/>
    <x v="0"/>
    <x v="0"/>
    <x v="0"/>
    <x v="0"/>
    <x v="0"/>
    <x v="0"/>
    <x v="0"/>
    <x v="0"/>
    <x v="0"/>
    <x v="0"/>
    <x v="0"/>
    <x v="0"/>
    <x v="0"/>
    <x v="0"/>
    <x v="0"/>
    <x v="0"/>
    <x v="0"/>
    <x v="0"/>
    <x v="0"/>
    <x v="0"/>
    <x v="0"/>
    <x v="0"/>
    <x v="0"/>
    <x v="2"/>
    <x v="2"/>
    <x v="2"/>
    <x v="0"/>
    <x v="3"/>
    <x v="7"/>
    <x v="0"/>
    <x v="0"/>
    <x v="0"/>
    <x v="0"/>
    <x v="0"/>
    <x v="0"/>
    <x v="0"/>
    <x v="0"/>
    <x v="0"/>
    <x v="0"/>
    <x v="0"/>
    <x v="0"/>
    <x v="0"/>
    <x v="0"/>
    <x v="0"/>
    <x v="0"/>
    <x v="0"/>
    <x v="0"/>
    <x v="0"/>
    <x v="0"/>
    <x v="0"/>
    <x v="0"/>
    <x v="0"/>
    <x v="0"/>
    <x v="0"/>
    <x v="0"/>
    <x v="0"/>
    <x v="3"/>
    <x v="0"/>
    <x v="3"/>
    <x v="0"/>
    <x v="0"/>
    <x v="0"/>
    <x v="0"/>
    <x v="7"/>
    <x v="7"/>
    <x v="0"/>
    <x v="0"/>
    <x v="0"/>
    <x v="0"/>
    <x v="0"/>
    <x v="0"/>
    <x v="0"/>
    <x v="0"/>
    <x v="0"/>
  </r>
  <r>
    <x v="8"/>
    <x v="8"/>
    <x v="0"/>
    <x v="0"/>
    <x v="8"/>
    <x v="0"/>
    <x v="0"/>
    <x v="0"/>
    <x v="5"/>
    <x v="3"/>
    <x v="0"/>
    <x v="0"/>
    <x v="0"/>
    <x v="0"/>
    <x v="0"/>
    <x v="0"/>
    <x v="0"/>
    <x v="0"/>
    <x v="0"/>
    <x v="8"/>
    <x v="5"/>
    <x v="4"/>
    <x v="4"/>
    <x v="2"/>
    <x v="0"/>
    <x v="0"/>
    <x v="5"/>
    <x v="4"/>
    <x v="4"/>
    <x v="2"/>
    <x v="0"/>
    <x v="0"/>
    <x v="5"/>
    <x v="4"/>
    <x v="4"/>
    <x v="2"/>
    <x v="0"/>
    <x v="0"/>
    <x v="0"/>
    <x v="0"/>
    <x v="0"/>
    <x v="0"/>
    <x v="0"/>
    <x v="0"/>
    <x v="8"/>
    <x v="0"/>
    <x v="8"/>
    <x v="0"/>
    <x v="0"/>
    <x v="0"/>
    <x v="0"/>
    <x v="0"/>
    <x v="0"/>
    <x v="0"/>
    <x v="0"/>
    <x v="0"/>
    <x v="0"/>
    <x v="5"/>
    <x v="4"/>
    <x v="4"/>
    <x v="0"/>
    <x v="0"/>
    <x v="0"/>
    <x v="5"/>
    <x v="4"/>
    <x v="4"/>
    <x v="0"/>
    <x v="0"/>
    <x v="0"/>
    <x v="5"/>
    <x v="4"/>
    <x v="4"/>
    <x v="0"/>
    <x v="0"/>
    <x v="0"/>
    <x v="0"/>
    <x v="0"/>
    <x v="0"/>
    <x v="0"/>
    <x v="0"/>
    <x v="0"/>
    <x v="0"/>
    <x v="0"/>
    <x v="0"/>
    <x v="0"/>
    <x v="0"/>
    <x v="0"/>
    <x v="0"/>
    <x v="0"/>
    <x v="0"/>
    <x v="0"/>
    <x v="0"/>
    <x v="0"/>
    <x v="0"/>
    <x v="0"/>
    <x v="0"/>
    <x v="0"/>
    <x v="2"/>
    <x v="2"/>
    <x v="2"/>
    <x v="0"/>
    <x v="3"/>
    <x v="8"/>
    <x v="0"/>
    <x v="0"/>
    <x v="0"/>
    <x v="0"/>
    <x v="0"/>
    <x v="0"/>
    <x v="0"/>
    <x v="0"/>
    <x v="0"/>
    <x v="0"/>
    <x v="0"/>
    <x v="0"/>
    <x v="0"/>
    <x v="0"/>
    <x v="0"/>
    <x v="0"/>
    <x v="0"/>
    <x v="0"/>
    <x v="0"/>
    <x v="0"/>
    <x v="0"/>
    <x v="0"/>
    <x v="0"/>
    <x v="0"/>
    <x v="0"/>
    <x v="0"/>
    <x v="0"/>
    <x v="3"/>
    <x v="0"/>
    <x v="3"/>
    <x v="0"/>
    <x v="0"/>
    <x v="0"/>
    <x v="0"/>
    <x v="8"/>
    <x v="8"/>
    <x v="0"/>
    <x v="0"/>
    <x v="0"/>
    <x v="0"/>
    <x v="0"/>
    <x v="0"/>
    <x v="0"/>
    <x v="0"/>
    <x v="0"/>
  </r>
  <r>
    <x v="9"/>
    <x v="9"/>
    <x v="0"/>
    <x v="0"/>
    <x v="9"/>
    <x v="0"/>
    <x v="0"/>
    <x v="0"/>
    <x v="4"/>
    <x v="4"/>
    <x v="0"/>
    <x v="0"/>
    <x v="0"/>
    <x v="0"/>
    <x v="0"/>
    <x v="0"/>
    <x v="0"/>
    <x v="6"/>
    <x v="0"/>
    <x v="9"/>
    <x v="5"/>
    <x v="4"/>
    <x v="4"/>
    <x v="2"/>
    <x v="0"/>
    <x v="0"/>
    <x v="5"/>
    <x v="4"/>
    <x v="4"/>
    <x v="2"/>
    <x v="0"/>
    <x v="0"/>
    <x v="5"/>
    <x v="4"/>
    <x v="4"/>
    <x v="2"/>
    <x v="0"/>
    <x v="0"/>
    <x v="0"/>
    <x v="0"/>
    <x v="0"/>
    <x v="0"/>
    <x v="0"/>
    <x v="0"/>
    <x v="9"/>
    <x v="0"/>
    <x v="9"/>
    <x v="0"/>
    <x v="0"/>
    <x v="0"/>
    <x v="0"/>
    <x v="0"/>
    <x v="0"/>
    <x v="0"/>
    <x v="0"/>
    <x v="0"/>
    <x v="0"/>
    <x v="5"/>
    <x v="4"/>
    <x v="4"/>
    <x v="0"/>
    <x v="0"/>
    <x v="0"/>
    <x v="5"/>
    <x v="4"/>
    <x v="4"/>
    <x v="0"/>
    <x v="0"/>
    <x v="0"/>
    <x v="5"/>
    <x v="4"/>
    <x v="4"/>
    <x v="0"/>
    <x v="0"/>
    <x v="0"/>
    <x v="0"/>
    <x v="0"/>
    <x v="0"/>
    <x v="0"/>
    <x v="0"/>
    <x v="0"/>
    <x v="0"/>
    <x v="0"/>
    <x v="0"/>
    <x v="0"/>
    <x v="0"/>
    <x v="0"/>
    <x v="0"/>
    <x v="0"/>
    <x v="0"/>
    <x v="0"/>
    <x v="0"/>
    <x v="0"/>
    <x v="0"/>
    <x v="0"/>
    <x v="0"/>
    <x v="0"/>
    <x v="3"/>
    <x v="2"/>
    <x v="2"/>
    <x v="0"/>
    <x v="4"/>
    <x v="9"/>
    <x v="0"/>
    <x v="0"/>
    <x v="0"/>
    <x v="0"/>
    <x v="0"/>
    <x v="0"/>
    <x v="0"/>
    <x v="0"/>
    <x v="0"/>
    <x v="0"/>
    <x v="0"/>
    <x v="0"/>
    <x v="0"/>
    <x v="0"/>
    <x v="0"/>
    <x v="0"/>
    <x v="0"/>
    <x v="0"/>
    <x v="0"/>
    <x v="0"/>
    <x v="0"/>
    <x v="0"/>
    <x v="0"/>
    <x v="0"/>
    <x v="0"/>
    <x v="0"/>
    <x v="0"/>
    <x v="3"/>
    <x v="0"/>
    <x v="3"/>
    <x v="0"/>
    <x v="0"/>
    <x v="0"/>
    <x v="0"/>
    <x v="9"/>
    <x v="9"/>
    <x v="0"/>
    <x v="0"/>
    <x v="0"/>
    <x v="0"/>
    <x v="0"/>
    <x v="0"/>
    <x v="0"/>
    <x v="0"/>
    <x v="0"/>
  </r>
  <r>
    <x v="10"/>
    <x v="10"/>
    <x v="0"/>
    <x v="0"/>
    <x v="10"/>
    <x v="0"/>
    <x v="0"/>
    <x v="0"/>
    <x v="4"/>
    <x v="4"/>
    <x v="0"/>
    <x v="0"/>
    <x v="0"/>
    <x v="0"/>
    <x v="0"/>
    <x v="0"/>
    <x v="0"/>
    <x v="7"/>
    <x v="0"/>
    <x v="10"/>
    <x v="5"/>
    <x v="4"/>
    <x v="4"/>
    <x v="2"/>
    <x v="0"/>
    <x v="0"/>
    <x v="5"/>
    <x v="4"/>
    <x v="4"/>
    <x v="2"/>
    <x v="0"/>
    <x v="0"/>
    <x v="5"/>
    <x v="4"/>
    <x v="4"/>
    <x v="2"/>
    <x v="0"/>
    <x v="0"/>
    <x v="0"/>
    <x v="0"/>
    <x v="0"/>
    <x v="0"/>
    <x v="0"/>
    <x v="0"/>
    <x v="10"/>
    <x v="0"/>
    <x v="10"/>
    <x v="0"/>
    <x v="0"/>
    <x v="0"/>
    <x v="0"/>
    <x v="0"/>
    <x v="0"/>
    <x v="0"/>
    <x v="0"/>
    <x v="0"/>
    <x v="0"/>
    <x v="5"/>
    <x v="4"/>
    <x v="4"/>
    <x v="0"/>
    <x v="0"/>
    <x v="0"/>
    <x v="5"/>
    <x v="4"/>
    <x v="4"/>
    <x v="0"/>
    <x v="0"/>
    <x v="0"/>
    <x v="5"/>
    <x v="4"/>
    <x v="4"/>
    <x v="0"/>
    <x v="0"/>
    <x v="0"/>
    <x v="0"/>
    <x v="0"/>
    <x v="0"/>
    <x v="0"/>
    <x v="0"/>
    <x v="0"/>
    <x v="0"/>
    <x v="0"/>
    <x v="0"/>
    <x v="0"/>
    <x v="0"/>
    <x v="0"/>
    <x v="0"/>
    <x v="0"/>
    <x v="0"/>
    <x v="0"/>
    <x v="0"/>
    <x v="0"/>
    <x v="0"/>
    <x v="0"/>
    <x v="0"/>
    <x v="0"/>
    <x v="3"/>
    <x v="2"/>
    <x v="2"/>
    <x v="0"/>
    <x v="4"/>
    <x v="10"/>
    <x v="0"/>
    <x v="0"/>
    <x v="0"/>
    <x v="0"/>
    <x v="0"/>
    <x v="0"/>
    <x v="0"/>
    <x v="0"/>
    <x v="0"/>
    <x v="0"/>
    <x v="0"/>
    <x v="0"/>
    <x v="0"/>
    <x v="0"/>
    <x v="0"/>
    <x v="0"/>
    <x v="0"/>
    <x v="0"/>
    <x v="0"/>
    <x v="0"/>
    <x v="0"/>
    <x v="0"/>
    <x v="0"/>
    <x v="0"/>
    <x v="0"/>
    <x v="0"/>
    <x v="0"/>
    <x v="3"/>
    <x v="0"/>
    <x v="3"/>
    <x v="0"/>
    <x v="0"/>
    <x v="0"/>
    <x v="0"/>
    <x v="10"/>
    <x v="10"/>
    <x v="0"/>
    <x v="0"/>
    <x v="0"/>
    <x v="0"/>
    <x v="0"/>
    <x v="0"/>
    <x v="0"/>
    <x v="0"/>
    <x v="0"/>
  </r>
</pivotCacheRecords>
</file>

<file path=xl/pivotCache/pivotCacheRecords3.xml><?xml version="1.0" encoding="utf-8"?>
<pivotCacheRecords xmlns="http://schemas.openxmlformats.org/spreadsheetml/2006/main" xmlns:r="http://schemas.openxmlformats.org/officeDocument/2006/relationships" count="358">
  <r>
    <n v="49975"/>
    <x v="0"/>
    <x v="0"/>
    <x v="0"/>
    <d v="2024-09-12T00:00:00"/>
    <x v="0"/>
    <x v="0"/>
    <x v="0"/>
    <n v="1483091.0682999999"/>
    <x v="0"/>
    <n v="1483091.0682999999"/>
    <n v="1324188.4538"/>
    <n v="158902.6145"/>
    <x v="0"/>
    <x v="0"/>
    <x v="0"/>
    <x v="0"/>
    <x v="0"/>
    <x v="0"/>
    <n v="1483091.0682999999"/>
    <n v="0"/>
    <x v="0"/>
    <x v="0"/>
    <x v="0"/>
    <x v="0"/>
    <n v="24452"/>
    <x v="0"/>
    <x v="0"/>
    <x v="0"/>
    <n v="1483091.0682999999"/>
    <n v="1483091.0682999999"/>
    <n v="24452"/>
    <n v="0"/>
    <x v="0"/>
    <x v="0"/>
    <x v="0"/>
    <s v="PALMF - RBD PALM OLEIN (FOREIGN)"/>
    <x v="0"/>
    <n v="60.65316"/>
    <s v="MSE240978"/>
    <x v="0"/>
    <x v="0"/>
    <x v="0"/>
    <x v="0"/>
    <x v="0"/>
    <x v="0"/>
    <x v="0"/>
    <x v="0"/>
    <x v="0"/>
    <x v="0"/>
    <x v="0"/>
    <s v="PALMF"/>
  </r>
  <r>
    <n v="49974"/>
    <x v="1"/>
    <x v="0"/>
    <x v="1"/>
    <d v="2024-09-05T00:00:00"/>
    <x v="0"/>
    <x v="0"/>
    <x v="0"/>
    <n v="196000"/>
    <x v="0"/>
    <n v="196000"/>
    <n v="175000"/>
    <n v="21000"/>
    <x v="0"/>
    <x v="0"/>
    <x v="1"/>
    <x v="0"/>
    <x v="0"/>
    <x v="1"/>
    <n v="0"/>
    <n v="196000"/>
    <x v="0"/>
    <x v="1"/>
    <x v="0"/>
    <x v="1"/>
    <n v="7000"/>
    <x v="0"/>
    <x v="0"/>
    <x v="0"/>
    <n v="196000"/>
    <n v="196000"/>
    <n v="7000"/>
    <n v="0"/>
    <x v="0"/>
    <x v="0"/>
    <x v="0"/>
    <s v="BUNKER - BUNKER OIL"/>
    <x v="0"/>
    <n v="28"/>
    <s v="DR26391"/>
    <x v="0"/>
    <x v="0"/>
    <x v="0"/>
    <x v="0"/>
    <x v="0"/>
    <x v="1"/>
    <x v="0"/>
    <x v="1"/>
    <x v="1"/>
    <x v="1"/>
    <x v="0"/>
    <s v="BUNKER"/>
  </r>
  <r>
    <n v="49973"/>
    <x v="2"/>
    <x v="0"/>
    <x v="1"/>
    <d v="2024-09-05T00:00:00"/>
    <x v="0"/>
    <x v="1"/>
    <x v="0"/>
    <n v="19200"/>
    <x v="0"/>
    <n v="19200"/>
    <n v="17142.857100000001"/>
    <n v="2057.1428999999998"/>
    <x v="0"/>
    <x v="0"/>
    <x v="2"/>
    <x v="0"/>
    <x v="0"/>
    <x v="1"/>
    <n v="19200"/>
    <n v="0"/>
    <x v="0"/>
    <x v="1"/>
    <x v="0"/>
    <x v="2"/>
    <n v="3000"/>
    <x v="1"/>
    <x v="0"/>
    <x v="0"/>
    <n v="19200"/>
    <n v="19200"/>
    <n v="3000"/>
    <n v="6.4"/>
    <x v="0"/>
    <x v="0"/>
    <x v="1"/>
    <s v="BOX1GFINE - 1G BOX PAMINTA FINE (SPC)"/>
    <x v="0"/>
    <n v="6.4"/>
    <s v="SI526632"/>
    <x v="0"/>
    <x v="0"/>
    <x v="0"/>
    <x v="0"/>
    <x v="0"/>
    <x v="2"/>
    <x v="0"/>
    <x v="2"/>
    <x v="2"/>
    <x v="2"/>
    <x v="0"/>
    <s v="BOX1GFINE"/>
  </r>
  <r>
    <n v="49972"/>
    <x v="3"/>
    <x v="0"/>
    <x v="1"/>
    <d v="2024-09-05T00:00:00"/>
    <x v="0"/>
    <x v="1"/>
    <x v="0"/>
    <n v="19200"/>
    <x v="0"/>
    <n v="19200"/>
    <n v="17142.857100000001"/>
    <n v="2057.1428999999998"/>
    <x v="0"/>
    <x v="0"/>
    <x v="2"/>
    <x v="0"/>
    <x v="0"/>
    <x v="1"/>
    <n v="19200"/>
    <n v="0"/>
    <x v="0"/>
    <x v="1"/>
    <x v="0"/>
    <x v="3"/>
    <n v="3000"/>
    <x v="1"/>
    <x v="0"/>
    <x v="0"/>
    <n v="19200"/>
    <n v="19200"/>
    <n v="3000"/>
    <n v="6.4"/>
    <x v="0"/>
    <x v="0"/>
    <x v="1"/>
    <s v="BOX1GWHOLE - 1G BOX PAMINTA WHOLE (SPC)"/>
    <x v="0"/>
    <n v="6.4"/>
    <s v="SI526630"/>
    <x v="0"/>
    <x v="0"/>
    <x v="0"/>
    <x v="0"/>
    <x v="0"/>
    <x v="3"/>
    <x v="0"/>
    <x v="3"/>
    <x v="2"/>
    <x v="2"/>
    <x v="0"/>
    <s v="BOX1GWHOLE"/>
  </r>
  <r>
    <n v="49971"/>
    <x v="4"/>
    <x v="0"/>
    <x v="1"/>
    <d v="2024-09-05T00:00:00"/>
    <x v="0"/>
    <x v="1"/>
    <x v="0"/>
    <n v="19200"/>
    <x v="0"/>
    <n v="19200"/>
    <n v="17142.857100000001"/>
    <n v="2057.1428999999998"/>
    <x v="0"/>
    <x v="0"/>
    <x v="2"/>
    <x v="0"/>
    <x v="0"/>
    <x v="1"/>
    <n v="19200"/>
    <n v="0"/>
    <x v="0"/>
    <x v="1"/>
    <x v="0"/>
    <x v="4"/>
    <n v="3000"/>
    <x v="1"/>
    <x v="0"/>
    <x v="0"/>
    <n v="19200"/>
    <n v="19200"/>
    <n v="3000"/>
    <n v="6.4"/>
    <x v="0"/>
    <x v="0"/>
    <x v="1"/>
    <s v="BOX1GCRACKED - 1G BOX PAMINTA CRACKED (SPC)"/>
    <x v="0"/>
    <n v="6.4"/>
    <s v="SI526633"/>
    <x v="0"/>
    <x v="0"/>
    <x v="0"/>
    <x v="0"/>
    <x v="0"/>
    <x v="4"/>
    <x v="0"/>
    <x v="4"/>
    <x v="2"/>
    <x v="2"/>
    <x v="0"/>
    <s v="BOX1GCRACKED"/>
  </r>
  <r>
    <n v="49970"/>
    <x v="5"/>
    <x v="0"/>
    <x v="2"/>
    <d v="2024-09-04T00:00:00"/>
    <x v="0"/>
    <x v="2"/>
    <x v="0"/>
    <n v="208086"/>
    <x v="0"/>
    <n v="208086"/>
    <n v="185791.07139999999"/>
    <n v="22294.928599999999"/>
    <x v="0"/>
    <x v="0"/>
    <x v="2"/>
    <x v="0"/>
    <x v="0"/>
    <x v="1"/>
    <n v="208086"/>
    <n v="0"/>
    <x v="0"/>
    <x v="1"/>
    <x v="0"/>
    <x v="5"/>
    <n v="9480"/>
    <x v="0"/>
    <x v="0"/>
    <x v="0"/>
    <n v="208086"/>
    <n v="208086"/>
    <n v="9480"/>
    <n v="21.95"/>
    <x v="0"/>
    <x v="0"/>
    <x v="2"/>
    <s v="MBTL2L - 2LITERS BOTTLE PALM MAZOLA (MBC)"/>
    <x v="0"/>
    <n v="21.95"/>
    <s v="DR6989"/>
    <x v="0"/>
    <x v="0"/>
    <x v="0"/>
    <x v="0"/>
    <x v="0"/>
    <x v="5"/>
    <x v="0"/>
    <x v="5"/>
    <x v="3"/>
    <x v="3"/>
    <x v="0"/>
    <s v="MBTL2L"/>
  </r>
  <r>
    <n v="49969"/>
    <x v="6"/>
    <x v="0"/>
    <x v="3"/>
    <d v="2024-09-03T00:00:00"/>
    <x v="0"/>
    <x v="0"/>
    <x v="0"/>
    <n v="6600"/>
    <x v="0"/>
    <n v="6600"/>
    <n v="5892.8571000000002"/>
    <n v="707.14290000000005"/>
    <x v="0"/>
    <x v="0"/>
    <x v="3"/>
    <x v="0"/>
    <x v="0"/>
    <x v="0"/>
    <n v="0"/>
    <n v="6600"/>
    <x v="0"/>
    <x v="1"/>
    <x v="0"/>
    <x v="6"/>
    <n v="500000"/>
    <x v="2"/>
    <x v="0"/>
    <x v="0"/>
    <n v="6600"/>
    <n v="6600"/>
    <n v="500000"/>
    <n v="1.32E-2"/>
    <x v="0"/>
    <x v="0"/>
    <x v="0"/>
    <s v="SALT - SALT IODIZED (SALINE)"/>
    <x v="0"/>
    <n v="1.32E-2"/>
    <s v="DR20214"/>
    <x v="0"/>
    <x v="0"/>
    <x v="0"/>
    <x v="0"/>
    <x v="0"/>
    <x v="6"/>
    <x v="0"/>
    <x v="6"/>
    <x v="4"/>
    <x v="4"/>
    <x v="0"/>
    <s v="SALT"/>
  </r>
  <r>
    <n v="49968"/>
    <x v="7"/>
    <x v="0"/>
    <x v="3"/>
    <d v="2024-09-03T00:00:00"/>
    <x v="0"/>
    <x v="0"/>
    <x v="0"/>
    <n v="460000"/>
    <x v="0"/>
    <n v="460000"/>
    <n v="410714.28570000001"/>
    <n v="49285.7143"/>
    <x v="0"/>
    <x v="0"/>
    <x v="3"/>
    <x v="0"/>
    <x v="0"/>
    <x v="1"/>
    <n v="0"/>
    <n v="460000"/>
    <x v="0"/>
    <x v="1"/>
    <x v="0"/>
    <x v="7"/>
    <n v="12500000"/>
    <x v="2"/>
    <x v="0"/>
    <x v="0"/>
    <n v="460000"/>
    <n v="460000"/>
    <n v="12500000"/>
    <n v="920"/>
    <x v="0"/>
    <x v="0"/>
    <x v="0"/>
    <s v="CORN - CORNSTARCH"/>
    <x v="0"/>
    <n v="3.6799999999999999E-2"/>
    <s v="DR20212"/>
    <x v="0"/>
    <x v="0"/>
    <x v="0"/>
    <x v="0"/>
    <x v="0"/>
    <x v="7"/>
    <x v="0"/>
    <x v="7"/>
    <x v="4"/>
    <x v="4"/>
    <x v="0"/>
    <s v="CORN"/>
  </r>
  <r>
    <n v="39968"/>
    <x v="8"/>
    <x v="0"/>
    <x v="4"/>
    <d v="2024-08-22T00:00:00"/>
    <x v="0"/>
    <x v="3"/>
    <x v="0"/>
    <n v="30218"/>
    <x v="0"/>
    <n v="30218"/>
    <n v="26980.357100000001"/>
    <n v="3237.6428999999998"/>
    <x v="0"/>
    <x v="0"/>
    <x v="2"/>
    <x v="0"/>
    <x v="0"/>
    <x v="1"/>
    <n v="30218"/>
    <n v="0"/>
    <x v="0"/>
    <x v="1"/>
    <x v="0"/>
    <x v="8"/>
    <n v="1042"/>
    <x v="1"/>
    <x v="0"/>
    <x v="0"/>
    <n v="30218"/>
    <n v="30218"/>
    <n v="1042"/>
    <n v="29"/>
    <x v="0"/>
    <x v="0"/>
    <x v="3"/>
    <s v="BOX350MLP-W - 350ML BOX PALM (WPCC)"/>
    <x v="0"/>
    <n v="29"/>
    <s v="DR216959"/>
    <x v="0"/>
    <x v="0"/>
    <x v="0"/>
    <x v="0"/>
    <x v="0"/>
    <x v="8"/>
    <x v="0"/>
    <x v="8"/>
    <x v="2"/>
    <x v="2"/>
    <x v="1"/>
    <s v="BOX350MLP-W"/>
  </r>
  <r>
    <n v="39967"/>
    <x v="9"/>
    <x v="0"/>
    <x v="5"/>
    <d v="2024-08-21T00:00:00"/>
    <x v="0"/>
    <x v="2"/>
    <x v="0"/>
    <n v="44022"/>
    <x v="0"/>
    <n v="44022"/>
    <n v="39305.357100000001"/>
    <n v="4716.6428999999998"/>
    <x v="0"/>
    <x v="0"/>
    <x v="2"/>
    <x v="0"/>
    <x v="0"/>
    <x v="1"/>
    <n v="44022"/>
    <n v="0"/>
    <x v="0"/>
    <x v="1"/>
    <x v="0"/>
    <x v="9"/>
    <n v="6380"/>
    <x v="1"/>
    <x v="0"/>
    <x v="0"/>
    <n v="44022"/>
    <n v="44022"/>
    <n v="6380"/>
    <n v="6.9"/>
    <x v="0"/>
    <x v="0"/>
    <x v="2"/>
    <s v="MBTL900ML - 900ML BOTTLE PALM MAZOLA (MBC)"/>
    <x v="0"/>
    <n v="6.9"/>
    <s v="DR6922"/>
    <x v="0"/>
    <x v="0"/>
    <x v="0"/>
    <x v="0"/>
    <x v="0"/>
    <x v="9"/>
    <x v="0"/>
    <x v="9"/>
    <x v="3"/>
    <x v="3"/>
    <x v="0"/>
    <s v="MBTL900ML"/>
  </r>
  <r>
    <n v="39966"/>
    <x v="10"/>
    <x v="0"/>
    <x v="6"/>
    <d v="2024-08-17T00:00:00"/>
    <x v="0"/>
    <x v="2"/>
    <x v="0"/>
    <n v="95634"/>
    <x v="0"/>
    <n v="95634"/>
    <n v="85387.5"/>
    <n v="10246.5"/>
    <x v="0"/>
    <x v="0"/>
    <x v="2"/>
    <x v="0"/>
    <x v="0"/>
    <x v="1"/>
    <n v="95634"/>
    <n v="0"/>
    <x v="0"/>
    <x v="1"/>
    <x v="0"/>
    <x v="9"/>
    <n v="13860"/>
    <x v="1"/>
    <x v="0"/>
    <x v="0"/>
    <n v="95634"/>
    <n v="95634"/>
    <n v="13860"/>
    <n v="6.9"/>
    <x v="0"/>
    <x v="0"/>
    <x v="2"/>
    <s v="MBTL900ML - 900ML BOTTLE PALM MAZOLA (MBC)"/>
    <x v="0"/>
    <n v="6.9"/>
    <s v="DR6907"/>
    <x v="0"/>
    <x v="0"/>
    <x v="0"/>
    <x v="0"/>
    <x v="0"/>
    <x v="9"/>
    <x v="0"/>
    <x v="9"/>
    <x v="3"/>
    <x v="3"/>
    <x v="0"/>
    <s v="MBTL900ML"/>
  </r>
  <r>
    <n v="39965"/>
    <x v="11"/>
    <x v="0"/>
    <x v="7"/>
    <d v="2024-08-07T00:00:00"/>
    <x v="0"/>
    <x v="3"/>
    <x v="0"/>
    <n v="16698"/>
    <x v="0"/>
    <n v="16698"/>
    <n v="14908.928599999999"/>
    <n v="1789.0714"/>
    <x v="0"/>
    <x v="0"/>
    <x v="2"/>
    <x v="0"/>
    <x v="0"/>
    <x v="1"/>
    <n v="16698"/>
    <n v="0"/>
    <x v="0"/>
    <x v="1"/>
    <x v="0"/>
    <x v="10"/>
    <n v="1012"/>
    <x v="1"/>
    <x v="0"/>
    <x v="0"/>
    <n v="16698"/>
    <n v="16698"/>
    <n v="1012"/>
    <n v="16.5"/>
    <x v="0"/>
    <x v="0"/>
    <x v="3"/>
    <s v="BOX1LPMZL - 1LITER BOX PALM MZL (WPCC)"/>
    <x v="0"/>
    <n v="16.5"/>
    <s v="DR215979"/>
    <x v="0"/>
    <x v="0"/>
    <x v="0"/>
    <x v="0"/>
    <x v="0"/>
    <x v="10"/>
    <x v="0"/>
    <x v="10"/>
    <x v="2"/>
    <x v="2"/>
    <x v="1"/>
    <s v="BOX1LPMZL"/>
  </r>
  <r>
    <n v="39964"/>
    <x v="12"/>
    <x v="0"/>
    <x v="8"/>
    <d v="2024-08-14T00:00:00"/>
    <x v="0"/>
    <x v="0"/>
    <x v="0"/>
    <n v="2419.9996000000001"/>
    <x v="0"/>
    <n v="2419.9996000000001"/>
    <n v="2160.7139000000002"/>
    <n v="259.28570000000002"/>
    <x v="0"/>
    <x v="0"/>
    <x v="4"/>
    <x v="0"/>
    <x v="0"/>
    <x v="0"/>
    <n v="2419.9996000000001"/>
    <n v="0"/>
    <x v="0"/>
    <x v="1"/>
    <x v="0"/>
    <x v="11"/>
    <n v="43400"/>
    <x v="0"/>
    <x v="0"/>
    <x v="0"/>
    <n v="2419.9996000000001"/>
    <n v="2419.9996000000001"/>
    <n v="43400"/>
    <n v="5.2600000000000001E-2"/>
    <x v="0"/>
    <x v="0"/>
    <x v="0"/>
    <s v="LYE - LYE WATER (BAKED BS)"/>
    <x v="0"/>
    <n v="5.5760360000000002E-2"/>
    <s v="DR07142024"/>
    <x v="0"/>
    <x v="0"/>
    <x v="0"/>
    <x v="0"/>
    <x v="0"/>
    <x v="11"/>
    <x v="0"/>
    <x v="11"/>
    <x v="4"/>
    <x v="4"/>
    <x v="0"/>
    <s v="LYE"/>
  </r>
  <r>
    <n v="39963"/>
    <x v="13"/>
    <x v="0"/>
    <x v="9"/>
    <d v="2024-08-15T00:00:00"/>
    <x v="0"/>
    <x v="0"/>
    <x v="0"/>
    <n v="100320"/>
    <x v="0"/>
    <n v="100320"/>
    <n v="89571.428599999999"/>
    <n v="10748.571400000001"/>
    <x v="0"/>
    <x v="0"/>
    <x v="5"/>
    <x v="0"/>
    <x v="0"/>
    <x v="0"/>
    <n v="0"/>
    <n v="100320"/>
    <x v="0"/>
    <x v="1"/>
    <x v="0"/>
    <x v="12"/>
    <n v="3000000"/>
    <x v="2"/>
    <x v="0"/>
    <x v="0"/>
    <n v="100320"/>
    <n v="100320"/>
    <n v="3000000"/>
    <n v="0"/>
    <x v="0"/>
    <x v="0"/>
    <x v="0"/>
    <s v="FLOUR - FLOUR (HARINA)"/>
    <x v="0"/>
    <n v="3.3439999999999998E-2"/>
    <s v="DR4130048530"/>
    <x v="0"/>
    <x v="0"/>
    <x v="0"/>
    <x v="0"/>
    <x v="0"/>
    <x v="12"/>
    <x v="0"/>
    <x v="12"/>
    <x v="4"/>
    <x v="4"/>
    <x v="0"/>
    <s v="FLOUR"/>
  </r>
  <r>
    <n v="39962"/>
    <x v="14"/>
    <x v="0"/>
    <x v="10"/>
    <d v="2024-07-12T00:00:00"/>
    <x v="0"/>
    <x v="0"/>
    <x v="0"/>
    <n v="120000"/>
    <x v="0"/>
    <n v="120000"/>
    <n v="107142.85709999999"/>
    <n v="12857.142900000001"/>
    <x v="0"/>
    <x v="0"/>
    <x v="1"/>
    <x v="0"/>
    <x v="0"/>
    <x v="0"/>
    <n v="0"/>
    <n v="120000"/>
    <x v="0"/>
    <x v="1"/>
    <x v="0"/>
    <x v="1"/>
    <n v="5000"/>
    <x v="0"/>
    <x v="0"/>
    <x v="0"/>
    <n v="120000"/>
    <n v="120000"/>
    <n v="5000"/>
    <n v="0"/>
    <x v="0"/>
    <x v="0"/>
    <x v="0"/>
    <s v="BUNKER - BUNKER OIL"/>
    <x v="0"/>
    <n v="24"/>
    <s v="DR26362"/>
    <x v="0"/>
    <x v="0"/>
    <x v="0"/>
    <x v="0"/>
    <x v="0"/>
    <x v="1"/>
    <x v="0"/>
    <x v="1"/>
    <x v="1"/>
    <x v="1"/>
    <x v="0"/>
    <s v="BUNKER"/>
  </r>
  <r>
    <n v="39961"/>
    <x v="15"/>
    <x v="0"/>
    <x v="7"/>
    <d v="2024-08-07T00:00:00"/>
    <x v="0"/>
    <x v="0"/>
    <x v="0"/>
    <n v="168000"/>
    <x v="0"/>
    <n v="168000"/>
    <n v="150000"/>
    <n v="18000"/>
    <x v="0"/>
    <x v="0"/>
    <x v="1"/>
    <x v="0"/>
    <x v="0"/>
    <x v="0"/>
    <n v="0"/>
    <n v="168000"/>
    <x v="0"/>
    <x v="1"/>
    <x v="0"/>
    <x v="1"/>
    <n v="6000"/>
    <x v="0"/>
    <x v="0"/>
    <x v="0"/>
    <n v="168000"/>
    <n v="168000"/>
    <n v="6000"/>
    <n v="0"/>
    <x v="0"/>
    <x v="0"/>
    <x v="0"/>
    <s v="BUNKER - BUNKER OIL"/>
    <x v="0"/>
    <n v="28"/>
    <s v="DR26384"/>
    <x v="0"/>
    <x v="0"/>
    <x v="0"/>
    <x v="0"/>
    <x v="0"/>
    <x v="1"/>
    <x v="0"/>
    <x v="1"/>
    <x v="1"/>
    <x v="1"/>
    <x v="0"/>
    <s v="BUNKER"/>
  </r>
  <r>
    <n v="39960"/>
    <x v="16"/>
    <x v="0"/>
    <x v="11"/>
    <d v="2024-08-13T00:00:00"/>
    <x v="0"/>
    <x v="0"/>
    <x v="1"/>
    <n v="1489680.01"/>
    <x v="0"/>
    <n v="1489680.01"/>
    <n v="1330071.4375"/>
    <n v="159608.57250000001"/>
    <x v="0"/>
    <x v="0"/>
    <x v="0"/>
    <x v="1"/>
    <x v="0"/>
    <x v="1"/>
    <n v="1489680.01"/>
    <n v="0"/>
    <x v="0"/>
    <x v="1"/>
    <x v="0"/>
    <x v="0"/>
    <n v="24433"/>
    <x v="0"/>
    <x v="0"/>
    <x v="0"/>
    <n v="1489680.01"/>
    <n v="1489680.01"/>
    <n v="24433"/>
    <n v="0"/>
    <x v="0"/>
    <x v="0"/>
    <x v="0"/>
    <s v="PALMF - RBD PALM OLEIN (FOREIGN)"/>
    <x v="0"/>
    <n v="60.97"/>
    <s v="MSE240731"/>
    <x v="0"/>
    <x v="0"/>
    <x v="1"/>
    <x v="0"/>
    <x v="0"/>
    <x v="0"/>
    <x v="0"/>
    <x v="0"/>
    <x v="0"/>
    <x v="0"/>
    <x v="0"/>
    <s v="PALMF"/>
  </r>
  <r>
    <n v="39959"/>
    <x v="17"/>
    <x v="0"/>
    <x v="12"/>
    <d v="2024-08-02T00:00:00"/>
    <x v="0"/>
    <x v="0"/>
    <x v="0"/>
    <n v="450000"/>
    <x v="0"/>
    <n v="450000"/>
    <n v="401785.71429999999"/>
    <n v="48214.2857"/>
    <x v="0"/>
    <x v="0"/>
    <x v="3"/>
    <x v="0"/>
    <x v="0"/>
    <x v="0"/>
    <n v="0"/>
    <n v="450000"/>
    <x v="0"/>
    <x v="1"/>
    <x v="0"/>
    <x v="7"/>
    <n v="12500000"/>
    <x v="2"/>
    <x v="0"/>
    <x v="0"/>
    <n v="450000"/>
    <n v="450000"/>
    <n v="12500000"/>
    <n v="920"/>
    <x v="0"/>
    <x v="0"/>
    <x v="0"/>
    <s v="CORN - CORNSTARCH"/>
    <x v="0"/>
    <n v="3.5999999999999997E-2"/>
    <s v="DR18893"/>
    <x v="0"/>
    <x v="0"/>
    <x v="0"/>
    <x v="0"/>
    <x v="0"/>
    <x v="7"/>
    <x v="0"/>
    <x v="7"/>
    <x v="4"/>
    <x v="4"/>
    <x v="0"/>
    <s v="CORN"/>
  </r>
  <r>
    <n v="39958"/>
    <x v="18"/>
    <x v="0"/>
    <x v="13"/>
    <d v="2024-07-25T00:00:00"/>
    <x v="0"/>
    <x v="0"/>
    <x v="0"/>
    <n v="100320"/>
    <x v="0"/>
    <n v="100320"/>
    <n v="89571.428599999999"/>
    <n v="10748.571400000001"/>
    <x v="0"/>
    <x v="0"/>
    <x v="5"/>
    <x v="0"/>
    <x v="0"/>
    <x v="0"/>
    <n v="0"/>
    <n v="100320"/>
    <x v="0"/>
    <x v="1"/>
    <x v="0"/>
    <x v="12"/>
    <n v="3000000"/>
    <x v="2"/>
    <x v="0"/>
    <x v="0"/>
    <n v="100320"/>
    <n v="100320"/>
    <n v="3000000"/>
    <n v="0"/>
    <x v="0"/>
    <x v="0"/>
    <x v="0"/>
    <s v="FLOUR - FLOUR (HARINA)"/>
    <x v="0"/>
    <n v="3.3439999999999998E-2"/>
    <s v="DR4130047871"/>
    <x v="0"/>
    <x v="0"/>
    <x v="0"/>
    <x v="0"/>
    <x v="0"/>
    <x v="12"/>
    <x v="0"/>
    <x v="12"/>
    <x v="4"/>
    <x v="4"/>
    <x v="0"/>
    <s v="FLOUR"/>
  </r>
  <r>
    <n v="39957"/>
    <x v="19"/>
    <x v="0"/>
    <x v="14"/>
    <d v="2024-07-31T00:00:00"/>
    <x v="0"/>
    <x v="0"/>
    <x v="0"/>
    <n v="196000"/>
    <x v="0"/>
    <n v="196000"/>
    <n v="175000"/>
    <n v="21000"/>
    <x v="0"/>
    <x v="0"/>
    <x v="1"/>
    <x v="0"/>
    <x v="0"/>
    <x v="0"/>
    <n v="0"/>
    <n v="196000"/>
    <x v="0"/>
    <x v="1"/>
    <x v="0"/>
    <x v="1"/>
    <n v="7000"/>
    <x v="0"/>
    <x v="0"/>
    <x v="0"/>
    <n v="196000"/>
    <n v="196000"/>
    <n v="7000"/>
    <n v="0"/>
    <x v="0"/>
    <x v="0"/>
    <x v="0"/>
    <s v="BUNKER - BUNKER OIL"/>
    <x v="0"/>
    <n v="28"/>
    <s v="DR27032"/>
    <x v="0"/>
    <x v="0"/>
    <x v="0"/>
    <x v="0"/>
    <x v="0"/>
    <x v="1"/>
    <x v="0"/>
    <x v="1"/>
    <x v="1"/>
    <x v="1"/>
    <x v="0"/>
    <s v="BUNKER"/>
  </r>
  <r>
    <n v="39956"/>
    <x v="20"/>
    <x v="0"/>
    <x v="14"/>
    <d v="2024-07-31T00:00:00"/>
    <x v="0"/>
    <x v="2"/>
    <x v="0"/>
    <n v="111456"/>
    <x v="0"/>
    <n v="111456"/>
    <n v="99514.285699999993"/>
    <n v="11941.7143"/>
    <x v="0"/>
    <x v="0"/>
    <x v="2"/>
    <x v="0"/>
    <x v="0"/>
    <x v="1"/>
    <n v="0"/>
    <n v="111456"/>
    <x v="0"/>
    <x v="1"/>
    <x v="0"/>
    <x v="13"/>
    <n v="10080"/>
    <x v="1"/>
    <x v="0"/>
    <x v="0"/>
    <n v="36792"/>
    <n v="36792"/>
    <n v="10080"/>
    <n v="3.65"/>
    <x v="0"/>
    <x v="0"/>
    <x v="2"/>
    <s v="BTL500MLP - 500ML BOTTLE PALM [SWAK] (MBC)"/>
    <x v="0"/>
    <n v="3.65"/>
    <s v="DR6827"/>
    <x v="0"/>
    <x v="0"/>
    <x v="0"/>
    <x v="0"/>
    <x v="0"/>
    <x v="13"/>
    <x v="0"/>
    <x v="13"/>
    <x v="3"/>
    <x v="3"/>
    <x v="0"/>
    <s v="BTL500MLP"/>
  </r>
  <r>
    <n v="39956"/>
    <x v="20"/>
    <x v="0"/>
    <x v="14"/>
    <d v="2024-07-31T00:00:00"/>
    <x v="0"/>
    <x v="2"/>
    <x v="0"/>
    <n v="111456"/>
    <x v="0"/>
    <n v="111456"/>
    <n v="99514.285699999993"/>
    <n v="11941.7143"/>
    <x v="0"/>
    <x v="0"/>
    <x v="2"/>
    <x v="0"/>
    <x v="0"/>
    <x v="1"/>
    <n v="0"/>
    <n v="111456"/>
    <x v="0"/>
    <x v="1"/>
    <x v="0"/>
    <x v="14"/>
    <n v="20160"/>
    <x v="1"/>
    <x v="0"/>
    <x v="0"/>
    <n v="67536"/>
    <n v="67536"/>
    <n v="20160"/>
    <n v="3.35"/>
    <x v="0"/>
    <x v="0"/>
    <x v="2"/>
    <s v="BTL350MLP - 350ML BOTTLE PALM [SWAK] (MBC)"/>
    <x v="0"/>
    <n v="3.35"/>
    <s v="DR6827"/>
    <x v="0"/>
    <x v="0"/>
    <x v="0"/>
    <x v="0"/>
    <x v="0"/>
    <x v="14"/>
    <x v="0"/>
    <x v="14"/>
    <x v="3"/>
    <x v="3"/>
    <x v="0"/>
    <s v="BTL350MLP"/>
  </r>
  <r>
    <n v="39956"/>
    <x v="20"/>
    <x v="0"/>
    <x v="14"/>
    <d v="2024-07-31T00:00:00"/>
    <x v="0"/>
    <x v="2"/>
    <x v="0"/>
    <n v="111456"/>
    <x v="0"/>
    <n v="111456"/>
    <n v="99514.285699999993"/>
    <n v="11941.7143"/>
    <x v="0"/>
    <x v="0"/>
    <x v="2"/>
    <x v="0"/>
    <x v="0"/>
    <x v="1"/>
    <n v="0"/>
    <n v="111456"/>
    <x v="0"/>
    <x v="1"/>
    <x v="0"/>
    <x v="15"/>
    <n v="1080"/>
    <x v="1"/>
    <x v="0"/>
    <x v="0"/>
    <n v="7128"/>
    <n v="7128"/>
    <n v="1080"/>
    <n v="6.6"/>
    <x v="0"/>
    <x v="0"/>
    <x v="2"/>
    <s v="BTL1LCS - 1LITER BOTTLE CANSOY [NUTRI] (MBC)"/>
    <x v="0"/>
    <n v="6.6"/>
    <s v="DR6827"/>
    <x v="0"/>
    <x v="0"/>
    <x v="0"/>
    <x v="0"/>
    <x v="0"/>
    <x v="15"/>
    <x v="0"/>
    <x v="15"/>
    <x v="3"/>
    <x v="3"/>
    <x v="0"/>
    <s v="BTL1LCS"/>
  </r>
  <r>
    <n v="39955"/>
    <x v="21"/>
    <x v="0"/>
    <x v="15"/>
    <d v="2024-07-29T00:00:00"/>
    <x v="0"/>
    <x v="1"/>
    <x v="0"/>
    <n v="65500"/>
    <x v="0"/>
    <n v="65500"/>
    <n v="58482.142899999999"/>
    <n v="7017.8571000000002"/>
    <x v="0"/>
    <x v="0"/>
    <x v="2"/>
    <x v="0"/>
    <x v="0"/>
    <x v="1"/>
    <n v="0"/>
    <n v="65500"/>
    <x v="0"/>
    <x v="1"/>
    <x v="0"/>
    <x v="16"/>
    <n v="2000"/>
    <x v="1"/>
    <x v="0"/>
    <x v="0"/>
    <n v="65500"/>
    <n v="65500"/>
    <n v="2000"/>
    <n v="32.75"/>
    <x v="0"/>
    <x v="0"/>
    <x v="1"/>
    <s v="300GBOX - 300G BOX CANTON (SPC)"/>
    <x v="0"/>
    <n v="32.75"/>
    <s v="SI520896"/>
    <x v="0"/>
    <x v="0"/>
    <x v="0"/>
    <x v="0"/>
    <x v="0"/>
    <x v="16"/>
    <x v="0"/>
    <x v="16"/>
    <x v="2"/>
    <x v="2"/>
    <x v="0"/>
    <s v="300GBOX"/>
  </r>
  <r>
    <n v="39953"/>
    <x v="22"/>
    <x v="0"/>
    <x v="16"/>
    <d v="2024-07-21T00:00:00"/>
    <x v="0"/>
    <x v="0"/>
    <x v="1"/>
    <n v="1478120.0247"/>
    <x v="0"/>
    <n v="1478120.0247"/>
    <n v="1319750.0220999999"/>
    <n v="158370.00270000001"/>
    <x v="0"/>
    <x v="0"/>
    <x v="0"/>
    <x v="1"/>
    <x v="0"/>
    <x v="1"/>
    <n v="1478120.0247"/>
    <n v="0"/>
    <x v="0"/>
    <x v="1"/>
    <x v="0"/>
    <x v="0"/>
    <n v="24433"/>
    <x v="0"/>
    <x v="0"/>
    <x v="0"/>
    <n v="1478120.0247"/>
    <n v="1478120.0247"/>
    <n v="24433"/>
    <n v="0"/>
    <x v="0"/>
    <x v="0"/>
    <x v="0"/>
    <s v="PALMF - RBD PALM OLEIN (FOREIGN)"/>
    <x v="0"/>
    <n v="60.496870000000001"/>
    <s v="MSE240659"/>
    <x v="0"/>
    <x v="0"/>
    <x v="1"/>
    <x v="0"/>
    <x v="0"/>
    <x v="0"/>
    <x v="0"/>
    <x v="0"/>
    <x v="0"/>
    <x v="0"/>
    <x v="0"/>
    <s v="PALMF"/>
  </r>
  <r>
    <n v="39951"/>
    <x v="23"/>
    <x v="0"/>
    <x v="17"/>
    <d v="2024-07-09T00:00:00"/>
    <x v="0"/>
    <x v="0"/>
    <x v="0"/>
    <n v="18000"/>
    <x v="0"/>
    <n v="18000"/>
    <n v="16071.428599999999"/>
    <n v="1928.5714"/>
    <x v="0"/>
    <x v="0"/>
    <x v="6"/>
    <x v="0"/>
    <x v="0"/>
    <x v="1"/>
    <n v="0"/>
    <n v="18000"/>
    <x v="0"/>
    <x v="1"/>
    <x v="0"/>
    <x v="17"/>
    <n v="300"/>
    <x v="1"/>
    <x v="0"/>
    <x v="0"/>
    <n v="10500"/>
    <n v="10500"/>
    <n v="300"/>
    <n v="35"/>
    <x v="0"/>
    <x v="0"/>
    <x v="0"/>
    <s v="DBLSDTP30M - DOUBLE SIDED TAPE 3/4''x30M (CONNAN)"/>
    <x v="0"/>
    <n v="35"/>
    <s v="DR5957"/>
    <x v="0"/>
    <x v="0"/>
    <x v="0"/>
    <x v="0"/>
    <x v="0"/>
    <x v="17"/>
    <x v="0"/>
    <x v="17"/>
    <x v="5"/>
    <x v="5"/>
    <x v="0"/>
    <s v="DBLSDTP30M"/>
  </r>
  <r>
    <n v="39951"/>
    <x v="23"/>
    <x v="0"/>
    <x v="17"/>
    <d v="2024-07-09T00:00:00"/>
    <x v="0"/>
    <x v="0"/>
    <x v="0"/>
    <n v="18000"/>
    <x v="0"/>
    <n v="18000"/>
    <n v="16071.428599999999"/>
    <n v="1928.5714"/>
    <x v="0"/>
    <x v="0"/>
    <x v="6"/>
    <x v="0"/>
    <x v="0"/>
    <x v="1"/>
    <n v="0"/>
    <n v="18000"/>
    <x v="0"/>
    <x v="1"/>
    <x v="0"/>
    <x v="18"/>
    <n v="300"/>
    <x v="1"/>
    <x v="0"/>
    <x v="0"/>
    <n v="7500"/>
    <n v="7500"/>
    <n v="300"/>
    <n v="25"/>
    <x v="0"/>
    <x v="0"/>
    <x v="0"/>
    <s v="PCKGTAPE - PACKAGING TAPE CLEAR"/>
    <x v="0"/>
    <n v="25"/>
    <s v="DR5957"/>
    <x v="0"/>
    <x v="0"/>
    <x v="0"/>
    <x v="0"/>
    <x v="0"/>
    <x v="18"/>
    <x v="0"/>
    <x v="18"/>
    <x v="5"/>
    <x v="5"/>
    <x v="0"/>
    <s v="PCKGTAPE"/>
  </r>
  <r>
    <n v="39950"/>
    <x v="24"/>
    <x v="0"/>
    <x v="13"/>
    <d v="2024-07-25T00:00:00"/>
    <x v="0"/>
    <x v="2"/>
    <x v="0"/>
    <n v="129192"/>
    <x v="0"/>
    <n v="129192"/>
    <n v="115350"/>
    <n v="13842"/>
    <x v="0"/>
    <x v="0"/>
    <x v="2"/>
    <x v="0"/>
    <x v="0"/>
    <x v="1"/>
    <n v="0"/>
    <n v="129192"/>
    <x v="0"/>
    <x v="1"/>
    <x v="0"/>
    <x v="15"/>
    <n v="9120"/>
    <x v="1"/>
    <x v="0"/>
    <x v="0"/>
    <n v="60192"/>
    <n v="60192"/>
    <n v="9120"/>
    <n v="6.6"/>
    <x v="0"/>
    <x v="0"/>
    <x v="2"/>
    <s v="BTL1LCS - 1LITER BOTTLE CANSOY [NUTRI] (MBC)"/>
    <x v="0"/>
    <n v="6.6"/>
    <s v="DR6800"/>
    <x v="0"/>
    <x v="0"/>
    <x v="0"/>
    <x v="0"/>
    <x v="0"/>
    <x v="15"/>
    <x v="0"/>
    <x v="15"/>
    <x v="3"/>
    <x v="3"/>
    <x v="0"/>
    <s v="BTL1LCS"/>
  </r>
  <r>
    <n v="39950"/>
    <x v="24"/>
    <x v="0"/>
    <x v="13"/>
    <d v="2024-07-25T00:00:00"/>
    <x v="0"/>
    <x v="2"/>
    <x v="0"/>
    <n v="129192"/>
    <x v="0"/>
    <n v="129192"/>
    <n v="115350"/>
    <n v="13842"/>
    <x v="0"/>
    <x v="0"/>
    <x v="2"/>
    <x v="0"/>
    <x v="0"/>
    <x v="1"/>
    <n v="0"/>
    <n v="129192"/>
    <x v="0"/>
    <x v="1"/>
    <x v="0"/>
    <x v="9"/>
    <n v="10000"/>
    <x v="1"/>
    <x v="0"/>
    <x v="0"/>
    <n v="69000"/>
    <n v="69000"/>
    <n v="10000"/>
    <n v="6.9"/>
    <x v="0"/>
    <x v="0"/>
    <x v="2"/>
    <s v="MBTL900ML - 900ML BOTTLE PALM MAZOLA (MBC)"/>
    <x v="0"/>
    <n v="6.9"/>
    <s v="DR6800"/>
    <x v="0"/>
    <x v="0"/>
    <x v="0"/>
    <x v="0"/>
    <x v="0"/>
    <x v="9"/>
    <x v="0"/>
    <x v="9"/>
    <x v="3"/>
    <x v="3"/>
    <x v="0"/>
    <s v="MBTL900ML"/>
  </r>
  <r>
    <n v="39949"/>
    <x v="11"/>
    <x v="0"/>
    <x v="18"/>
    <d v="2024-07-18T00:00:00"/>
    <x v="0"/>
    <x v="4"/>
    <x v="0"/>
    <n v="60000"/>
    <x v="0"/>
    <n v="60000"/>
    <n v="53571.428599999999"/>
    <n v="6428.5713999999998"/>
    <x v="0"/>
    <x v="0"/>
    <x v="2"/>
    <x v="0"/>
    <x v="0"/>
    <x v="0"/>
    <n v="60000"/>
    <n v="0"/>
    <x v="0"/>
    <x v="1"/>
    <x v="0"/>
    <x v="19"/>
    <n v="10000"/>
    <x v="1"/>
    <x v="0"/>
    <x v="0"/>
    <n v="20000"/>
    <n v="20000"/>
    <n v="10000"/>
    <n v="2"/>
    <x v="0"/>
    <x v="0"/>
    <x v="4"/>
    <s v="HDRCRCK - HEADER PAMINTA CRACKED"/>
    <x v="0"/>
    <n v="2"/>
    <s v="DR1269"/>
    <x v="0"/>
    <x v="0"/>
    <x v="0"/>
    <x v="0"/>
    <x v="0"/>
    <x v="19"/>
    <x v="0"/>
    <x v="19"/>
    <x v="6"/>
    <x v="6"/>
    <x v="0"/>
    <s v="HDRCRCK"/>
  </r>
  <r>
    <n v="39949"/>
    <x v="11"/>
    <x v="0"/>
    <x v="18"/>
    <d v="2024-07-18T00:00:00"/>
    <x v="0"/>
    <x v="4"/>
    <x v="0"/>
    <n v="60000"/>
    <x v="0"/>
    <n v="60000"/>
    <n v="53571.428599999999"/>
    <n v="6428.5713999999998"/>
    <x v="0"/>
    <x v="0"/>
    <x v="2"/>
    <x v="0"/>
    <x v="0"/>
    <x v="0"/>
    <n v="60000"/>
    <n v="0"/>
    <x v="0"/>
    <x v="1"/>
    <x v="0"/>
    <x v="20"/>
    <n v="10000"/>
    <x v="1"/>
    <x v="0"/>
    <x v="0"/>
    <n v="20000"/>
    <n v="20000"/>
    <n v="10000"/>
    <n v="2"/>
    <x v="0"/>
    <x v="0"/>
    <x v="4"/>
    <s v="HDRFINE - HEADER PAMINTA FINE"/>
    <x v="0"/>
    <n v="2"/>
    <s v="DR1269"/>
    <x v="0"/>
    <x v="0"/>
    <x v="0"/>
    <x v="0"/>
    <x v="0"/>
    <x v="20"/>
    <x v="0"/>
    <x v="20"/>
    <x v="6"/>
    <x v="6"/>
    <x v="0"/>
    <s v="HDRFINE"/>
  </r>
  <r>
    <n v="39949"/>
    <x v="11"/>
    <x v="0"/>
    <x v="18"/>
    <d v="2024-07-18T00:00:00"/>
    <x v="0"/>
    <x v="4"/>
    <x v="0"/>
    <n v="60000"/>
    <x v="0"/>
    <n v="60000"/>
    <n v="53571.428599999999"/>
    <n v="6428.5713999999998"/>
    <x v="0"/>
    <x v="0"/>
    <x v="2"/>
    <x v="0"/>
    <x v="0"/>
    <x v="0"/>
    <n v="60000"/>
    <n v="0"/>
    <x v="0"/>
    <x v="1"/>
    <x v="0"/>
    <x v="21"/>
    <n v="10000"/>
    <x v="1"/>
    <x v="0"/>
    <x v="0"/>
    <n v="20000"/>
    <n v="20000"/>
    <n v="10000"/>
    <n v="2"/>
    <x v="0"/>
    <x v="0"/>
    <x v="4"/>
    <s v="HDRWHL - HEADER PAMINTA WHOLE"/>
    <x v="0"/>
    <n v="2"/>
    <s v="DR1269"/>
    <x v="0"/>
    <x v="0"/>
    <x v="0"/>
    <x v="0"/>
    <x v="0"/>
    <x v="21"/>
    <x v="0"/>
    <x v="21"/>
    <x v="6"/>
    <x v="6"/>
    <x v="0"/>
    <s v="HDRWHL"/>
  </r>
  <r>
    <n v="39948"/>
    <x v="25"/>
    <x v="0"/>
    <x v="19"/>
    <d v="2024-07-16T00:00:00"/>
    <x v="0"/>
    <x v="0"/>
    <x v="0"/>
    <n v="253000"/>
    <x v="0"/>
    <n v="253000"/>
    <n v="225892.85709999999"/>
    <n v="27107.142899999999"/>
    <x v="0"/>
    <x v="0"/>
    <x v="3"/>
    <x v="0"/>
    <x v="0"/>
    <x v="0"/>
    <n v="0"/>
    <n v="253000"/>
    <x v="0"/>
    <x v="1"/>
    <x v="0"/>
    <x v="7"/>
    <n v="6875000"/>
    <x v="2"/>
    <x v="0"/>
    <x v="0"/>
    <n v="253000"/>
    <n v="253000"/>
    <n v="6875000"/>
    <n v="920"/>
    <x v="0"/>
    <x v="0"/>
    <x v="0"/>
    <s v="CORN - CORNSTARCH"/>
    <x v="0"/>
    <n v="3.6799999999999999E-2"/>
    <s v="SI7113"/>
    <x v="0"/>
    <x v="0"/>
    <x v="0"/>
    <x v="0"/>
    <x v="0"/>
    <x v="7"/>
    <x v="0"/>
    <x v="7"/>
    <x v="4"/>
    <x v="4"/>
    <x v="0"/>
    <s v="CORN"/>
  </r>
  <r>
    <n v="39947"/>
    <x v="26"/>
    <x v="0"/>
    <x v="19"/>
    <d v="2024-07-16T00:00:00"/>
    <x v="0"/>
    <x v="0"/>
    <x v="0"/>
    <n v="75240"/>
    <x v="0"/>
    <n v="75240"/>
    <n v="67178.571400000001"/>
    <n v="8061.4286000000002"/>
    <x v="0"/>
    <x v="0"/>
    <x v="5"/>
    <x v="0"/>
    <x v="0"/>
    <x v="0"/>
    <n v="0"/>
    <n v="75240"/>
    <x v="0"/>
    <x v="1"/>
    <x v="0"/>
    <x v="12"/>
    <n v="2250000"/>
    <x v="1"/>
    <x v="0"/>
    <x v="0"/>
    <n v="75240"/>
    <n v="75240"/>
    <n v="2250000"/>
    <n v="0"/>
    <x v="0"/>
    <x v="0"/>
    <x v="0"/>
    <s v="FLOUR - FLOUR (HARINA)"/>
    <x v="0"/>
    <n v="3.3439999999999998E-2"/>
    <s v="DR7130047471"/>
    <x v="0"/>
    <x v="0"/>
    <x v="0"/>
    <x v="0"/>
    <x v="0"/>
    <x v="12"/>
    <x v="0"/>
    <x v="12"/>
    <x v="4"/>
    <x v="4"/>
    <x v="0"/>
    <s v="FLOUR"/>
  </r>
  <r>
    <n v="39946"/>
    <x v="27"/>
    <x v="0"/>
    <x v="20"/>
    <d v="2024-07-03T00:00:00"/>
    <x v="0"/>
    <x v="0"/>
    <x v="0"/>
    <n v="91124"/>
    <x v="0"/>
    <n v="91124"/>
    <n v="81360.714300000007"/>
    <n v="9763.2857000000004"/>
    <x v="0"/>
    <x v="0"/>
    <x v="5"/>
    <x v="0"/>
    <x v="0"/>
    <x v="0"/>
    <n v="91124"/>
    <n v="0"/>
    <x v="0"/>
    <x v="1"/>
    <x v="0"/>
    <x v="12"/>
    <n v="2725000"/>
    <x v="2"/>
    <x v="0"/>
    <x v="0"/>
    <n v="91124"/>
    <n v="91124"/>
    <n v="2725000"/>
    <n v="0"/>
    <x v="0"/>
    <x v="0"/>
    <x v="0"/>
    <s v="FLOUR - FLOUR (HARINA)"/>
    <x v="0"/>
    <n v="3.3439999999999998E-2"/>
    <s v="DR4130047123"/>
    <x v="0"/>
    <x v="0"/>
    <x v="0"/>
    <x v="0"/>
    <x v="0"/>
    <x v="12"/>
    <x v="0"/>
    <x v="12"/>
    <x v="4"/>
    <x v="4"/>
    <x v="0"/>
    <s v="FLOUR"/>
  </r>
  <r>
    <n v="39945"/>
    <x v="28"/>
    <x v="0"/>
    <x v="20"/>
    <d v="2024-07-03T00:00:00"/>
    <x v="0"/>
    <x v="0"/>
    <x v="0"/>
    <n v="47150"/>
    <x v="0"/>
    <n v="47150"/>
    <n v="42098.2143"/>
    <n v="5051.7857000000004"/>
    <x v="0"/>
    <x v="0"/>
    <x v="7"/>
    <x v="0"/>
    <x v="0"/>
    <x v="0"/>
    <n v="47150"/>
    <n v="0"/>
    <x v="0"/>
    <x v="1"/>
    <x v="0"/>
    <x v="22"/>
    <n v="20500"/>
    <x v="1"/>
    <x v="0"/>
    <x v="0"/>
    <n v="47150"/>
    <n v="47150"/>
    <n v="20500"/>
    <n v="0"/>
    <x v="0"/>
    <x v="0"/>
    <x v="0"/>
    <s v="PLASTIC 9.5 - PLASTIC TRANSPARENT 9.5 * 6.5 * 15.5"/>
    <x v="0"/>
    <n v="2.2999999999999998"/>
    <s v="DR5267"/>
    <x v="0"/>
    <x v="0"/>
    <x v="0"/>
    <x v="0"/>
    <x v="0"/>
    <x v="22"/>
    <x v="0"/>
    <x v="22"/>
    <x v="7"/>
    <x v="7"/>
    <x v="0"/>
    <s v="PLASTIC 9.5"/>
  </r>
  <r>
    <n v="39944"/>
    <x v="29"/>
    <x v="0"/>
    <x v="21"/>
    <d v="2024-06-19T00:00:00"/>
    <x v="0"/>
    <x v="0"/>
    <x v="0"/>
    <n v="55000"/>
    <x v="0"/>
    <n v="55000"/>
    <n v="49107.142899999999"/>
    <n v="5892.8571000000002"/>
    <x v="0"/>
    <x v="0"/>
    <x v="8"/>
    <x v="0"/>
    <x v="0"/>
    <x v="0"/>
    <n v="0"/>
    <n v="55000"/>
    <x v="0"/>
    <x v="1"/>
    <x v="0"/>
    <x v="23"/>
    <n v="100000"/>
    <x v="1"/>
    <x v="0"/>
    <x v="0"/>
    <n v="55000"/>
    <n v="55000"/>
    <n v="100000"/>
    <n v="0"/>
    <x v="0"/>
    <x v="0"/>
    <x v="0"/>
    <s v="PAPERPLATE - PAPER PLATE SILVER"/>
    <x v="0"/>
    <n v="0.55000000000000004"/>
    <s v="DR1630"/>
    <x v="0"/>
    <x v="0"/>
    <x v="0"/>
    <x v="0"/>
    <x v="0"/>
    <x v="23"/>
    <x v="0"/>
    <x v="23"/>
    <x v="7"/>
    <x v="7"/>
    <x v="0"/>
    <s v="PAPERPLATE"/>
  </r>
  <r>
    <n v="39943"/>
    <x v="30"/>
    <x v="0"/>
    <x v="22"/>
    <d v="2024-06-28T00:00:00"/>
    <x v="0"/>
    <x v="0"/>
    <x v="0"/>
    <n v="3739.9996000000001"/>
    <x v="0"/>
    <n v="3739.9996000000001"/>
    <n v="3339.2854000000002"/>
    <n v="400.71420000000001"/>
    <x v="0"/>
    <x v="0"/>
    <x v="4"/>
    <x v="0"/>
    <x v="0"/>
    <x v="0"/>
    <n v="0.39960000000000001"/>
    <n v="3739.6"/>
    <x v="0"/>
    <x v="1"/>
    <x v="0"/>
    <x v="11"/>
    <n v="43400"/>
    <x v="0"/>
    <x v="0"/>
    <x v="0"/>
    <n v="2419.9996000000001"/>
    <n v="2419.9996000000001"/>
    <n v="43400"/>
    <n v="5.2600000000000001E-2"/>
    <x v="0"/>
    <x v="0"/>
    <x v="0"/>
    <s v="LYE - LYE WATER (BAKED BS)"/>
    <x v="0"/>
    <n v="5.5760360000000002E-2"/>
    <s v="DR06282024"/>
    <x v="0"/>
    <x v="0"/>
    <x v="0"/>
    <x v="0"/>
    <x v="0"/>
    <x v="11"/>
    <x v="0"/>
    <x v="11"/>
    <x v="4"/>
    <x v="4"/>
    <x v="0"/>
    <s v="LYE"/>
  </r>
  <r>
    <n v="39943"/>
    <x v="30"/>
    <x v="0"/>
    <x v="22"/>
    <d v="2024-06-28T00:00:00"/>
    <x v="0"/>
    <x v="0"/>
    <x v="0"/>
    <n v="3739.9996000000001"/>
    <x v="0"/>
    <n v="3739.9996000000001"/>
    <n v="3339.2854000000002"/>
    <n v="400.71420000000001"/>
    <x v="0"/>
    <x v="0"/>
    <x v="4"/>
    <x v="0"/>
    <x v="0"/>
    <x v="0"/>
    <n v="0.39960000000000001"/>
    <n v="3739.6"/>
    <x v="0"/>
    <x v="1"/>
    <x v="0"/>
    <x v="6"/>
    <n v="100000"/>
    <x v="2"/>
    <x v="0"/>
    <x v="0"/>
    <n v="1320"/>
    <n v="1320"/>
    <n v="100000"/>
    <n v="1.32E-2"/>
    <x v="0"/>
    <x v="0"/>
    <x v="0"/>
    <s v="SALT - SALT IODIZED (SALINE)"/>
    <x v="0"/>
    <n v="1.32E-2"/>
    <s v="DR06282024"/>
    <x v="0"/>
    <x v="0"/>
    <x v="0"/>
    <x v="0"/>
    <x v="0"/>
    <x v="6"/>
    <x v="0"/>
    <x v="6"/>
    <x v="4"/>
    <x v="4"/>
    <x v="0"/>
    <s v="SALT"/>
  </r>
  <r>
    <n v="39942"/>
    <x v="31"/>
    <x v="0"/>
    <x v="23"/>
    <d v="2024-06-25T00:00:00"/>
    <x v="0"/>
    <x v="0"/>
    <x v="1"/>
    <n v="1506749.9998000001"/>
    <x v="0"/>
    <n v="1506749.9998000001"/>
    <n v="1345312.4998000001"/>
    <n v="161437.5"/>
    <x v="0"/>
    <x v="0"/>
    <x v="9"/>
    <x v="1"/>
    <x v="0"/>
    <x v="1"/>
    <n v="0"/>
    <n v="1506749.9998000001"/>
    <x v="0"/>
    <x v="1"/>
    <x v="0"/>
    <x v="24"/>
    <n v="23296"/>
    <x v="0"/>
    <x v="0"/>
    <x v="0"/>
    <n v="1506749.9998000001"/>
    <n v="1506749.9998000001"/>
    <n v="23296"/>
    <n v="0"/>
    <x v="0"/>
    <x v="0"/>
    <x v="0"/>
    <s v="COCO - RBD COCONUT OIL"/>
    <x v="0"/>
    <n v="64.678485570000007"/>
    <s v="DR2304684"/>
    <x v="0"/>
    <x v="0"/>
    <x v="1"/>
    <x v="0"/>
    <x v="0"/>
    <x v="24"/>
    <x v="0"/>
    <x v="24"/>
    <x v="0"/>
    <x v="0"/>
    <x v="0"/>
    <s v="COCO"/>
  </r>
  <r>
    <n v="39941"/>
    <x v="32"/>
    <x v="0"/>
    <x v="24"/>
    <d v="2024-06-20T00:00:00"/>
    <x v="0"/>
    <x v="0"/>
    <x v="0"/>
    <n v="127600"/>
    <x v="0"/>
    <n v="127600"/>
    <n v="113928.5714"/>
    <n v="13671.428599999999"/>
    <x v="0"/>
    <x v="0"/>
    <x v="10"/>
    <x v="0"/>
    <x v="0"/>
    <x v="0"/>
    <n v="127600"/>
    <n v="0"/>
    <x v="0"/>
    <x v="1"/>
    <x v="0"/>
    <x v="7"/>
    <n v="3625000"/>
    <x v="2"/>
    <x v="0"/>
    <x v="0"/>
    <n v="127600"/>
    <n v="127600"/>
    <n v="3625000"/>
    <n v="3.5000000000000003E-2"/>
    <x v="0"/>
    <x v="0"/>
    <x v="0"/>
    <s v="CORN - CORNSTARCH"/>
    <x v="0"/>
    <n v="3.5200000000000002E-2"/>
    <s v="DR4301"/>
    <x v="0"/>
    <x v="0"/>
    <x v="0"/>
    <x v="0"/>
    <x v="0"/>
    <x v="7"/>
    <x v="0"/>
    <x v="7"/>
    <x v="4"/>
    <x v="4"/>
    <x v="0"/>
    <s v="CORN"/>
  </r>
  <r>
    <n v="29941"/>
    <x v="33"/>
    <x v="0"/>
    <x v="25"/>
    <d v="2024-06-21T00:00:00"/>
    <x v="0"/>
    <x v="3"/>
    <x v="0"/>
    <n v="23461"/>
    <x v="0"/>
    <n v="23461"/>
    <n v="20947.321400000001"/>
    <n v="2513.6786000000002"/>
    <x v="0"/>
    <x v="0"/>
    <x v="2"/>
    <x v="0"/>
    <x v="0"/>
    <x v="0"/>
    <n v="0"/>
    <n v="23461"/>
    <x v="0"/>
    <x v="1"/>
    <x v="0"/>
    <x v="8"/>
    <n v="809"/>
    <x v="1"/>
    <x v="0"/>
    <x v="0"/>
    <n v="23461"/>
    <n v="23461"/>
    <n v="809"/>
    <n v="29"/>
    <x v="0"/>
    <x v="0"/>
    <x v="3"/>
    <s v="BOX350MLP-W - 350ML BOX PALM (WPCC)"/>
    <x v="0"/>
    <n v="29"/>
    <s v="DR213073"/>
    <x v="0"/>
    <x v="0"/>
    <x v="0"/>
    <x v="0"/>
    <x v="0"/>
    <x v="8"/>
    <x v="0"/>
    <x v="8"/>
    <x v="2"/>
    <x v="2"/>
    <x v="1"/>
    <s v="BOX350MLP-W"/>
  </r>
  <r>
    <n v="29940"/>
    <x v="34"/>
    <x v="0"/>
    <x v="26"/>
    <d v="2024-06-18T00:00:00"/>
    <x v="0"/>
    <x v="5"/>
    <x v="0"/>
    <n v="24612.3"/>
    <x v="0"/>
    <n v="24612.3"/>
    <n v="21975.267899999999"/>
    <n v="2637.0320999999999"/>
    <x v="0"/>
    <x v="0"/>
    <x v="2"/>
    <x v="0"/>
    <x v="0"/>
    <x v="0"/>
    <n v="0"/>
    <n v="24612.3"/>
    <x v="0"/>
    <x v="1"/>
    <x v="0"/>
    <x v="25"/>
    <n v="1189"/>
    <x v="1"/>
    <x v="0"/>
    <x v="0"/>
    <n v="24612.3"/>
    <n v="24612.3"/>
    <n v="1189"/>
    <n v="0"/>
    <x v="0"/>
    <x v="0"/>
    <x v="5"/>
    <s v="BOX500MLP - 500ML BOX PALM (EXT)"/>
    <x v="0"/>
    <n v="20.7"/>
    <s v="DR50543"/>
    <x v="0"/>
    <x v="0"/>
    <x v="0"/>
    <x v="0"/>
    <x v="0"/>
    <x v="25"/>
    <x v="0"/>
    <x v="25"/>
    <x v="2"/>
    <x v="2"/>
    <x v="0"/>
    <s v="BOX500MLP"/>
  </r>
  <r>
    <n v="29939"/>
    <x v="35"/>
    <x v="0"/>
    <x v="27"/>
    <d v="2024-06-11T00:00:00"/>
    <x v="0"/>
    <x v="0"/>
    <x v="0"/>
    <n v="93060"/>
    <x v="0"/>
    <n v="93060"/>
    <n v="83089.285699999993"/>
    <n v="9970.7142999999996"/>
    <x v="0"/>
    <x v="0"/>
    <x v="5"/>
    <x v="0"/>
    <x v="0"/>
    <x v="0"/>
    <n v="0"/>
    <n v="93060"/>
    <x v="0"/>
    <x v="1"/>
    <x v="0"/>
    <x v="12"/>
    <n v="2750000"/>
    <x v="2"/>
    <x v="0"/>
    <x v="0"/>
    <n v="93060"/>
    <n v="93060"/>
    <n v="2750000"/>
    <n v="0"/>
    <x v="0"/>
    <x v="0"/>
    <x v="0"/>
    <s v="FLOUR - FLOUR (HARINA)"/>
    <x v="0"/>
    <n v="3.3840000000000002E-2"/>
    <s v="DR4130046392"/>
    <x v="0"/>
    <x v="0"/>
    <x v="0"/>
    <x v="0"/>
    <x v="0"/>
    <x v="12"/>
    <x v="0"/>
    <x v="12"/>
    <x v="4"/>
    <x v="4"/>
    <x v="0"/>
    <s v="FLOUR"/>
  </r>
  <r>
    <n v="29938"/>
    <x v="36"/>
    <x v="0"/>
    <x v="28"/>
    <d v="2024-06-15T00:00:00"/>
    <x v="0"/>
    <x v="2"/>
    <x v="0"/>
    <n v="102837"/>
    <x v="0"/>
    <n v="102837"/>
    <n v="91818.75"/>
    <n v="11018.25"/>
    <x v="0"/>
    <x v="0"/>
    <x v="2"/>
    <x v="0"/>
    <x v="0"/>
    <x v="0"/>
    <n v="0"/>
    <n v="102837"/>
    <x v="0"/>
    <x v="1"/>
    <x v="0"/>
    <x v="14"/>
    <n v="10080"/>
    <x v="1"/>
    <x v="0"/>
    <x v="0"/>
    <n v="33768"/>
    <n v="33768"/>
    <n v="10080"/>
    <n v="3.35"/>
    <x v="0"/>
    <x v="0"/>
    <x v="2"/>
    <s v="BTL350MLP - 350ML BOTTLE PALM [SWAK] (MBC)"/>
    <x v="0"/>
    <n v="3.35"/>
    <s v="DR6619"/>
    <x v="0"/>
    <x v="0"/>
    <x v="0"/>
    <x v="0"/>
    <x v="0"/>
    <x v="14"/>
    <x v="0"/>
    <x v="14"/>
    <x v="3"/>
    <x v="3"/>
    <x v="0"/>
    <s v="BTL350MLP"/>
  </r>
  <r>
    <n v="29938"/>
    <x v="36"/>
    <x v="0"/>
    <x v="28"/>
    <d v="2024-06-15T00:00:00"/>
    <x v="0"/>
    <x v="2"/>
    <x v="0"/>
    <n v="102837"/>
    <x v="0"/>
    <n v="102837"/>
    <n v="91818.75"/>
    <n v="11018.25"/>
    <x v="0"/>
    <x v="0"/>
    <x v="2"/>
    <x v="0"/>
    <x v="0"/>
    <x v="0"/>
    <n v="0"/>
    <n v="102837"/>
    <x v="0"/>
    <x v="1"/>
    <x v="0"/>
    <x v="9"/>
    <n v="10010"/>
    <x v="1"/>
    <x v="0"/>
    <x v="0"/>
    <n v="69069"/>
    <n v="69069"/>
    <n v="10010"/>
    <n v="6.9"/>
    <x v="0"/>
    <x v="0"/>
    <x v="2"/>
    <s v="MBTL900ML - 900ML BOTTLE PALM MAZOLA (MBC)"/>
    <x v="0"/>
    <n v="6.9"/>
    <s v="DR6619"/>
    <x v="0"/>
    <x v="0"/>
    <x v="0"/>
    <x v="0"/>
    <x v="0"/>
    <x v="9"/>
    <x v="0"/>
    <x v="9"/>
    <x v="3"/>
    <x v="3"/>
    <x v="0"/>
    <s v="MBTL900ML"/>
  </r>
  <r>
    <n v="29937"/>
    <x v="37"/>
    <x v="0"/>
    <x v="29"/>
    <d v="2024-05-15T00:00:00"/>
    <x v="0"/>
    <x v="0"/>
    <x v="0"/>
    <n v="192000"/>
    <x v="0"/>
    <n v="192000"/>
    <n v="171428.57139999999"/>
    <n v="20571.428599999999"/>
    <x v="0"/>
    <x v="0"/>
    <x v="1"/>
    <x v="0"/>
    <x v="0"/>
    <x v="0"/>
    <n v="0"/>
    <n v="192000"/>
    <x v="0"/>
    <x v="1"/>
    <x v="0"/>
    <x v="1"/>
    <n v="8000"/>
    <x v="0"/>
    <x v="0"/>
    <x v="0"/>
    <n v="192000"/>
    <n v="192000"/>
    <n v="8000"/>
    <n v="0"/>
    <x v="0"/>
    <x v="0"/>
    <x v="0"/>
    <s v="BUNKER - BUNKER OIL"/>
    <x v="0"/>
    <n v="24"/>
    <s v="DR27030"/>
    <x v="0"/>
    <x v="0"/>
    <x v="0"/>
    <x v="0"/>
    <x v="0"/>
    <x v="1"/>
    <x v="0"/>
    <x v="1"/>
    <x v="1"/>
    <x v="1"/>
    <x v="0"/>
    <s v="BUNKER"/>
  </r>
  <r>
    <n v="29936"/>
    <x v="38"/>
    <x v="0"/>
    <x v="30"/>
    <d v="2024-05-30T00:00:00"/>
    <x v="0"/>
    <x v="2"/>
    <x v="0"/>
    <n v="104036"/>
    <x v="0"/>
    <n v="104036"/>
    <n v="92889.285699999993"/>
    <n v="11146.7143"/>
    <x v="0"/>
    <x v="0"/>
    <x v="2"/>
    <x v="0"/>
    <x v="0"/>
    <x v="0"/>
    <n v="0"/>
    <n v="104036"/>
    <x v="0"/>
    <x v="1"/>
    <x v="0"/>
    <x v="14"/>
    <n v="20160"/>
    <x v="1"/>
    <x v="0"/>
    <x v="0"/>
    <n v="67536"/>
    <n v="67536"/>
    <n v="20160"/>
    <n v="0"/>
    <x v="0"/>
    <x v="0"/>
    <x v="2"/>
    <s v="BTL350MLP - 350ML BOTTLE PALM [SWAK] (MBC)"/>
    <x v="0"/>
    <n v="3.35"/>
    <s v="DR6550"/>
    <x v="0"/>
    <x v="0"/>
    <x v="0"/>
    <x v="0"/>
    <x v="0"/>
    <x v="14"/>
    <x v="0"/>
    <x v="14"/>
    <x v="3"/>
    <x v="3"/>
    <x v="0"/>
    <s v="BTL350MLP"/>
  </r>
  <r>
    <n v="29936"/>
    <x v="38"/>
    <x v="0"/>
    <x v="30"/>
    <d v="2024-05-30T00:00:00"/>
    <x v="0"/>
    <x v="2"/>
    <x v="0"/>
    <n v="104036"/>
    <x v="0"/>
    <n v="104036"/>
    <n v="92889.285699999993"/>
    <n v="11146.7143"/>
    <x v="0"/>
    <x v="0"/>
    <x v="2"/>
    <x v="0"/>
    <x v="0"/>
    <x v="0"/>
    <n v="0"/>
    <n v="104036"/>
    <x v="0"/>
    <x v="1"/>
    <x v="0"/>
    <x v="13"/>
    <n v="10000"/>
    <x v="1"/>
    <x v="0"/>
    <x v="0"/>
    <n v="36500"/>
    <n v="36500"/>
    <n v="10000"/>
    <n v="0"/>
    <x v="0"/>
    <x v="0"/>
    <x v="2"/>
    <s v="BTL500MLP - 500ML BOTTLE PALM [SWAK] (MBC)"/>
    <x v="0"/>
    <n v="3.65"/>
    <s v="DR6550"/>
    <x v="0"/>
    <x v="0"/>
    <x v="0"/>
    <x v="0"/>
    <x v="0"/>
    <x v="13"/>
    <x v="0"/>
    <x v="13"/>
    <x v="3"/>
    <x v="3"/>
    <x v="0"/>
    <s v="BTL500MLP"/>
  </r>
  <r>
    <n v="29935"/>
    <x v="39"/>
    <x v="0"/>
    <x v="31"/>
    <d v="2024-05-17T00:00:00"/>
    <x v="0"/>
    <x v="0"/>
    <x v="0"/>
    <n v="84600"/>
    <x v="0"/>
    <n v="84600"/>
    <n v="75535.714300000007"/>
    <n v="9064.2857000000004"/>
    <x v="0"/>
    <x v="0"/>
    <x v="5"/>
    <x v="0"/>
    <x v="0"/>
    <x v="0"/>
    <n v="0"/>
    <n v="84600"/>
    <x v="0"/>
    <x v="1"/>
    <x v="0"/>
    <x v="12"/>
    <n v="2500000"/>
    <x v="2"/>
    <x v="0"/>
    <x v="0"/>
    <n v="84600"/>
    <n v="84600"/>
    <n v="2500000"/>
    <n v="0"/>
    <x v="0"/>
    <x v="0"/>
    <x v="0"/>
    <s v="FLOUR - FLOUR (HARINA)"/>
    <x v="0"/>
    <n v="3.3840000000000002E-2"/>
    <s v="DR4130045581"/>
    <x v="0"/>
    <x v="0"/>
    <x v="0"/>
    <x v="0"/>
    <x v="0"/>
    <x v="12"/>
    <x v="0"/>
    <x v="12"/>
    <x v="4"/>
    <x v="4"/>
    <x v="0"/>
    <s v="FLOUR"/>
  </r>
  <r>
    <n v="29934"/>
    <x v="40"/>
    <x v="0"/>
    <x v="32"/>
    <d v="2024-05-20T00:00:00"/>
    <x v="0"/>
    <x v="0"/>
    <x v="0"/>
    <n v="123220.5"/>
    <x v="0"/>
    <n v="123220.5"/>
    <n v="110018.3036"/>
    <n v="13202.196400000001"/>
    <x v="0"/>
    <x v="0"/>
    <x v="7"/>
    <x v="0"/>
    <x v="0"/>
    <x v="0"/>
    <n v="0"/>
    <n v="123220.5"/>
    <x v="0"/>
    <x v="1"/>
    <x v="0"/>
    <x v="26"/>
    <n v="18957"/>
    <x v="1"/>
    <x v="0"/>
    <x v="0"/>
    <n v="123220.5"/>
    <n v="123220.5"/>
    <n v="18957"/>
    <n v="0"/>
    <x v="0"/>
    <x v="0"/>
    <x v="0"/>
    <s v="MB22X44 - MOTHERBAG 22 X 44"/>
    <x v="0"/>
    <n v="6.5"/>
    <s v="DR5217"/>
    <x v="0"/>
    <x v="0"/>
    <x v="0"/>
    <x v="0"/>
    <x v="0"/>
    <x v="26"/>
    <x v="0"/>
    <x v="26"/>
    <x v="8"/>
    <x v="8"/>
    <x v="0"/>
    <s v="MB22X44"/>
  </r>
  <r>
    <n v="29933"/>
    <x v="33"/>
    <x v="0"/>
    <x v="29"/>
    <d v="2024-05-15T00:00:00"/>
    <x v="0"/>
    <x v="4"/>
    <x v="0"/>
    <n v="30000"/>
    <x v="0"/>
    <n v="30000"/>
    <n v="26785.7143"/>
    <n v="3214.2856999999999"/>
    <x v="0"/>
    <x v="0"/>
    <x v="2"/>
    <x v="0"/>
    <x v="0"/>
    <x v="0"/>
    <n v="0"/>
    <n v="30000"/>
    <x v="0"/>
    <x v="1"/>
    <x v="0"/>
    <x v="19"/>
    <n v="5000"/>
    <x v="1"/>
    <x v="0"/>
    <x v="0"/>
    <n v="10000"/>
    <n v="10000"/>
    <n v="5000"/>
    <n v="0"/>
    <x v="0"/>
    <x v="0"/>
    <x v="4"/>
    <s v="HDRCRCK - HEADER PAMINTA CRACKED"/>
    <x v="0"/>
    <n v="2"/>
    <s v="DR1265"/>
    <x v="0"/>
    <x v="0"/>
    <x v="0"/>
    <x v="0"/>
    <x v="0"/>
    <x v="19"/>
    <x v="0"/>
    <x v="19"/>
    <x v="6"/>
    <x v="6"/>
    <x v="0"/>
    <s v="HDRCRCK"/>
  </r>
  <r>
    <n v="29933"/>
    <x v="33"/>
    <x v="0"/>
    <x v="29"/>
    <d v="2024-05-15T00:00:00"/>
    <x v="0"/>
    <x v="4"/>
    <x v="0"/>
    <n v="30000"/>
    <x v="0"/>
    <n v="30000"/>
    <n v="26785.7143"/>
    <n v="3214.2856999999999"/>
    <x v="0"/>
    <x v="0"/>
    <x v="2"/>
    <x v="0"/>
    <x v="0"/>
    <x v="0"/>
    <n v="0"/>
    <n v="30000"/>
    <x v="0"/>
    <x v="1"/>
    <x v="0"/>
    <x v="20"/>
    <n v="5000"/>
    <x v="1"/>
    <x v="0"/>
    <x v="0"/>
    <n v="10000"/>
    <n v="10000"/>
    <n v="5000"/>
    <n v="0"/>
    <x v="0"/>
    <x v="0"/>
    <x v="4"/>
    <s v="HDRFINE - HEADER PAMINTA FINE"/>
    <x v="0"/>
    <n v="2"/>
    <s v="DR1265"/>
    <x v="0"/>
    <x v="0"/>
    <x v="0"/>
    <x v="0"/>
    <x v="0"/>
    <x v="20"/>
    <x v="0"/>
    <x v="20"/>
    <x v="6"/>
    <x v="6"/>
    <x v="0"/>
    <s v="HDRFINE"/>
  </r>
  <r>
    <n v="29933"/>
    <x v="33"/>
    <x v="0"/>
    <x v="29"/>
    <d v="2024-05-15T00:00:00"/>
    <x v="0"/>
    <x v="4"/>
    <x v="0"/>
    <n v="30000"/>
    <x v="0"/>
    <n v="30000"/>
    <n v="26785.7143"/>
    <n v="3214.2856999999999"/>
    <x v="0"/>
    <x v="0"/>
    <x v="2"/>
    <x v="0"/>
    <x v="0"/>
    <x v="0"/>
    <n v="0"/>
    <n v="30000"/>
    <x v="0"/>
    <x v="1"/>
    <x v="0"/>
    <x v="21"/>
    <n v="5000"/>
    <x v="1"/>
    <x v="0"/>
    <x v="0"/>
    <n v="10000"/>
    <n v="10000"/>
    <n v="5000"/>
    <n v="0"/>
    <x v="0"/>
    <x v="0"/>
    <x v="4"/>
    <s v="HDRWHL - HEADER PAMINTA WHOLE"/>
    <x v="0"/>
    <n v="2"/>
    <s v="DR1265"/>
    <x v="0"/>
    <x v="0"/>
    <x v="0"/>
    <x v="0"/>
    <x v="0"/>
    <x v="21"/>
    <x v="0"/>
    <x v="21"/>
    <x v="6"/>
    <x v="6"/>
    <x v="0"/>
    <s v="HDRWHL"/>
  </r>
  <r>
    <n v="29932"/>
    <x v="41"/>
    <x v="0"/>
    <x v="33"/>
    <d v="2024-05-13T00:00:00"/>
    <x v="0"/>
    <x v="2"/>
    <x v="0"/>
    <n v="147060"/>
    <x v="0"/>
    <n v="147060"/>
    <n v="131303.57139999999"/>
    <n v="15756.428599999999"/>
    <x v="0"/>
    <x v="0"/>
    <x v="2"/>
    <x v="0"/>
    <x v="0"/>
    <x v="0"/>
    <n v="0"/>
    <n v="147060"/>
    <x v="0"/>
    <x v="1"/>
    <x v="0"/>
    <x v="9"/>
    <n v="5280"/>
    <x v="1"/>
    <x v="0"/>
    <x v="0"/>
    <n v="36432"/>
    <n v="36432"/>
    <n v="5280"/>
    <n v="0"/>
    <x v="0"/>
    <x v="0"/>
    <x v="2"/>
    <s v="MBTL900ML - 900ML BOTTLE PALM MAZOLA (MBC)"/>
    <x v="0"/>
    <n v="6.9"/>
    <s v="DR6460"/>
    <x v="0"/>
    <x v="0"/>
    <x v="0"/>
    <x v="0"/>
    <x v="0"/>
    <x v="9"/>
    <x v="0"/>
    <x v="9"/>
    <x v="3"/>
    <x v="3"/>
    <x v="0"/>
    <s v="MBTL900ML"/>
  </r>
  <r>
    <n v="29932"/>
    <x v="41"/>
    <x v="0"/>
    <x v="33"/>
    <d v="2024-05-13T00:00:00"/>
    <x v="0"/>
    <x v="2"/>
    <x v="0"/>
    <n v="147060"/>
    <x v="0"/>
    <n v="147060"/>
    <n v="131303.57139999999"/>
    <n v="15756.428599999999"/>
    <x v="0"/>
    <x v="0"/>
    <x v="2"/>
    <x v="0"/>
    <x v="0"/>
    <x v="0"/>
    <n v="0"/>
    <n v="147060"/>
    <x v="0"/>
    <x v="1"/>
    <x v="0"/>
    <x v="5"/>
    <n v="5040"/>
    <x v="1"/>
    <x v="0"/>
    <x v="0"/>
    <n v="110628"/>
    <n v="110628"/>
    <n v="5040"/>
    <n v="0"/>
    <x v="0"/>
    <x v="0"/>
    <x v="2"/>
    <s v="MBTL2L - 2LITERS BOTTLE PALM MAZOLA (MBC)"/>
    <x v="0"/>
    <n v="21.95"/>
    <s v="DR6460"/>
    <x v="0"/>
    <x v="0"/>
    <x v="0"/>
    <x v="0"/>
    <x v="0"/>
    <x v="5"/>
    <x v="0"/>
    <x v="5"/>
    <x v="3"/>
    <x v="3"/>
    <x v="0"/>
    <s v="MBTL2L"/>
  </r>
  <r>
    <n v="29931"/>
    <x v="42"/>
    <x v="0"/>
    <x v="34"/>
    <d v="2024-03-18T00:00:00"/>
    <x v="0"/>
    <x v="0"/>
    <x v="0"/>
    <n v="42300"/>
    <x v="0"/>
    <n v="42300"/>
    <n v="37767.857100000001"/>
    <n v="4532.1428999999998"/>
    <x v="0"/>
    <x v="0"/>
    <x v="5"/>
    <x v="0"/>
    <x v="0"/>
    <x v="0"/>
    <n v="0"/>
    <n v="42300"/>
    <x v="0"/>
    <x v="1"/>
    <x v="0"/>
    <x v="12"/>
    <n v="1250000"/>
    <x v="2"/>
    <x v="0"/>
    <x v="0"/>
    <n v="42300"/>
    <n v="42300"/>
    <n v="1250000"/>
    <n v="0"/>
    <x v="0"/>
    <x v="0"/>
    <x v="0"/>
    <s v="FLOUR - FLOUR (HARINA)"/>
    <x v="0"/>
    <n v="3.3840000000000002E-2"/>
    <s v="DR03182024"/>
    <x v="0"/>
    <x v="0"/>
    <x v="0"/>
    <x v="0"/>
    <x v="0"/>
    <x v="12"/>
    <x v="0"/>
    <x v="12"/>
    <x v="4"/>
    <x v="4"/>
    <x v="0"/>
    <s v="FLOUR"/>
  </r>
  <r>
    <n v="29930"/>
    <x v="43"/>
    <x v="0"/>
    <x v="35"/>
    <d v="2024-03-24T00:00:00"/>
    <x v="0"/>
    <x v="0"/>
    <x v="0"/>
    <n v="84600"/>
    <x v="0"/>
    <n v="84600"/>
    <n v="75535.714300000007"/>
    <n v="9064.2857000000004"/>
    <x v="0"/>
    <x v="0"/>
    <x v="5"/>
    <x v="0"/>
    <x v="0"/>
    <x v="0"/>
    <n v="0"/>
    <n v="84600"/>
    <x v="0"/>
    <x v="1"/>
    <x v="0"/>
    <x v="12"/>
    <n v="2500000"/>
    <x v="2"/>
    <x v="0"/>
    <x v="0"/>
    <n v="84600"/>
    <n v="84600"/>
    <n v="2500000"/>
    <n v="0"/>
    <x v="0"/>
    <x v="0"/>
    <x v="0"/>
    <s v="FLOUR - FLOUR (HARINA)"/>
    <x v="0"/>
    <n v="3.3840000000000002E-2"/>
    <s v="DR03242024"/>
    <x v="0"/>
    <x v="0"/>
    <x v="0"/>
    <x v="0"/>
    <x v="0"/>
    <x v="12"/>
    <x v="0"/>
    <x v="12"/>
    <x v="4"/>
    <x v="4"/>
    <x v="0"/>
    <s v="FLOUR"/>
  </r>
  <r>
    <n v="29929"/>
    <x v="44"/>
    <x v="0"/>
    <x v="36"/>
    <d v="2024-04-27T00:00:00"/>
    <x v="0"/>
    <x v="2"/>
    <x v="0"/>
    <n v="60537"/>
    <x v="0"/>
    <n v="60537"/>
    <n v="54050.892899999999"/>
    <n v="6486.1071000000002"/>
    <x v="0"/>
    <x v="0"/>
    <x v="2"/>
    <x v="0"/>
    <x v="0"/>
    <x v="0"/>
    <n v="0"/>
    <n v="60537"/>
    <x v="0"/>
    <x v="1"/>
    <x v="0"/>
    <x v="14"/>
    <n v="12180"/>
    <x v="1"/>
    <x v="0"/>
    <x v="0"/>
    <n v="40803"/>
    <n v="40803"/>
    <n v="12180"/>
    <n v="0"/>
    <x v="0"/>
    <x v="0"/>
    <x v="2"/>
    <s v="BTL350MLP - 350ML BOTTLE PALM [SWAK] (MBC)"/>
    <x v="0"/>
    <n v="3.35"/>
    <s v="DR6382"/>
    <x v="0"/>
    <x v="0"/>
    <x v="0"/>
    <x v="0"/>
    <x v="0"/>
    <x v="14"/>
    <x v="0"/>
    <x v="14"/>
    <x v="3"/>
    <x v="3"/>
    <x v="0"/>
    <s v="BTL350MLP"/>
  </r>
  <r>
    <n v="29929"/>
    <x v="44"/>
    <x v="0"/>
    <x v="36"/>
    <d v="2024-04-27T00:00:00"/>
    <x v="0"/>
    <x v="2"/>
    <x v="0"/>
    <n v="60537"/>
    <x v="0"/>
    <n v="60537"/>
    <n v="54050.892899999999"/>
    <n v="6486.1071000000002"/>
    <x v="0"/>
    <x v="0"/>
    <x v="2"/>
    <x v="0"/>
    <x v="0"/>
    <x v="0"/>
    <n v="0"/>
    <n v="60537"/>
    <x v="0"/>
    <x v="1"/>
    <x v="0"/>
    <x v="9"/>
    <n v="2860"/>
    <x v="1"/>
    <x v="0"/>
    <x v="0"/>
    <n v="19734"/>
    <n v="19734"/>
    <n v="2860"/>
    <n v="0"/>
    <x v="0"/>
    <x v="0"/>
    <x v="2"/>
    <s v="MBTL900ML - 900ML BOTTLE PALM MAZOLA (MBC)"/>
    <x v="0"/>
    <n v="6.9"/>
    <s v="DR6382"/>
    <x v="0"/>
    <x v="0"/>
    <x v="0"/>
    <x v="0"/>
    <x v="0"/>
    <x v="9"/>
    <x v="0"/>
    <x v="9"/>
    <x v="3"/>
    <x v="3"/>
    <x v="0"/>
    <s v="MBTL900ML"/>
  </r>
  <r>
    <n v="29928"/>
    <x v="45"/>
    <x v="0"/>
    <x v="37"/>
    <d v="2024-04-17T00:00:00"/>
    <x v="0"/>
    <x v="2"/>
    <x v="0"/>
    <n v="91932.5"/>
    <x v="0"/>
    <n v="91932.5"/>
    <n v="82082.589300000007"/>
    <n v="9849.9107000000004"/>
    <x v="0"/>
    <x v="0"/>
    <x v="2"/>
    <x v="0"/>
    <x v="0"/>
    <x v="0"/>
    <n v="0"/>
    <n v="91932.5"/>
    <x v="0"/>
    <x v="1"/>
    <x v="0"/>
    <x v="27"/>
    <n v="10010"/>
    <x v="1"/>
    <x v="0"/>
    <x v="0"/>
    <n v="65565.5"/>
    <n v="65565.5"/>
    <n v="10010"/>
    <n v="0"/>
    <x v="0"/>
    <x v="0"/>
    <x v="2"/>
    <s v="BTL1LP - 1LITER BOTTLE PALM [SWAK] (MBC)"/>
    <x v="0"/>
    <n v="6.55"/>
    <s v="DR6325"/>
    <x v="0"/>
    <x v="0"/>
    <x v="0"/>
    <x v="0"/>
    <x v="0"/>
    <x v="27"/>
    <x v="0"/>
    <x v="27"/>
    <x v="3"/>
    <x v="3"/>
    <x v="0"/>
    <s v="BTL1LP"/>
  </r>
  <r>
    <n v="29928"/>
    <x v="45"/>
    <x v="0"/>
    <x v="37"/>
    <d v="2024-04-17T00:00:00"/>
    <x v="0"/>
    <x v="2"/>
    <x v="0"/>
    <n v="91932.5"/>
    <x v="0"/>
    <n v="91932.5"/>
    <n v="82082.589300000007"/>
    <n v="9849.9107000000004"/>
    <x v="0"/>
    <x v="0"/>
    <x v="2"/>
    <x v="0"/>
    <x v="0"/>
    <x v="0"/>
    <n v="0"/>
    <n v="91932.5"/>
    <x v="0"/>
    <x v="1"/>
    <x v="0"/>
    <x v="15"/>
    <n v="2040"/>
    <x v="1"/>
    <x v="0"/>
    <x v="0"/>
    <n v="13464"/>
    <n v="13464"/>
    <n v="2040"/>
    <n v="0"/>
    <x v="0"/>
    <x v="0"/>
    <x v="2"/>
    <s v="BTL1LCS - 1LITER BOTTLE CANSOY [NUTRI] (MBC)"/>
    <x v="0"/>
    <n v="6.6"/>
    <s v="DR6325"/>
    <x v="0"/>
    <x v="0"/>
    <x v="0"/>
    <x v="0"/>
    <x v="0"/>
    <x v="15"/>
    <x v="0"/>
    <x v="15"/>
    <x v="3"/>
    <x v="3"/>
    <x v="0"/>
    <s v="BTL1LCS"/>
  </r>
  <r>
    <n v="29928"/>
    <x v="45"/>
    <x v="0"/>
    <x v="37"/>
    <d v="2024-04-17T00:00:00"/>
    <x v="0"/>
    <x v="2"/>
    <x v="0"/>
    <n v="91932.5"/>
    <x v="0"/>
    <n v="91932.5"/>
    <n v="82082.589300000007"/>
    <n v="9849.9107000000004"/>
    <x v="0"/>
    <x v="0"/>
    <x v="2"/>
    <x v="0"/>
    <x v="0"/>
    <x v="0"/>
    <n v="0"/>
    <n v="91932.5"/>
    <x v="0"/>
    <x v="1"/>
    <x v="0"/>
    <x v="9"/>
    <n v="1870"/>
    <x v="1"/>
    <x v="0"/>
    <x v="0"/>
    <n v="12903"/>
    <n v="12903"/>
    <n v="1870"/>
    <n v="0"/>
    <x v="0"/>
    <x v="0"/>
    <x v="2"/>
    <s v="MBTL900ML - 900ML BOTTLE PALM MAZOLA (MBC)"/>
    <x v="0"/>
    <n v="6.9"/>
    <s v="DR6325"/>
    <x v="0"/>
    <x v="0"/>
    <x v="0"/>
    <x v="0"/>
    <x v="0"/>
    <x v="9"/>
    <x v="0"/>
    <x v="9"/>
    <x v="3"/>
    <x v="3"/>
    <x v="0"/>
    <s v="MBTL900ML"/>
  </r>
  <r>
    <n v="29927"/>
    <x v="46"/>
    <x v="0"/>
    <x v="38"/>
    <d v="2024-04-20T00:00:00"/>
    <x v="0"/>
    <x v="0"/>
    <x v="0"/>
    <n v="84600"/>
    <x v="0"/>
    <n v="84600"/>
    <n v="75535.714300000007"/>
    <n v="9064.2857000000004"/>
    <x v="0"/>
    <x v="0"/>
    <x v="5"/>
    <x v="0"/>
    <x v="0"/>
    <x v="0"/>
    <n v="0"/>
    <n v="84600"/>
    <x v="0"/>
    <x v="1"/>
    <x v="0"/>
    <x v="12"/>
    <n v="2500000"/>
    <x v="2"/>
    <x v="0"/>
    <x v="0"/>
    <n v="84600"/>
    <n v="84600"/>
    <n v="2500000"/>
    <n v="0"/>
    <x v="0"/>
    <x v="0"/>
    <x v="0"/>
    <s v="FLOUR - FLOUR (HARINA)"/>
    <x v="0"/>
    <n v="3.3840000000000002E-2"/>
    <s v="DR4130044727"/>
    <x v="0"/>
    <x v="0"/>
    <x v="0"/>
    <x v="0"/>
    <x v="0"/>
    <x v="12"/>
    <x v="0"/>
    <x v="12"/>
    <x v="4"/>
    <x v="4"/>
    <x v="0"/>
    <s v="FLOUR"/>
  </r>
  <r>
    <n v="29926"/>
    <x v="47"/>
    <x v="0"/>
    <x v="39"/>
    <d v="2024-04-15T00:00:00"/>
    <x v="0"/>
    <x v="0"/>
    <x v="0"/>
    <n v="435000"/>
    <x v="0"/>
    <n v="435000"/>
    <n v="388392.85710000002"/>
    <n v="46607.142899999999"/>
    <x v="0"/>
    <x v="0"/>
    <x v="3"/>
    <x v="0"/>
    <x v="0"/>
    <x v="0"/>
    <n v="0"/>
    <n v="435000"/>
    <x v="0"/>
    <x v="1"/>
    <x v="0"/>
    <x v="7"/>
    <n v="12500000"/>
    <x v="2"/>
    <x v="0"/>
    <x v="0"/>
    <n v="435000"/>
    <n v="435000"/>
    <n v="12500000"/>
    <n v="3.5000000000000003E-2"/>
    <x v="0"/>
    <x v="0"/>
    <x v="0"/>
    <s v="CORN - CORNSTARCH"/>
    <x v="0"/>
    <n v="3.4799999999999998E-2"/>
    <s v="DR10758"/>
    <x v="0"/>
    <x v="0"/>
    <x v="0"/>
    <x v="0"/>
    <x v="0"/>
    <x v="7"/>
    <x v="0"/>
    <x v="7"/>
    <x v="4"/>
    <x v="4"/>
    <x v="0"/>
    <s v="CORN"/>
  </r>
  <r>
    <n v="29925"/>
    <x v="48"/>
    <x v="0"/>
    <x v="39"/>
    <d v="2024-04-15T00:00:00"/>
    <x v="0"/>
    <x v="0"/>
    <x v="0"/>
    <n v="168000"/>
    <x v="0"/>
    <n v="168000"/>
    <n v="150000"/>
    <n v="18000"/>
    <x v="0"/>
    <x v="0"/>
    <x v="1"/>
    <x v="0"/>
    <x v="0"/>
    <x v="0"/>
    <n v="0"/>
    <n v="168000"/>
    <x v="0"/>
    <x v="1"/>
    <x v="0"/>
    <x v="1"/>
    <n v="7000"/>
    <x v="0"/>
    <x v="0"/>
    <x v="0"/>
    <n v="168000"/>
    <n v="168000"/>
    <n v="7000"/>
    <n v="0"/>
    <x v="0"/>
    <x v="0"/>
    <x v="0"/>
    <s v="BUNKER - BUNKER OIL"/>
    <x v="0"/>
    <n v="24"/>
    <s v="DR26342"/>
    <x v="0"/>
    <x v="0"/>
    <x v="0"/>
    <x v="0"/>
    <x v="0"/>
    <x v="1"/>
    <x v="0"/>
    <x v="1"/>
    <x v="1"/>
    <x v="1"/>
    <x v="0"/>
    <s v="BUNKER"/>
  </r>
  <r>
    <n v="19925"/>
    <x v="49"/>
    <x v="0"/>
    <x v="40"/>
    <d v="2024-04-12T00:00:00"/>
    <x v="0"/>
    <x v="3"/>
    <x v="0"/>
    <n v="30450"/>
    <x v="0"/>
    <n v="30450"/>
    <n v="27187.5"/>
    <n v="3262.5"/>
    <x v="0"/>
    <x v="0"/>
    <x v="2"/>
    <x v="0"/>
    <x v="0"/>
    <x v="0"/>
    <n v="0"/>
    <n v="30450"/>
    <x v="0"/>
    <x v="1"/>
    <x v="0"/>
    <x v="8"/>
    <n v="1050"/>
    <x v="1"/>
    <x v="0"/>
    <x v="0"/>
    <n v="30450"/>
    <n v="30450"/>
    <n v="1050"/>
    <n v="0"/>
    <x v="0"/>
    <x v="0"/>
    <x v="3"/>
    <s v="BOX350MLP-W - 350ML BOX PALM (WPCC)"/>
    <x v="0"/>
    <n v="29"/>
    <s v="DR209343"/>
    <x v="0"/>
    <x v="0"/>
    <x v="0"/>
    <x v="0"/>
    <x v="0"/>
    <x v="8"/>
    <x v="0"/>
    <x v="8"/>
    <x v="2"/>
    <x v="2"/>
    <x v="1"/>
    <s v="BOX350MLP-W"/>
  </r>
  <r>
    <n v="19924"/>
    <x v="50"/>
    <x v="0"/>
    <x v="41"/>
    <d v="2024-03-15T00:00:00"/>
    <x v="0"/>
    <x v="0"/>
    <x v="0"/>
    <n v="1800"/>
    <x v="0"/>
    <n v="1800"/>
    <n v="1607.1429000000001"/>
    <n v="192.8571"/>
    <x v="0"/>
    <x v="0"/>
    <x v="4"/>
    <x v="0"/>
    <x v="0"/>
    <x v="0"/>
    <n v="0"/>
    <n v="1800"/>
    <x v="0"/>
    <x v="1"/>
    <x v="0"/>
    <x v="18"/>
    <n v="60"/>
    <x v="1"/>
    <x v="0"/>
    <x v="0"/>
    <n v="1800"/>
    <n v="1800"/>
    <n v="60"/>
    <n v="0"/>
    <x v="0"/>
    <x v="0"/>
    <x v="0"/>
    <s v="PCKGTAPE - PACKAGING TAPE CLEAR"/>
    <x v="0"/>
    <n v="30"/>
    <s v="DR002292024"/>
    <x v="0"/>
    <x v="0"/>
    <x v="0"/>
    <x v="0"/>
    <x v="0"/>
    <x v="18"/>
    <x v="0"/>
    <x v="18"/>
    <x v="5"/>
    <x v="5"/>
    <x v="0"/>
    <s v="PCKGTAPE"/>
  </r>
  <r>
    <n v="19923"/>
    <x v="51"/>
    <x v="0"/>
    <x v="42"/>
    <d v="2024-03-12T00:00:00"/>
    <x v="0"/>
    <x v="0"/>
    <x v="0"/>
    <n v="600"/>
    <x v="0"/>
    <n v="600"/>
    <n v="535.71429999999998"/>
    <n v="64.285700000000006"/>
    <x v="0"/>
    <x v="0"/>
    <x v="4"/>
    <x v="0"/>
    <x v="0"/>
    <x v="0"/>
    <n v="0"/>
    <n v="600"/>
    <x v="0"/>
    <x v="1"/>
    <x v="0"/>
    <x v="18"/>
    <n v="20"/>
    <x v="1"/>
    <x v="0"/>
    <x v="0"/>
    <n v="600"/>
    <n v="600"/>
    <n v="20"/>
    <n v="0"/>
    <x v="0"/>
    <x v="0"/>
    <x v="0"/>
    <s v="PCKGTAPE - PACKAGING TAPE CLEAR"/>
    <x v="0"/>
    <n v="30"/>
    <s v="DR02262024"/>
    <x v="0"/>
    <x v="0"/>
    <x v="0"/>
    <x v="0"/>
    <x v="0"/>
    <x v="18"/>
    <x v="0"/>
    <x v="18"/>
    <x v="5"/>
    <x v="5"/>
    <x v="0"/>
    <s v="PCKGTAPE"/>
  </r>
  <r>
    <n v="19922"/>
    <x v="52"/>
    <x v="0"/>
    <x v="43"/>
    <d v="2024-03-31T00:00:00"/>
    <x v="0"/>
    <x v="0"/>
    <x v="0"/>
    <n v="2419.9996999999998"/>
    <x v="0"/>
    <n v="2419.9996999999998"/>
    <n v="2160.7139999999999"/>
    <n v="259.28570000000002"/>
    <x v="0"/>
    <x v="0"/>
    <x v="4"/>
    <x v="0"/>
    <x v="0"/>
    <x v="0"/>
    <n v="0"/>
    <n v="2419.9996999999998"/>
    <x v="0"/>
    <x v="1"/>
    <x v="0"/>
    <x v="11"/>
    <n v="46000"/>
    <x v="0"/>
    <x v="0"/>
    <x v="0"/>
    <n v="2419.9996999999998"/>
    <n v="2419.9996999999998"/>
    <n v="46000"/>
    <n v="0"/>
    <x v="0"/>
    <x v="0"/>
    <x v="0"/>
    <s v="LYE - LYE WATER (BAKED BS)"/>
    <x v="0"/>
    <n v="5.260869E-2"/>
    <s v="DR03162024"/>
    <x v="0"/>
    <x v="0"/>
    <x v="0"/>
    <x v="0"/>
    <x v="0"/>
    <x v="11"/>
    <x v="0"/>
    <x v="11"/>
    <x v="4"/>
    <x v="4"/>
    <x v="0"/>
    <s v="LYE"/>
  </r>
  <r>
    <n v="9922"/>
    <x v="53"/>
    <x v="0"/>
    <x v="44"/>
    <d v="2024-04-05T00:00:00"/>
    <x v="0"/>
    <x v="0"/>
    <x v="0"/>
    <n v="84600"/>
    <x v="0"/>
    <n v="84600"/>
    <n v="75535.714300000007"/>
    <n v="9064.2857000000004"/>
    <x v="0"/>
    <x v="0"/>
    <x v="5"/>
    <x v="0"/>
    <x v="0"/>
    <x v="0"/>
    <n v="0"/>
    <n v="84600"/>
    <x v="0"/>
    <x v="1"/>
    <x v="0"/>
    <x v="12"/>
    <n v="2500000"/>
    <x v="2"/>
    <x v="0"/>
    <x v="0"/>
    <n v="84600"/>
    <n v="84600"/>
    <n v="2500000"/>
    <n v="0"/>
    <x v="0"/>
    <x v="0"/>
    <x v="0"/>
    <s v="FLOUR - FLOUR (HARINA)"/>
    <x v="0"/>
    <n v="3.3840000000000002E-2"/>
    <s v="DR4130044292"/>
    <x v="0"/>
    <x v="0"/>
    <x v="0"/>
    <x v="0"/>
    <x v="0"/>
    <x v="12"/>
    <x v="0"/>
    <x v="12"/>
    <x v="4"/>
    <x v="4"/>
    <x v="0"/>
    <s v="FLOUR"/>
  </r>
  <r>
    <n v="9921"/>
    <x v="54"/>
    <x v="0"/>
    <x v="45"/>
    <d v="2024-03-27T00:00:00"/>
    <x v="0"/>
    <x v="2"/>
    <x v="0"/>
    <n v="69968"/>
    <x v="0"/>
    <n v="69968"/>
    <n v="62471.428599999999"/>
    <n v="7496.5713999999998"/>
    <x v="0"/>
    <x v="0"/>
    <x v="2"/>
    <x v="0"/>
    <x v="0"/>
    <x v="0"/>
    <n v="0"/>
    <n v="69968"/>
    <x v="0"/>
    <x v="1"/>
    <x v="0"/>
    <x v="28"/>
    <n v="2000"/>
    <x v="1"/>
    <x v="0"/>
    <x v="0"/>
    <n v="36200"/>
    <n v="36200"/>
    <n v="2000"/>
    <n v="0"/>
    <x v="0"/>
    <x v="0"/>
    <x v="2"/>
    <s v="BTL2LC - 2LITERS BOTTLE CANOLEIN [ROUND] GREEN (MBC)"/>
    <x v="0"/>
    <n v="18.100000000000001"/>
    <s v="DR6228"/>
    <x v="0"/>
    <x v="0"/>
    <x v="0"/>
    <x v="0"/>
    <x v="0"/>
    <x v="28"/>
    <x v="0"/>
    <x v="28"/>
    <x v="3"/>
    <x v="3"/>
    <x v="0"/>
    <s v="BTL2LC"/>
  </r>
  <r>
    <n v="9921"/>
    <x v="54"/>
    <x v="0"/>
    <x v="45"/>
    <d v="2024-03-27T00:00:00"/>
    <x v="0"/>
    <x v="2"/>
    <x v="0"/>
    <n v="69968"/>
    <x v="0"/>
    <n v="69968"/>
    <n v="62471.428599999999"/>
    <n v="7496.5713999999998"/>
    <x v="0"/>
    <x v="0"/>
    <x v="2"/>
    <x v="0"/>
    <x v="0"/>
    <x v="0"/>
    <n v="0"/>
    <n v="69968"/>
    <x v="0"/>
    <x v="1"/>
    <x v="0"/>
    <x v="14"/>
    <n v="10080"/>
    <x v="1"/>
    <x v="0"/>
    <x v="0"/>
    <n v="33768"/>
    <n v="33768"/>
    <n v="10080"/>
    <n v="0"/>
    <x v="0"/>
    <x v="0"/>
    <x v="2"/>
    <s v="BTL350MLP - 350ML BOTTLE PALM [SWAK] (MBC)"/>
    <x v="0"/>
    <n v="3.35"/>
    <s v="DR6228"/>
    <x v="0"/>
    <x v="0"/>
    <x v="0"/>
    <x v="0"/>
    <x v="0"/>
    <x v="14"/>
    <x v="0"/>
    <x v="14"/>
    <x v="3"/>
    <x v="3"/>
    <x v="0"/>
    <s v="BTL350MLP"/>
  </r>
  <r>
    <n v="9920"/>
    <x v="55"/>
    <x v="0"/>
    <x v="46"/>
    <d v="2024-03-20T00:00:00"/>
    <x v="0"/>
    <x v="0"/>
    <x v="0"/>
    <n v="15300"/>
    <x v="0"/>
    <n v="15300"/>
    <n v="13660.7143"/>
    <n v="1639.2856999999999"/>
    <x v="0"/>
    <x v="0"/>
    <x v="11"/>
    <x v="0"/>
    <x v="0"/>
    <x v="0"/>
    <n v="0"/>
    <n v="15300"/>
    <x v="0"/>
    <x v="1"/>
    <x v="0"/>
    <x v="18"/>
    <n v="600"/>
    <x v="1"/>
    <x v="0"/>
    <x v="0"/>
    <n v="15300"/>
    <n v="15300"/>
    <n v="600"/>
    <n v="0"/>
    <x v="0"/>
    <x v="0"/>
    <x v="0"/>
    <s v="PCKGTAPE - PACKAGING TAPE CLEAR"/>
    <x v="0"/>
    <n v="25.5"/>
    <s v="DR1264"/>
    <x v="0"/>
    <x v="0"/>
    <x v="0"/>
    <x v="0"/>
    <x v="0"/>
    <x v="18"/>
    <x v="0"/>
    <x v="18"/>
    <x v="5"/>
    <x v="5"/>
    <x v="0"/>
    <s v="PCKGTAPE"/>
  </r>
  <r>
    <n v="9919"/>
    <x v="49"/>
    <x v="0"/>
    <x v="47"/>
    <d v="2024-03-13T00:00:00"/>
    <x v="0"/>
    <x v="4"/>
    <x v="0"/>
    <n v="30000"/>
    <x v="0"/>
    <n v="30000"/>
    <n v="26785.7143"/>
    <n v="3214.2856999999999"/>
    <x v="0"/>
    <x v="0"/>
    <x v="2"/>
    <x v="0"/>
    <x v="0"/>
    <x v="0"/>
    <n v="0"/>
    <n v="30000"/>
    <x v="0"/>
    <x v="1"/>
    <x v="0"/>
    <x v="20"/>
    <n v="5000"/>
    <x v="1"/>
    <x v="0"/>
    <x v="0"/>
    <n v="10000"/>
    <n v="10000"/>
    <n v="5000"/>
    <n v="0"/>
    <x v="0"/>
    <x v="0"/>
    <x v="4"/>
    <s v="HDRFINE - HEADER PAMINTA FINE"/>
    <x v="0"/>
    <n v="2"/>
    <s v="DR1263"/>
    <x v="0"/>
    <x v="0"/>
    <x v="0"/>
    <x v="0"/>
    <x v="0"/>
    <x v="20"/>
    <x v="0"/>
    <x v="20"/>
    <x v="6"/>
    <x v="6"/>
    <x v="0"/>
    <s v="HDRFINE"/>
  </r>
  <r>
    <n v="9919"/>
    <x v="49"/>
    <x v="0"/>
    <x v="47"/>
    <d v="2024-03-13T00:00:00"/>
    <x v="0"/>
    <x v="4"/>
    <x v="0"/>
    <n v="30000"/>
    <x v="0"/>
    <n v="30000"/>
    <n v="26785.7143"/>
    <n v="3214.2856999999999"/>
    <x v="0"/>
    <x v="0"/>
    <x v="2"/>
    <x v="0"/>
    <x v="0"/>
    <x v="0"/>
    <n v="0"/>
    <n v="30000"/>
    <x v="0"/>
    <x v="1"/>
    <x v="0"/>
    <x v="21"/>
    <n v="5000"/>
    <x v="1"/>
    <x v="0"/>
    <x v="0"/>
    <n v="10000"/>
    <n v="10000"/>
    <n v="5000"/>
    <n v="0"/>
    <x v="0"/>
    <x v="0"/>
    <x v="4"/>
    <s v="HDRWHL - HEADER PAMINTA WHOLE"/>
    <x v="0"/>
    <n v="2"/>
    <s v="DR1263"/>
    <x v="0"/>
    <x v="0"/>
    <x v="0"/>
    <x v="0"/>
    <x v="0"/>
    <x v="21"/>
    <x v="0"/>
    <x v="21"/>
    <x v="6"/>
    <x v="6"/>
    <x v="0"/>
    <s v="HDRWHL"/>
  </r>
  <r>
    <n v="9919"/>
    <x v="49"/>
    <x v="0"/>
    <x v="47"/>
    <d v="2024-03-13T00:00:00"/>
    <x v="0"/>
    <x v="4"/>
    <x v="0"/>
    <n v="30000"/>
    <x v="0"/>
    <n v="30000"/>
    <n v="26785.7143"/>
    <n v="3214.2856999999999"/>
    <x v="0"/>
    <x v="0"/>
    <x v="2"/>
    <x v="0"/>
    <x v="0"/>
    <x v="0"/>
    <n v="0"/>
    <n v="30000"/>
    <x v="0"/>
    <x v="1"/>
    <x v="0"/>
    <x v="19"/>
    <n v="5000"/>
    <x v="1"/>
    <x v="0"/>
    <x v="0"/>
    <n v="10000"/>
    <n v="10000"/>
    <n v="5000"/>
    <n v="0"/>
    <x v="0"/>
    <x v="0"/>
    <x v="4"/>
    <s v="HDRCRCK - HEADER PAMINTA CRACKED"/>
    <x v="0"/>
    <n v="2"/>
    <s v="DR1263"/>
    <x v="0"/>
    <x v="0"/>
    <x v="0"/>
    <x v="0"/>
    <x v="0"/>
    <x v="19"/>
    <x v="0"/>
    <x v="19"/>
    <x v="6"/>
    <x v="6"/>
    <x v="0"/>
    <s v="HDRCRCK"/>
  </r>
  <r>
    <n v="9917"/>
    <x v="56"/>
    <x v="0"/>
    <x v="48"/>
    <d v="2024-02-29T00:00:00"/>
    <x v="0"/>
    <x v="0"/>
    <x v="0"/>
    <n v="16920"/>
    <x v="0"/>
    <n v="16920"/>
    <n v="15107.142900000001"/>
    <n v="1812.8570999999999"/>
    <x v="0"/>
    <x v="0"/>
    <x v="5"/>
    <x v="0"/>
    <x v="0"/>
    <x v="0"/>
    <n v="0"/>
    <n v="16920"/>
    <x v="0"/>
    <x v="1"/>
    <x v="0"/>
    <x v="12"/>
    <n v="500000"/>
    <x v="2"/>
    <x v="0"/>
    <x v="0"/>
    <n v="16920"/>
    <n v="16920"/>
    <n v="500000"/>
    <n v="0"/>
    <x v="0"/>
    <x v="0"/>
    <x v="0"/>
    <s v="FLOUR - FLOUR (HARINA)"/>
    <x v="0"/>
    <n v="3.3840000000000002E-2"/>
    <s v="DR4130043266"/>
    <x v="0"/>
    <x v="0"/>
    <x v="0"/>
    <x v="0"/>
    <x v="0"/>
    <x v="12"/>
    <x v="0"/>
    <x v="12"/>
    <x v="4"/>
    <x v="4"/>
    <x v="0"/>
    <s v="FLOUR"/>
  </r>
  <r>
    <n v="9916"/>
    <x v="57"/>
    <x v="0"/>
    <x v="49"/>
    <d v="2024-02-28T00:00:00"/>
    <x v="0"/>
    <x v="5"/>
    <x v="0"/>
    <n v="34382"/>
    <x v="0"/>
    <n v="34382"/>
    <n v="30698.2143"/>
    <n v="3683.7856999999999"/>
    <x v="0"/>
    <x v="0"/>
    <x v="2"/>
    <x v="0"/>
    <x v="0"/>
    <x v="0"/>
    <n v="0"/>
    <n v="34382"/>
    <x v="0"/>
    <x v="1"/>
    <x v="0"/>
    <x v="29"/>
    <n v="500"/>
    <x v="1"/>
    <x v="0"/>
    <x v="0"/>
    <n v="15500"/>
    <n v="15500"/>
    <n v="500"/>
    <n v="0"/>
    <x v="0"/>
    <x v="0"/>
    <x v="5"/>
    <s v="BOX1LPEXT - 1LITER BOX PALM (EXT)"/>
    <x v="0"/>
    <n v="31"/>
    <s v="DR48249"/>
    <x v="0"/>
    <x v="0"/>
    <x v="0"/>
    <x v="0"/>
    <x v="0"/>
    <x v="29"/>
    <x v="1"/>
    <x v="29"/>
    <x v="2"/>
    <x v="2"/>
    <x v="0"/>
    <s v="BOX1LPEXT"/>
  </r>
  <r>
    <n v="9916"/>
    <x v="57"/>
    <x v="0"/>
    <x v="49"/>
    <d v="2024-02-28T00:00:00"/>
    <x v="0"/>
    <x v="5"/>
    <x v="0"/>
    <n v="34382"/>
    <x v="0"/>
    <n v="34382"/>
    <n v="30698.2143"/>
    <n v="3683.7856999999999"/>
    <x v="0"/>
    <x v="0"/>
    <x v="2"/>
    <x v="0"/>
    <x v="0"/>
    <x v="0"/>
    <n v="0"/>
    <n v="34382"/>
    <x v="0"/>
    <x v="1"/>
    <x v="0"/>
    <x v="30"/>
    <n v="500"/>
    <x v="1"/>
    <x v="0"/>
    <x v="0"/>
    <n v="13500"/>
    <n v="13500"/>
    <n v="500"/>
    <n v="0"/>
    <x v="0"/>
    <x v="0"/>
    <x v="5"/>
    <s v="BOX2LP - 2LITERS BOX PALM (EXT)"/>
    <x v="0"/>
    <n v="27"/>
    <s v="DR48249"/>
    <x v="0"/>
    <x v="0"/>
    <x v="0"/>
    <x v="0"/>
    <x v="0"/>
    <x v="30"/>
    <x v="0"/>
    <x v="30"/>
    <x v="2"/>
    <x v="2"/>
    <x v="0"/>
    <s v="BOX2LP"/>
  </r>
  <r>
    <n v="9916"/>
    <x v="57"/>
    <x v="0"/>
    <x v="49"/>
    <d v="2024-02-28T00:00:00"/>
    <x v="0"/>
    <x v="5"/>
    <x v="0"/>
    <n v="34382"/>
    <x v="0"/>
    <n v="34382"/>
    <n v="30698.2143"/>
    <n v="3683.7856999999999"/>
    <x v="0"/>
    <x v="0"/>
    <x v="2"/>
    <x v="0"/>
    <x v="0"/>
    <x v="0"/>
    <n v="0"/>
    <n v="34382"/>
    <x v="0"/>
    <x v="1"/>
    <x v="0"/>
    <x v="25"/>
    <n v="260"/>
    <x v="1"/>
    <x v="0"/>
    <x v="0"/>
    <n v="5382"/>
    <n v="5382"/>
    <n v="260"/>
    <n v="0"/>
    <x v="0"/>
    <x v="0"/>
    <x v="5"/>
    <s v="BOX500MLP - 500ML BOX PALM (EXT)"/>
    <x v="0"/>
    <n v="20.7"/>
    <s v="DR48249"/>
    <x v="0"/>
    <x v="0"/>
    <x v="0"/>
    <x v="0"/>
    <x v="0"/>
    <x v="25"/>
    <x v="0"/>
    <x v="25"/>
    <x v="2"/>
    <x v="2"/>
    <x v="0"/>
    <s v="BOX500MLP"/>
  </r>
  <r>
    <n v="9915"/>
    <x v="58"/>
    <x v="0"/>
    <x v="50"/>
    <d v="2024-02-28T00:00:00"/>
    <x v="0"/>
    <x v="5"/>
    <x v="0"/>
    <n v="50373.1"/>
    <x v="0"/>
    <n v="50373.1"/>
    <n v="44975.982100000001"/>
    <n v="5397.1179000000002"/>
    <x v="0"/>
    <x v="0"/>
    <x v="2"/>
    <x v="0"/>
    <x v="0"/>
    <x v="0"/>
    <n v="0"/>
    <n v="50373.1"/>
    <x v="0"/>
    <x v="1"/>
    <x v="0"/>
    <x v="30"/>
    <n v="597"/>
    <x v="1"/>
    <x v="0"/>
    <x v="0"/>
    <n v="16119"/>
    <n v="16119"/>
    <n v="597"/>
    <n v="0"/>
    <x v="0"/>
    <x v="0"/>
    <x v="5"/>
    <s v="BOX2LP - 2LITERS BOX PALM (EXT)"/>
    <x v="0"/>
    <n v="27"/>
    <s v="DR48323"/>
    <x v="0"/>
    <x v="0"/>
    <x v="0"/>
    <x v="0"/>
    <x v="0"/>
    <x v="30"/>
    <x v="0"/>
    <x v="30"/>
    <x v="2"/>
    <x v="2"/>
    <x v="0"/>
    <s v="BOX2LP"/>
  </r>
  <r>
    <n v="9915"/>
    <x v="58"/>
    <x v="0"/>
    <x v="50"/>
    <d v="2024-02-28T00:00:00"/>
    <x v="0"/>
    <x v="5"/>
    <x v="0"/>
    <n v="50373.1"/>
    <x v="0"/>
    <n v="50373.1"/>
    <n v="44975.982100000001"/>
    <n v="5397.1179000000002"/>
    <x v="0"/>
    <x v="0"/>
    <x v="2"/>
    <x v="0"/>
    <x v="0"/>
    <x v="0"/>
    <n v="0"/>
    <n v="50373.1"/>
    <x v="0"/>
    <x v="1"/>
    <x v="0"/>
    <x v="25"/>
    <n v="283"/>
    <x v="1"/>
    <x v="0"/>
    <x v="0"/>
    <n v="5858.1"/>
    <n v="5858.1"/>
    <n v="283"/>
    <n v="0"/>
    <x v="0"/>
    <x v="0"/>
    <x v="5"/>
    <s v="BOX500MLP - 500ML BOX PALM (EXT)"/>
    <x v="0"/>
    <n v="20.7"/>
    <s v="DR48323"/>
    <x v="0"/>
    <x v="0"/>
    <x v="0"/>
    <x v="0"/>
    <x v="0"/>
    <x v="25"/>
    <x v="0"/>
    <x v="25"/>
    <x v="2"/>
    <x v="2"/>
    <x v="0"/>
    <s v="BOX500MLP"/>
  </r>
  <r>
    <n v="9915"/>
    <x v="58"/>
    <x v="0"/>
    <x v="50"/>
    <d v="2024-02-28T00:00:00"/>
    <x v="0"/>
    <x v="5"/>
    <x v="0"/>
    <n v="50373.1"/>
    <x v="0"/>
    <n v="50373.1"/>
    <n v="44975.982100000001"/>
    <n v="5397.1179000000002"/>
    <x v="0"/>
    <x v="0"/>
    <x v="2"/>
    <x v="0"/>
    <x v="0"/>
    <x v="0"/>
    <n v="0"/>
    <n v="50373.1"/>
    <x v="0"/>
    <x v="1"/>
    <x v="0"/>
    <x v="29"/>
    <n v="916"/>
    <x v="1"/>
    <x v="0"/>
    <x v="0"/>
    <n v="28396"/>
    <n v="28396"/>
    <n v="916"/>
    <n v="0"/>
    <x v="0"/>
    <x v="0"/>
    <x v="5"/>
    <s v="BOX1LPEXT - 1LITER BOX PALM (EXT)"/>
    <x v="0"/>
    <n v="31"/>
    <s v="DR48323"/>
    <x v="0"/>
    <x v="0"/>
    <x v="0"/>
    <x v="0"/>
    <x v="0"/>
    <x v="29"/>
    <x v="1"/>
    <x v="29"/>
    <x v="2"/>
    <x v="2"/>
    <x v="0"/>
    <s v="BOX1LPEXT"/>
  </r>
  <r>
    <n v="9914"/>
    <x v="34"/>
    <x v="0"/>
    <x v="51"/>
    <d v="2024-02-22T00:00:00"/>
    <x v="0"/>
    <x v="1"/>
    <x v="0"/>
    <n v="94647.5"/>
    <x v="0"/>
    <n v="94647.5"/>
    <n v="84506.696400000001"/>
    <n v="10140.803599999999"/>
    <x v="0"/>
    <x v="0"/>
    <x v="2"/>
    <x v="0"/>
    <x v="0"/>
    <x v="0"/>
    <n v="0"/>
    <n v="94647.5"/>
    <x v="0"/>
    <x v="1"/>
    <x v="0"/>
    <x v="16"/>
    <n v="2890"/>
    <x v="1"/>
    <x v="0"/>
    <x v="0"/>
    <n v="94647.5"/>
    <n v="94647.5"/>
    <n v="2890"/>
    <n v="0"/>
    <x v="0"/>
    <x v="0"/>
    <x v="1"/>
    <s v="300GBOX - 300G BOX CANTON (SPC)"/>
    <x v="0"/>
    <n v="32.75"/>
    <s v="SI512990"/>
    <x v="0"/>
    <x v="0"/>
    <x v="0"/>
    <x v="0"/>
    <x v="0"/>
    <x v="16"/>
    <x v="0"/>
    <x v="16"/>
    <x v="2"/>
    <x v="2"/>
    <x v="0"/>
    <s v="300GBOX"/>
  </r>
  <r>
    <n v="9913"/>
    <x v="59"/>
    <x v="0"/>
    <x v="52"/>
    <d v="2024-01-23T00:00:00"/>
    <x v="0"/>
    <x v="0"/>
    <x v="1"/>
    <n v="1648498.199"/>
    <x v="0"/>
    <n v="1648498.199"/>
    <n v="1471873.392"/>
    <n v="176624.807"/>
    <x v="0"/>
    <x v="0"/>
    <x v="12"/>
    <x v="1"/>
    <x v="0"/>
    <x v="1"/>
    <n v="0"/>
    <n v="1648498.199"/>
    <x v="0"/>
    <x v="1"/>
    <x v="0"/>
    <x v="31"/>
    <n v="23864"/>
    <x v="0"/>
    <x v="0"/>
    <x v="0"/>
    <n v="1648498.199"/>
    <n v="1648498.199"/>
    <n v="23864"/>
    <n v="0"/>
    <x v="0"/>
    <x v="0"/>
    <x v="0"/>
    <s v="SOYA - RBD SOYA BEAN OIL"/>
    <x v="0"/>
    <n v="69.078871899999996"/>
    <s v="SI2023-0570"/>
    <x v="0"/>
    <x v="0"/>
    <x v="1"/>
    <x v="0"/>
    <x v="0"/>
    <x v="31"/>
    <x v="0"/>
    <x v="31"/>
    <x v="0"/>
    <x v="0"/>
    <x v="0"/>
    <s v="SOYA"/>
  </r>
  <r>
    <n v="9912"/>
    <x v="60"/>
    <x v="0"/>
    <x v="52"/>
    <d v="2024-01-23T00:00:00"/>
    <x v="0"/>
    <x v="0"/>
    <x v="1"/>
    <n v="1387572.1486"/>
    <x v="0"/>
    <n v="1387572.1486"/>
    <n v="1238903.7041"/>
    <n v="148668.44450000001"/>
    <x v="0"/>
    <x v="0"/>
    <x v="13"/>
    <x v="1"/>
    <x v="0"/>
    <x v="1"/>
    <n v="0"/>
    <n v="1387572.1486"/>
    <x v="0"/>
    <x v="1"/>
    <x v="0"/>
    <x v="0"/>
    <n v="24126"/>
    <x v="0"/>
    <x v="0"/>
    <x v="0"/>
    <n v="1387572.1486"/>
    <n v="1387572.1486"/>
    <n v="24126"/>
    <n v="0"/>
    <x v="0"/>
    <x v="0"/>
    <x v="0"/>
    <s v="PALMF - RBD PALM OLEIN (FOREIGN)"/>
    <x v="0"/>
    <n v="57.513559999999998"/>
    <s v="MSE231575"/>
    <x v="0"/>
    <x v="0"/>
    <x v="1"/>
    <x v="0"/>
    <x v="0"/>
    <x v="0"/>
    <x v="0"/>
    <x v="0"/>
    <x v="0"/>
    <x v="0"/>
    <x v="0"/>
    <s v="PALMF"/>
  </r>
  <r>
    <n v="9910"/>
    <x v="61"/>
    <x v="0"/>
    <x v="53"/>
    <d v="2024-02-15T00:00:00"/>
    <x v="0"/>
    <x v="0"/>
    <x v="0"/>
    <n v="436.2"/>
    <x v="0"/>
    <n v="436.2"/>
    <n v="389.46429999999998"/>
    <n v="46.735700000000001"/>
    <x v="0"/>
    <x v="0"/>
    <x v="14"/>
    <x v="0"/>
    <x v="0"/>
    <x v="0"/>
    <n v="436.2"/>
    <n v="0"/>
    <x v="0"/>
    <x v="1"/>
    <x v="0"/>
    <x v="11"/>
    <n v="25000"/>
    <x v="2"/>
    <x v="0"/>
    <x v="0"/>
    <n v="436.2"/>
    <n v="436.2"/>
    <n v="25000"/>
    <n v="0"/>
    <x v="0"/>
    <x v="0"/>
    <x v="0"/>
    <s v="LYE - LYE WATER (BAKED BS)"/>
    <x v="0"/>
    <n v="1.7448000000000002E-2"/>
    <s v="SI297474"/>
    <x v="0"/>
    <x v="0"/>
    <x v="0"/>
    <x v="0"/>
    <x v="0"/>
    <x v="11"/>
    <x v="0"/>
    <x v="11"/>
    <x v="4"/>
    <x v="4"/>
    <x v="0"/>
    <s v="LYE"/>
  </r>
  <r>
    <n v="9909"/>
    <x v="62"/>
    <x v="0"/>
    <x v="54"/>
    <d v="2024-02-06T00:00:00"/>
    <x v="0"/>
    <x v="0"/>
    <x v="0"/>
    <n v="87850"/>
    <x v="0"/>
    <n v="87850"/>
    <n v="78437.5"/>
    <n v="9412.5"/>
    <x v="0"/>
    <x v="0"/>
    <x v="5"/>
    <x v="0"/>
    <x v="0"/>
    <x v="0"/>
    <n v="0"/>
    <n v="87850"/>
    <x v="0"/>
    <x v="1"/>
    <x v="0"/>
    <x v="12"/>
    <n v="2500000"/>
    <x v="2"/>
    <x v="0"/>
    <x v="0"/>
    <n v="87850"/>
    <n v="87850"/>
    <n v="2500000"/>
    <n v="0"/>
    <x v="0"/>
    <x v="0"/>
    <x v="0"/>
    <s v="FLOUR - FLOUR (HARINA)"/>
    <x v="0"/>
    <n v="3.5139999999999998E-2"/>
    <s v="DR4130042557"/>
    <x v="0"/>
    <x v="0"/>
    <x v="0"/>
    <x v="0"/>
    <x v="0"/>
    <x v="12"/>
    <x v="0"/>
    <x v="12"/>
    <x v="4"/>
    <x v="4"/>
    <x v="0"/>
    <s v="FLOUR"/>
  </r>
  <r>
    <n v="9908"/>
    <x v="63"/>
    <x v="0"/>
    <x v="54"/>
    <d v="2024-02-06T00:00:00"/>
    <x v="0"/>
    <x v="0"/>
    <x v="0"/>
    <n v="211200"/>
    <x v="0"/>
    <n v="211200"/>
    <n v="188571.42860000001"/>
    <n v="22628.571400000001"/>
    <x v="0"/>
    <x v="0"/>
    <x v="1"/>
    <x v="0"/>
    <x v="0"/>
    <x v="0"/>
    <n v="0"/>
    <n v="211200"/>
    <x v="0"/>
    <x v="1"/>
    <x v="0"/>
    <x v="1"/>
    <n v="8800"/>
    <x v="1"/>
    <x v="0"/>
    <x v="0"/>
    <n v="211200"/>
    <n v="211200"/>
    <n v="8800"/>
    <n v="0"/>
    <x v="0"/>
    <x v="0"/>
    <x v="0"/>
    <s v="BUNKER - BUNKER OIL"/>
    <x v="0"/>
    <n v="24"/>
    <s v="DR24048"/>
    <x v="0"/>
    <x v="0"/>
    <x v="0"/>
    <x v="0"/>
    <x v="0"/>
    <x v="1"/>
    <x v="0"/>
    <x v="1"/>
    <x v="1"/>
    <x v="1"/>
    <x v="0"/>
    <s v="BUNKER"/>
  </r>
  <r>
    <n v="9907"/>
    <x v="64"/>
    <x v="0"/>
    <x v="55"/>
    <d v="2024-02-12T00:00:00"/>
    <x v="0"/>
    <x v="2"/>
    <x v="0"/>
    <n v="118949.5"/>
    <x v="0"/>
    <n v="118949.5"/>
    <n v="106204.91069999999"/>
    <n v="12744.5893"/>
    <x v="0"/>
    <x v="0"/>
    <x v="2"/>
    <x v="0"/>
    <x v="0"/>
    <x v="0"/>
    <n v="0"/>
    <n v="118949.5"/>
    <x v="0"/>
    <x v="1"/>
    <x v="0"/>
    <x v="13"/>
    <n v="10000"/>
    <x v="1"/>
    <x v="0"/>
    <x v="0"/>
    <n v="36500"/>
    <n v="36500"/>
    <n v="10000"/>
    <n v="0"/>
    <x v="0"/>
    <x v="0"/>
    <x v="2"/>
    <s v="BTL500MLP - 500ML BOTTLE PALM [SWAK] (MBC)"/>
    <x v="0"/>
    <n v="3.65"/>
    <s v="DR5982"/>
    <x v="0"/>
    <x v="0"/>
    <x v="0"/>
    <x v="0"/>
    <x v="0"/>
    <x v="13"/>
    <x v="0"/>
    <x v="13"/>
    <x v="3"/>
    <x v="3"/>
    <x v="0"/>
    <s v="BTL500MLP"/>
  </r>
  <r>
    <n v="9907"/>
    <x v="64"/>
    <x v="0"/>
    <x v="55"/>
    <d v="2024-02-12T00:00:00"/>
    <x v="0"/>
    <x v="2"/>
    <x v="0"/>
    <n v="118949.5"/>
    <x v="0"/>
    <n v="118949.5"/>
    <n v="106204.91069999999"/>
    <n v="12744.5893"/>
    <x v="0"/>
    <x v="0"/>
    <x v="2"/>
    <x v="0"/>
    <x v="0"/>
    <x v="0"/>
    <n v="0"/>
    <n v="118949.5"/>
    <x v="0"/>
    <x v="1"/>
    <x v="0"/>
    <x v="14"/>
    <n v="5040"/>
    <x v="1"/>
    <x v="0"/>
    <x v="0"/>
    <n v="16884"/>
    <n v="16884"/>
    <n v="5040"/>
    <n v="0"/>
    <x v="0"/>
    <x v="0"/>
    <x v="2"/>
    <s v="BTL350MLP - 350ML BOTTLE PALM [SWAK] (MBC)"/>
    <x v="0"/>
    <n v="3.35"/>
    <s v="DR5982"/>
    <x v="0"/>
    <x v="0"/>
    <x v="0"/>
    <x v="0"/>
    <x v="0"/>
    <x v="14"/>
    <x v="0"/>
    <x v="14"/>
    <x v="3"/>
    <x v="3"/>
    <x v="0"/>
    <s v="BTL350MLP"/>
  </r>
  <r>
    <n v="9907"/>
    <x v="64"/>
    <x v="0"/>
    <x v="55"/>
    <d v="2024-02-12T00:00:00"/>
    <x v="0"/>
    <x v="2"/>
    <x v="0"/>
    <n v="118949.5"/>
    <x v="0"/>
    <n v="118949.5"/>
    <n v="106204.91069999999"/>
    <n v="12744.5893"/>
    <x v="0"/>
    <x v="0"/>
    <x v="2"/>
    <x v="0"/>
    <x v="0"/>
    <x v="0"/>
    <n v="0"/>
    <n v="118949.5"/>
    <x v="0"/>
    <x v="1"/>
    <x v="0"/>
    <x v="27"/>
    <n v="10010"/>
    <x v="1"/>
    <x v="0"/>
    <x v="0"/>
    <n v="65565.5"/>
    <n v="65565.5"/>
    <n v="10010"/>
    <n v="0"/>
    <x v="0"/>
    <x v="0"/>
    <x v="2"/>
    <s v="BTL1LP - 1LITER BOTTLE PALM [SWAK] (MBC)"/>
    <x v="0"/>
    <n v="6.55"/>
    <s v="DR5982"/>
    <x v="0"/>
    <x v="0"/>
    <x v="0"/>
    <x v="0"/>
    <x v="0"/>
    <x v="27"/>
    <x v="0"/>
    <x v="27"/>
    <x v="3"/>
    <x v="3"/>
    <x v="0"/>
    <s v="BTL1LP"/>
  </r>
  <r>
    <n v="9906"/>
    <x v="65"/>
    <x v="0"/>
    <x v="56"/>
    <d v="2024-02-13T00:00:00"/>
    <x v="0"/>
    <x v="0"/>
    <x v="0"/>
    <n v="1500"/>
    <x v="0"/>
    <n v="1500"/>
    <n v="1339.2856999999999"/>
    <n v="160.71430000000001"/>
    <x v="0"/>
    <x v="0"/>
    <x v="15"/>
    <x v="0"/>
    <x v="0"/>
    <x v="0"/>
    <n v="0"/>
    <n v="1500"/>
    <x v="0"/>
    <x v="1"/>
    <x v="0"/>
    <x v="18"/>
    <n v="50"/>
    <x v="1"/>
    <x v="0"/>
    <x v="0"/>
    <n v="1500"/>
    <n v="1500"/>
    <n v="50"/>
    <n v="0"/>
    <x v="0"/>
    <x v="0"/>
    <x v="0"/>
    <s v="PCKGTAPE - PACKAGING TAPE CLEAR"/>
    <x v="0"/>
    <n v="30"/>
    <s v="DR021324"/>
    <x v="0"/>
    <x v="0"/>
    <x v="0"/>
    <x v="0"/>
    <x v="1"/>
    <x v="18"/>
    <x v="0"/>
    <x v="18"/>
    <x v="5"/>
    <x v="5"/>
    <x v="0"/>
    <s v="PCKGTAPE"/>
  </r>
  <r>
    <n v="9905"/>
    <x v="66"/>
    <x v="0"/>
    <x v="55"/>
    <d v="2024-02-12T00:00:00"/>
    <x v="0"/>
    <x v="0"/>
    <x v="0"/>
    <n v="1500"/>
    <x v="0"/>
    <n v="1500"/>
    <n v="1339.2856999999999"/>
    <n v="160.71430000000001"/>
    <x v="0"/>
    <x v="0"/>
    <x v="16"/>
    <x v="0"/>
    <x v="0"/>
    <x v="0"/>
    <n v="0"/>
    <n v="1500"/>
    <x v="0"/>
    <x v="1"/>
    <x v="0"/>
    <x v="18"/>
    <n v="50"/>
    <x v="1"/>
    <x v="0"/>
    <x v="0"/>
    <n v="1500"/>
    <n v="1500"/>
    <n v="50"/>
    <n v="0"/>
    <x v="0"/>
    <x v="0"/>
    <x v="0"/>
    <s v="PCKGTAPE - PACKAGING TAPE CLEAR"/>
    <x v="0"/>
    <n v="30"/>
    <s v="DR021224"/>
    <x v="0"/>
    <x v="0"/>
    <x v="0"/>
    <x v="0"/>
    <x v="1"/>
    <x v="18"/>
    <x v="0"/>
    <x v="18"/>
    <x v="5"/>
    <x v="5"/>
    <x v="0"/>
    <s v="PCKGTAPE"/>
  </r>
  <r>
    <n v="9904"/>
    <x v="67"/>
    <x v="0"/>
    <x v="57"/>
    <d v="2024-01-27T00:00:00"/>
    <x v="0"/>
    <x v="0"/>
    <x v="0"/>
    <n v="87850"/>
    <x v="0"/>
    <n v="87850"/>
    <n v="78437.5"/>
    <n v="9412.5"/>
    <x v="0"/>
    <x v="0"/>
    <x v="5"/>
    <x v="0"/>
    <x v="0"/>
    <x v="0"/>
    <n v="0"/>
    <n v="87850"/>
    <x v="0"/>
    <x v="1"/>
    <x v="0"/>
    <x v="12"/>
    <n v="2500000"/>
    <x v="2"/>
    <x v="0"/>
    <x v="0"/>
    <n v="87850"/>
    <n v="87850"/>
    <n v="2500000"/>
    <n v="0"/>
    <x v="0"/>
    <x v="0"/>
    <x v="0"/>
    <s v="FLOUR - FLOUR (HARINA)"/>
    <x v="0"/>
    <n v="3.5139999999999998E-2"/>
    <s v="DR4130042339"/>
    <x v="0"/>
    <x v="0"/>
    <x v="0"/>
    <x v="0"/>
    <x v="0"/>
    <x v="12"/>
    <x v="0"/>
    <x v="12"/>
    <x v="4"/>
    <x v="4"/>
    <x v="0"/>
    <s v="FLOUR"/>
  </r>
  <r>
    <n v="9903"/>
    <x v="68"/>
    <x v="0"/>
    <x v="58"/>
    <d v="2024-01-18T00:00:00"/>
    <x v="0"/>
    <x v="0"/>
    <x v="0"/>
    <n v="184000"/>
    <x v="0"/>
    <n v="184000"/>
    <n v="164285.71429999999"/>
    <n v="19714.2857"/>
    <x v="0"/>
    <x v="0"/>
    <x v="1"/>
    <x v="0"/>
    <x v="0"/>
    <x v="0"/>
    <n v="0"/>
    <n v="184000"/>
    <x v="0"/>
    <x v="1"/>
    <x v="0"/>
    <x v="1"/>
    <n v="8000"/>
    <x v="0"/>
    <x v="0"/>
    <x v="0"/>
    <n v="184000"/>
    <n v="184000"/>
    <n v="8000"/>
    <n v="0"/>
    <x v="0"/>
    <x v="0"/>
    <x v="0"/>
    <s v="BUNKER - BUNKER OIL"/>
    <x v="0"/>
    <n v="23"/>
    <s v="DR24047"/>
    <x v="0"/>
    <x v="0"/>
    <x v="0"/>
    <x v="0"/>
    <x v="0"/>
    <x v="1"/>
    <x v="0"/>
    <x v="1"/>
    <x v="1"/>
    <x v="1"/>
    <x v="0"/>
    <s v="BUNKER"/>
  </r>
  <r>
    <n v="9902"/>
    <x v="69"/>
    <x v="0"/>
    <x v="59"/>
    <d v="2023-12-22T00:00:00"/>
    <x v="0"/>
    <x v="0"/>
    <x v="0"/>
    <n v="184000"/>
    <x v="0"/>
    <n v="184000"/>
    <n v="164285.71429999999"/>
    <n v="19714.2857"/>
    <x v="0"/>
    <x v="0"/>
    <x v="1"/>
    <x v="0"/>
    <x v="0"/>
    <x v="0"/>
    <n v="184000"/>
    <n v="0"/>
    <x v="0"/>
    <x v="1"/>
    <x v="0"/>
    <x v="1"/>
    <n v="8000"/>
    <x v="0"/>
    <x v="0"/>
    <x v="0"/>
    <n v="184000"/>
    <n v="184000"/>
    <n v="8000"/>
    <n v="0"/>
    <x v="0"/>
    <x v="0"/>
    <x v="0"/>
    <s v="BUNKER - BUNKER OIL"/>
    <x v="0"/>
    <n v="23"/>
    <s v="DR24044"/>
    <x v="0"/>
    <x v="0"/>
    <x v="0"/>
    <x v="0"/>
    <x v="0"/>
    <x v="1"/>
    <x v="0"/>
    <x v="1"/>
    <x v="1"/>
    <x v="1"/>
    <x v="0"/>
    <s v="BUNKER"/>
  </r>
  <r>
    <n v="9901"/>
    <x v="70"/>
    <x v="0"/>
    <x v="60"/>
    <d v="2023-12-14T00:00:00"/>
    <x v="0"/>
    <x v="0"/>
    <x v="0"/>
    <n v="3000"/>
    <x v="0"/>
    <n v="3000"/>
    <n v="2678.5713999999998"/>
    <n v="321.42860000000002"/>
    <x v="0"/>
    <x v="0"/>
    <x v="4"/>
    <x v="0"/>
    <x v="0"/>
    <x v="0"/>
    <n v="3000"/>
    <n v="0"/>
    <x v="0"/>
    <x v="1"/>
    <x v="0"/>
    <x v="11"/>
    <n v="25000"/>
    <x v="2"/>
    <x v="0"/>
    <x v="0"/>
    <n v="3000"/>
    <n v="3000"/>
    <n v="25000"/>
    <n v="0"/>
    <x v="0"/>
    <x v="0"/>
    <x v="0"/>
    <s v="LYE - LYE WATER (BAKED BS)"/>
    <x v="0"/>
    <n v="0.12"/>
    <s v="DR12142023"/>
    <x v="0"/>
    <x v="0"/>
    <x v="0"/>
    <x v="0"/>
    <x v="0"/>
    <x v="11"/>
    <x v="0"/>
    <x v="11"/>
    <x v="4"/>
    <x v="4"/>
    <x v="0"/>
    <s v="LYE"/>
  </r>
  <r>
    <n v="9900"/>
    <x v="71"/>
    <x v="0"/>
    <x v="61"/>
    <d v="2023-12-05T00:00:00"/>
    <x v="0"/>
    <x v="0"/>
    <x v="0"/>
    <n v="962500"/>
    <x v="0"/>
    <n v="962500"/>
    <n v="859375"/>
    <n v="103125"/>
    <x v="0"/>
    <x v="0"/>
    <x v="17"/>
    <x v="0"/>
    <x v="0"/>
    <x v="0"/>
    <n v="962500"/>
    <n v="0"/>
    <x v="0"/>
    <x v="1"/>
    <x v="0"/>
    <x v="7"/>
    <n v="27500000"/>
    <x v="2"/>
    <x v="0"/>
    <x v="0"/>
    <n v="962500"/>
    <n v="962500"/>
    <n v="27500000"/>
    <n v="0"/>
    <x v="0"/>
    <x v="0"/>
    <x v="0"/>
    <s v="CORN - CORNSTARCH"/>
    <x v="0"/>
    <n v="3.5000000000000003E-2"/>
    <s v="DR37454"/>
    <x v="0"/>
    <x v="0"/>
    <x v="0"/>
    <x v="0"/>
    <x v="0"/>
    <x v="7"/>
    <x v="0"/>
    <x v="7"/>
    <x v="4"/>
    <x v="4"/>
    <x v="0"/>
    <s v="CORN"/>
  </r>
  <r>
    <n v="9899"/>
    <x v="72"/>
    <x v="0"/>
    <x v="62"/>
    <d v="2023-12-07T00:00:00"/>
    <x v="0"/>
    <x v="0"/>
    <x v="0"/>
    <n v="184000"/>
    <x v="0"/>
    <n v="184000"/>
    <n v="164285.71429999999"/>
    <n v="19714.2857"/>
    <x v="0"/>
    <x v="0"/>
    <x v="1"/>
    <x v="0"/>
    <x v="0"/>
    <x v="0"/>
    <n v="184000"/>
    <n v="0"/>
    <x v="0"/>
    <x v="1"/>
    <x v="0"/>
    <x v="1"/>
    <n v="8000"/>
    <x v="0"/>
    <x v="0"/>
    <x v="0"/>
    <n v="184000"/>
    <n v="184000"/>
    <n v="8000"/>
    <n v="0"/>
    <x v="0"/>
    <x v="0"/>
    <x v="0"/>
    <s v="BUNKER - BUNKER OIL"/>
    <x v="0"/>
    <n v="23"/>
    <s v="DR24043"/>
    <x v="0"/>
    <x v="0"/>
    <x v="0"/>
    <x v="0"/>
    <x v="0"/>
    <x v="1"/>
    <x v="0"/>
    <x v="1"/>
    <x v="1"/>
    <x v="1"/>
    <x v="0"/>
    <s v="BUNKER"/>
  </r>
  <r>
    <n v="9898"/>
    <x v="73"/>
    <x v="0"/>
    <x v="63"/>
    <d v="2023-12-09T00:00:00"/>
    <x v="0"/>
    <x v="0"/>
    <x v="1"/>
    <n v="1788027.6348000001"/>
    <x v="0"/>
    <n v="1788027.6348000001"/>
    <n v="1596453.2453999999"/>
    <n v="191574.38939999999"/>
    <x v="0"/>
    <x v="0"/>
    <x v="18"/>
    <x v="1"/>
    <x v="0"/>
    <x v="1"/>
    <n v="0"/>
    <n v="1788027.6348000001"/>
    <x v="0"/>
    <x v="1"/>
    <x v="0"/>
    <x v="32"/>
    <n v="24433"/>
    <x v="0"/>
    <x v="0"/>
    <x v="0"/>
    <n v="1788027.6348000001"/>
    <n v="1788027.6348000001"/>
    <n v="24433"/>
    <n v="0"/>
    <x v="0"/>
    <x v="0"/>
    <x v="0"/>
    <s v="CAN - RBD CANOLA OIL"/>
    <x v="0"/>
    <n v="73.180847"/>
    <s v="MSE231527"/>
    <x v="0"/>
    <x v="0"/>
    <x v="1"/>
    <x v="0"/>
    <x v="0"/>
    <x v="32"/>
    <x v="0"/>
    <x v="32"/>
    <x v="0"/>
    <x v="0"/>
    <x v="0"/>
    <s v="CAN"/>
  </r>
  <r>
    <n v="9897"/>
    <x v="74"/>
    <x v="0"/>
    <x v="64"/>
    <d v="2023-11-26T00:00:00"/>
    <x v="0"/>
    <x v="0"/>
    <x v="0"/>
    <n v="87850"/>
    <x v="0"/>
    <n v="87850"/>
    <n v="78437.5"/>
    <n v="9412.5"/>
    <x v="0"/>
    <x v="0"/>
    <x v="5"/>
    <x v="0"/>
    <x v="0"/>
    <x v="0"/>
    <n v="87850"/>
    <n v="0"/>
    <x v="0"/>
    <x v="1"/>
    <x v="0"/>
    <x v="12"/>
    <n v="2500000"/>
    <x v="2"/>
    <x v="0"/>
    <x v="0"/>
    <n v="87850"/>
    <n v="87850"/>
    <n v="2500000"/>
    <n v="0"/>
    <x v="0"/>
    <x v="0"/>
    <x v="0"/>
    <s v="FLOUR - FLOUR (HARINA)"/>
    <x v="0"/>
    <n v="3.5139999999999998E-2"/>
    <s v="DR4130040482"/>
    <x v="0"/>
    <x v="0"/>
    <x v="0"/>
    <x v="0"/>
    <x v="0"/>
    <x v="12"/>
    <x v="0"/>
    <x v="12"/>
    <x v="4"/>
    <x v="4"/>
    <x v="0"/>
    <s v="FLOUR"/>
  </r>
  <r>
    <n v="9896"/>
    <x v="75"/>
    <x v="0"/>
    <x v="64"/>
    <d v="2023-11-26T00:00:00"/>
    <x v="0"/>
    <x v="0"/>
    <x v="0"/>
    <n v="787500"/>
    <x v="0"/>
    <n v="787500"/>
    <n v="703125"/>
    <n v="84375"/>
    <x v="0"/>
    <x v="0"/>
    <x v="17"/>
    <x v="0"/>
    <x v="0"/>
    <x v="0"/>
    <n v="787500"/>
    <n v="0"/>
    <x v="0"/>
    <x v="1"/>
    <x v="0"/>
    <x v="7"/>
    <n v="22500000"/>
    <x v="2"/>
    <x v="0"/>
    <x v="0"/>
    <n v="787500"/>
    <n v="787500"/>
    <n v="22500000"/>
    <n v="0"/>
    <x v="0"/>
    <x v="0"/>
    <x v="0"/>
    <s v="CORN - CORNSTARCH"/>
    <x v="0"/>
    <n v="3.5000000000000003E-2"/>
    <s v="DR31452"/>
    <x v="0"/>
    <x v="0"/>
    <x v="0"/>
    <x v="0"/>
    <x v="0"/>
    <x v="7"/>
    <x v="0"/>
    <x v="7"/>
    <x v="4"/>
    <x v="4"/>
    <x v="0"/>
    <s v="CORN"/>
  </r>
  <r>
    <n v="9895"/>
    <x v="76"/>
    <x v="0"/>
    <x v="65"/>
    <d v="2023-11-17T00:00:00"/>
    <x v="0"/>
    <x v="0"/>
    <x v="0"/>
    <n v="184000"/>
    <x v="0"/>
    <n v="184000"/>
    <n v="164285.71429999999"/>
    <n v="19714.2857"/>
    <x v="0"/>
    <x v="0"/>
    <x v="1"/>
    <x v="0"/>
    <x v="0"/>
    <x v="0"/>
    <n v="184000"/>
    <n v="0"/>
    <x v="0"/>
    <x v="1"/>
    <x v="0"/>
    <x v="1"/>
    <n v="8000"/>
    <x v="0"/>
    <x v="0"/>
    <x v="0"/>
    <n v="184000"/>
    <n v="184000"/>
    <n v="8000"/>
    <n v="0"/>
    <x v="0"/>
    <x v="0"/>
    <x v="0"/>
    <s v="BUNKER - BUNKER OIL"/>
    <x v="0"/>
    <n v="23"/>
    <s v="DR0024042"/>
    <x v="0"/>
    <x v="0"/>
    <x v="0"/>
    <x v="0"/>
    <x v="0"/>
    <x v="1"/>
    <x v="0"/>
    <x v="1"/>
    <x v="1"/>
    <x v="1"/>
    <x v="0"/>
    <s v="BUNKER"/>
  </r>
  <r>
    <n v="9894"/>
    <x v="77"/>
    <x v="0"/>
    <x v="64"/>
    <d v="2023-11-26T00:00:00"/>
    <x v="0"/>
    <x v="0"/>
    <x v="1"/>
    <n v="1640753.5697999999"/>
    <x v="0"/>
    <n v="1640753.5697999999"/>
    <n v="1464958.5445000001"/>
    <n v="175795.02530000001"/>
    <x v="0"/>
    <x v="0"/>
    <x v="19"/>
    <x v="1"/>
    <x v="0"/>
    <x v="1"/>
    <n v="1640753.5697999999"/>
    <n v="0"/>
    <x v="0"/>
    <x v="1"/>
    <x v="0"/>
    <x v="31"/>
    <n v="23864"/>
    <x v="0"/>
    <x v="0"/>
    <x v="0"/>
    <n v="1640753.5697999999"/>
    <n v="1640753.5697999999"/>
    <n v="23864"/>
    <n v="0"/>
    <x v="0"/>
    <x v="0"/>
    <x v="0"/>
    <s v="SOYA - RBD SOYA BEAN OIL"/>
    <x v="0"/>
    <n v="68.754339999999999"/>
    <s v="SI2023-0540"/>
    <x v="0"/>
    <x v="0"/>
    <x v="1"/>
    <x v="0"/>
    <x v="0"/>
    <x v="31"/>
    <x v="0"/>
    <x v="31"/>
    <x v="0"/>
    <x v="0"/>
    <x v="0"/>
    <s v="SOYA"/>
  </r>
  <r>
    <n v="9893"/>
    <x v="78"/>
    <x v="0"/>
    <x v="66"/>
    <d v="2023-11-18T00:00:00"/>
    <x v="0"/>
    <x v="0"/>
    <x v="1"/>
    <n v="1480465.6869000001"/>
    <x v="0"/>
    <n v="1480465.6869000001"/>
    <n v="1321844.3633000001"/>
    <n v="158621.3236"/>
    <x v="0"/>
    <x v="0"/>
    <x v="20"/>
    <x v="1"/>
    <x v="0"/>
    <x v="1"/>
    <n v="1480465.6869000001"/>
    <n v="0"/>
    <x v="0"/>
    <x v="1"/>
    <x v="0"/>
    <x v="0"/>
    <n v="24092"/>
    <x v="0"/>
    <x v="0"/>
    <x v="0"/>
    <n v="1480465.6869000001"/>
    <n v="1480465.6869000001"/>
    <n v="24092"/>
    <n v="0"/>
    <x v="0"/>
    <x v="0"/>
    <x v="0"/>
    <s v="PALMF - RBD PALM OLEIN (FOREIGN)"/>
    <x v="0"/>
    <n v="61.450510000000001"/>
    <s v="SI2023-0500"/>
    <x v="0"/>
    <x v="0"/>
    <x v="1"/>
    <x v="0"/>
    <x v="0"/>
    <x v="0"/>
    <x v="0"/>
    <x v="0"/>
    <x v="0"/>
    <x v="0"/>
    <x v="0"/>
    <s v="PALMF"/>
  </r>
  <r>
    <n v="9892"/>
    <x v="79"/>
    <x v="0"/>
    <x v="67"/>
    <d v="2023-11-14T00:00:00"/>
    <x v="0"/>
    <x v="0"/>
    <x v="1"/>
    <n v="1523377.5814"/>
    <x v="0"/>
    <n v="1523377.5814"/>
    <n v="1360158.5548"/>
    <n v="163219.02660000001"/>
    <x v="0"/>
    <x v="0"/>
    <x v="20"/>
    <x v="1"/>
    <x v="0"/>
    <x v="1"/>
    <n v="1523377.5814"/>
    <n v="0"/>
    <x v="0"/>
    <x v="1"/>
    <x v="0"/>
    <x v="0"/>
    <n v="24046"/>
    <x v="0"/>
    <x v="0"/>
    <x v="0"/>
    <n v="1523377.5814"/>
    <n v="1523377.5814"/>
    <n v="24046"/>
    <n v="0"/>
    <x v="0"/>
    <x v="0"/>
    <x v="0"/>
    <s v="PALMF - RBD PALM OLEIN (FOREIGN)"/>
    <x v="0"/>
    <n v="63.352640000000001"/>
    <s v="SI2023-0430"/>
    <x v="0"/>
    <x v="0"/>
    <x v="1"/>
    <x v="0"/>
    <x v="0"/>
    <x v="0"/>
    <x v="0"/>
    <x v="0"/>
    <x v="0"/>
    <x v="0"/>
    <x v="0"/>
    <s v="PALMF"/>
  </r>
  <r>
    <n v="9891"/>
    <x v="80"/>
    <x v="0"/>
    <x v="68"/>
    <d v="2023-11-10T00:00:00"/>
    <x v="0"/>
    <x v="0"/>
    <x v="0"/>
    <n v="300"/>
    <x v="0"/>
    <n v="300"/>
    <n v="267.8571"/>
    <n v="32.142899999999997"/>
    <x v="0"/>
    <x v="0"/>
    <x v="4"/>
    <x v="0"/>
    <x v="0"/>
    <x v="0"/>
    <n v="300"/>
    <n v="0"/>
    <x v="0"/>
    <x v="1"/>
    <x v="0"/>
    <x v="11"/>
    <n v="25000"/>
    <x v="2"/>
    <x v="0"/>
    <x v="0"/>
    <n v="300"/>
    <n v="300"/>
    <n v="25000"/>
    <n v="0"/>
    <x v="0"/>
    <x v="0"/>
    <x v="0"/>
    <s v="LYE - LYE WATER (BAKED BS)"/>
    <x v="0"/>
    <n v="1.2E-2"/>
    <s v="DR11102023"/>
    <x v="0"/>
    <x v="0"/>
    <x v="0"/>
    <x v="0"/>
    <x v="0"/>
    <x v="11"/>
    <x v="0"/>
    <x v="11"/>
    <x v="4"/>
    <x v="4"/>
    <x v="0"/>
    <s v="LYE"/>
  </r>
  <r>
    <n v="9890"/>
    <x v="81"/>
    <x v="0"/>
    <x v="69"/>
    <d v="2023-11-11T00:00:00"/>
    <x v="0"/>
    <x v="0"/>
    <x v="0"/>
    <n v="87850"/>
    <x v="0"/>
    <n v="87850"/>
    <n v="78437.5"/>
    <n v="9412.5"/>
    <x v="0"/>
    <x v="0"/>
    <x v="5"/>
    <x v="0"/>
    <x v="0"/>
    <x v="0"/>
    <n v="87850"/>
    <n v="0"/>
    <x v="0"/>
    <x v="1"/>
    <x v="0"/>
    <x v="12"/>
    <n v="2500000"/>
    <x v="2"/>
    <x v="0"/>
    <x v="0"/>
    <n v="87850"/>
    <n v="87850"/>
    <n v="2500000"/>
    <n v="0"/>
    <x v="0"/>
    <x v="0"/>
    <x v="0"/>
    <s v="FLOUR - FLOUR (HARINA)"/>
    <x v="0"/>
    <n v="3.5139999999999998E-2"/>
    <s v="DR4130039960"/>
    <x v="0"/>
    <x v="0"/>
    <x v="0"/>
    <x v="0"/>
    <x v="0"/>
    <x v="12"/>
    <x v="0"/>
    <x v="12"/>
    <x v="4"/>
    <x v="4"/>
    <x v="0"/>
    <s v="FLOUR"/>
  </r>
  <r>
    <n v="9889"/>
    <x v="82"/>
    <x v="0"/>
    <x v="70"/>
    <d v="2023-11-04T00:00:00"/>
    <x v="0"/>
    <x v="0"/>
    <x v="1"/>
    <n v="1374776.1954999999"/>
    <x v="0"/>
    <n v="1374776.1954999999"/>
    <n v="1227478.746"/>
    <n v="147297.44949999999"/>
    <x v="0"/>
    <x v="0"/>
    <x v="21"/>
    <x v="1"/>
    <x v="0"/>
    <x v="1"/>
    <n v="1374776.1954999999"/>
    <n v="0"/>
    <x v="0"/>
    <x v="1"/>
    <x v="0"/>
    <x v="0"/>
    <n v="24274"/>
    <x v="0"/>
    <x v="0"/>
    <x v="0"/>
    <n v="1374776.1954999999"/>
    <n v="1374776.1954999999"/>
    <n v="24274"/>
    <n v="0"/>
    <x v="0"/>
    <x v="0"/>
    <x v="0"/>
    <s v="PALMF - RBD PALM OLEIN (FOREIGN)"/>
    <x v="0"/>
    <n v="56.635750000000002"/>
    <s v="SI6662023"/>
    <x v="0"/>
    <x v="0"/>
    <x v="1"/>
    <x v="0"/>
    <x v="0"/>
    <x v="0"/>
    <x v="0"/>
    <x v="0"/>
    <x v="0"/>
    <x v="0"/>
    <x v="0"/>
    <s v="PALMF"/>
  </r>
  <r>
    <n v="9888"/>
    <x v="83"/>
    <x v="0"/>
    <x v="71"/>
    <d v="2023-10-28T00:00:00"/>
    <x v="0"/>
    <x v="0"/>
    <x v="0"/>
    <n v="87850"/>
    <x v="0"/>
    <n v="87850"/>
    <n v="78437.5"/>
    <n v="9412.5"/>
    <x v="0"/>
    <x v="0"/>
    <x v="5"/>
    <x v="0"/>
    <x v="0"/>
    <x v="0"/>
    <n v="87850"/>
    <n v="0"/>
    <x v="0"/>
    <x v="1"/>
    <x v="0"/>
    <x v="12"/>
    <n v="2500000"/>
    <x v="2"/>
    <x v="0"/>
    <x v="0"/>
    <n v="87850"/>
    <n v="87850"/>
    <n v="2500000"/>
    <n v="0"/>
    <x v="0"/>
    <x v="0"/>
    <x v="0"/>
    <s v="FLOUR - FLOUR (HARINA)"/>
    <x v="0"/>
    <n v="3.5139999999999998E-2"/>
    <s v="DR4130039594"/>
    <x v="0"/>
    <x v="0"/>
    <x v="0"/>
    <x v="0"/>
    <x v="0"/>
    <x v="12"/>
    <x v="0"/>
    <x v="12"/>
    <x v="4"/>
    <x v="4"/>
    <x v="0"/>
    <s v="FLOUR"/>
  </r>
  <r>
    <n v="9887"/>
    <x v="84"/>
    <x v="0"/>
    <x v="72"/>
    <d v="2023-10-21T00:00:00"/>
    <x v="0"/>
    <x v="0"/>
    <x v="0"/>
    <n v="41800"/>
    <x v="0"/>
    <n v="41800"/>
    <n v="37321.428599999999"/>
    <n v="4478.5713999999998"/>
    <x v="0"/>
    <x v="0"/>
    <x v="5"/>
    <x v="0"/>
    <x v="0"/>
    <x v="0"/>
    <n v="41800"/>
    <n v="0"/>
    <x v="0"/>
    <x v="1"/>
    <x v="0"/>
    <x v="33"/>
    <n v="1250000"/>
    <x v="2"/>
    <x v="0"/>
    <x v="0"/>
    <n v="41800"/>
    <n v="41800"/>
    <n v="1250000"/>
    <n v="0"/>
    <x v="0"/>
    <x v="0"/>
    <x v="0"/>
    <s v="FLOURLC - FLOUR (HARINA LC)"/>
    <x v="0"/>
    <n v="3.3439999999999998E-2"/>
    <s v="DR4130039278"/>
    <x v="0"/>
    <x v="0"/>
    <x v="0"/>
    <x v="0"/>
    <x v="0"/>
    <x v="33"/>
    <x v="0"/>
    <x v="33"/>
    <x v="4"/>
    <x v="4"/>
    <x v="0"/>
    <s v="FLOURLC"/>
  </r>
  <r>
    <n v="9886"/>
    <x v="85"/>
    <x v="0"/>
    <x v="73"/>
    <d v="2023-10-23T00:00:00"/>
    <x v="0"/>
    <x v="0"/>
    <x v="1"/>
    <n v="1211541.7904999999"/>
    <x v="0"/>
    <n v="1211541.7904999999"/>
    <n v="1081733.7415"/>
    <n v="129808.049"/>
    <x v="0"/>
    <x v="0"/>
    <x v="22"/>
    <x v="1"/>
    <x v="0"/>
    <x v="1"/>
    <n v="1211541.7904999999"/>
    <n v="0"/>
    <x v="0"/>
    <x v="1"/>
    <x v="0"/>
    <x v="24"/>
    <n v="23535"/>
    <x v="0"/>
    <x v="0"/>
    <x v="0"/>
    <n v="1211541.7904999999"/>
    <n v="1211541.7904999999"/>
    <n v="23535"/>
    <n v="0"/>
    <x v="0"/>
    <x v="0"/>
    <x v="0"/>
    <s v="COCO - RBD COCONUT OIL"/>
    <x v="0"/>
    <n v="51.478299999999997"/>
    <s v="DR221000000385"/>
    <x v="0"/>
    <x v="0"/>
    <x v="1"/>
    <x v="0"/>
    <x v="0"/>
    <x v="24"/>
    <x v="0"/>
    <x v="24"/>
    <x v="0"/>
    <x v="0"/>
    <x v="0"/>
    <s v="COCO"/>
  </r>
  <r>
    <n v="9885"/>
    <x v="86"/>
    <x v="0"/>
    <x v="74"/>
    <d v="2023-10-17T00:00:00"/>
    <x v="0"/>
    <x v="0"/>
    <x v="0"/>
    <n v="429160"/>
    <x v="0"/>
    <n v="429160"/>
    <n v="383178.57140000002"/>
    <n v="45981.428599999999"/>
    <x v="0"/>
    <x v="0"/>
    <x v="23"/>
    <x v="0"/>
    <x v="0"/>
    <x v="0"/>
    <n v="429160"/>
    <n v="0"/>
    <x v="0"/>
    <x v="1"/>
    <x v="0"/>
    <x v="34"/>
    <n v="300000"/>
    <x v="2"/>
    <x v="0"/>
    <x v="0"/>
    <n v="184770"/>
    <n v="184770"/>
    <n v="300000"/>
    <n v="0"/>
    <x v="0"/>
    <x v="0"/>
    <x v="0"/>
    <s v="CMC - CELLULOSE (CMC)"/>
    <x v="0"/>
    <n v="0.6159"/>
    <s v="DR10172023"/>
    <x v="0"/>
    <x v="0"/>
    <x v="0"/>
    <x v="0"/>
    <x v="0"/>
    <x v="34"/>
    <x v="0"/>
    <x v="34"/>
    <x v="4"/>
    <x v="4"/>
    <x v="0"/>
    <s v="CMC"/>
  </r>
  <r>
    <n v="9885"/>
    <x v="86"/>
    <x v="0"/>
    <x v="74"/>
    <d v="2023-10-17T00:00:00"/>
    <x v="0"/>
    <x v="0"/>
    <x v="0"/>
    <n v="429160"/>
    <x v="0"/>
    <n v="429160"/>
    <n v="383178.57140000002"/>
    <n v="45981.428599999999"/>
    <x v="0"/>
    <x v="0"/>
    <x v="23"/>
    <x v="0"/>
    <x v="0"/>
    <x v="0"/>
    <n v="429160"/>
    <n v="0"/>
    <x v="0"/>
    <x v="1"/>
    <x v="0"/>
    <x v="35"/>
    <n v="200000"/>
    <x v="2"/>
    <x v="0"/>
    <x v="0"/>
    <n v="131140"/>
    <n v="131140"/>
    <n v="200000"/>
    <n v="0"/>
    <x v="0"/>
    <x v="0"/>
    <x v="0"/>
    <s v="NENKYO - NENKYO (MAMA NEN)"/>
    <x v="0"/>
    <n v="0.65569999999999995"/>
    <s v="DR10172023"/>
    <x v="0"/>
    <x v="0"/>
    <x v="0"/>
    <x v="0"/>
    <x v="0"/>
    <x v="35"/>
    <x v="0"/>
    <x v="35"/>
    <x v="4"/>
    <x v="4"/>
    <x v="0"/>
    <s v="NENKYO"/>
  </r>
  <r>
    <n v="9885"/>
    <x v="86"/>
    <x v="0"/>
    <x v="74"/>
    <d v="2023-10-17T00:00:00"/>
    <x v="0"/>
    <x v="0"/>
    <x v="0"/>
    <n v="429160"/>
    <x v="0"/>
    <n v="429160"/>
    <n v="383178.57140000002"/>
    <n v="45981.428599999999"/>
    <x v="0"/>
    <x v="0"/>
    <x v="23"/>
    <x v="0"/>
    <x v="0"/>
    <x v="0"/>
    <n v="429160"/>
    <n v="0"/>
    <x v="0"/>
    <x v="1"/>
    <x v="0"/>
    <x v="36"/>
    <n v="300000"/>
    <x v="2"/>
    <x v="0"/>
    <x v="0"/>
    <n v="113250"/>
    <n v="113250"/>
    <n v="300000"/>
    <n v="0"/>
    <x v="0"/>
    <x v="0"/>
    <x v="0"/>
    <s v="PORERENE - PORERENE (PAPA PORON)"/>
    <x v="0"/>
    <n v="0.3775"/>
    <s v="DR10172023"/>
    <x v="0"/>
    <x v="0"/>
    <x v="0"/>
    <x v="0"/>
    <x v="0"/>
    <x v="36"/>
    <x v="0"/>
    <x v="36"/>
    <x v="4"/>
    <x v="4"/>
    <x v="0"/>
    <s v="PORERENE"/>
  </r>
  <r>
    <n v="9884"/>
    <x v="87"/>
    <x v="0"/>
    <x v="75"/>
    <d v="2023-10-04T00:00:00"/>
    <x v="0"/>
    <x v="0"/>
    <x v="0"/>
    <n v="15300"/>
    <x v="0"/>
    <n v="15300"/>
    <n v="13660.7143"/>
    <n v="1639.2856999999999"/>
    <x v="0"/>
    <x v="0"/>
    <x v="24"/>
    <x v="0"/>
    <x v="0"/>
    <x v="0"/>
    <n v="15300"/>
    <n v="0"/>
    <x v="0"/>
    <x v="1"/>
    <x v="0"/>
    <x v="18"/>
    <n v="600"/>
    <x v="1"/>
    <x v="0"/>
    <x v="0"/>
    <n v="15300"/>
    <n v="15300"/>
    <n v="600"/>
    <n v="0"/>
    <x v="0"/>
    <x v="0"/>
    <x v="0"/>
    <s v="PCKGTAPE - PACKAGING TAPE CLEAR"/>
    <x v="0"/>
    <n v="25.5"/>
    <s v="DR922"/>
    <x v="0"/>
    <x v="0"/>
    <x v="0"/>
    <x v="0"/>
    <x v="0"/>
    <x v="18"/>
    <x v="0"/>
    <x v="18"/>
    <x v="5"/>
    <x v="5"/>
    <x v="0"/>
    <s v="PCKGTAPE"/>
  </r>
  <r>
    <n v="9883"/>
    <x v="88"/>
    <x v="0"/>
    <x v="76"/>
    <d v="2023-09-23T00:00:00"/>
    <x v="0"/>
    <x v="0"/>
    <x v="0"/>
    <n v="165600"/>
    <x v="0"/>
    <n v="165600"/>
    <n v="147857.14290000001"/>
    <n v="17742.857100000001"/>
    <x v="0"/>
    <x v="0"/>
    <x v="1"/>
    <x v="0"/>
    <x v="0"/>
    <x v="0"/>
    <n v="165600"/>
    <n v="0"/>
    <x v="0"/>
    <x v="1"/>
    <x v="0"/>
    <x v="1"/>
    <n v="7200"/>
    <x v="0"/>
    <x v="0"/>
    <x v="0"/>
    <n v="165600"/>
    <n v="165600"/>
    <n v="7200"/>
    <n v="0"/>
    <x v="0"/>
    <x v="0"/>
    <x v="0"/>
    <s v="BUNKER - BUNKER OIL"/>
    <x v="0"/>
    <n v="23"/>
    <s v="DR27007"/>
    <x v="0"/>
    <x v="0"/>
    <x v="0"/>
    <x v="0"/>
    <x v="0"/>
    <x v="1"/>
    <x v="0"/>
    <x v="1"/>
    <x v="1"/>
    <x v="1"/>
    <x v="0"/>
    <s v="BUNKER"/>
  </r>
  <r>
    <n v="9882"/>
    <x v="89"/>
    <x v="0"/>
    <x v="77"/>
    <d v="2023-09-19T00:00:00"/>
    <x v="0"/>
    <x v="0"/>
    <x v="0"/>
    <n v="4500"/>
    <x v="0"/>
    <n v="4500"/>
    <n v="4017.8571000000002"/>
    <n v="482.1429"/>
    <x v="0"/>
    <x v="0"/>
    <x v="25"/>
    <x v="0"/>
    <x v="0"/>
    <x v="0"/>
    <n v="4500"/>
    <n v="0"/>
    <x v="0"/>
    <x v="1"/>
    <x v="0"/>
    <x v="6"/>
    <n v="500000"/>
    <x v="2"/>
    <x v="0"/>
    <x v="0"/>
    <n v="4500"/>
    <n v="4500"/>
    <n v="500000"/>
    <n v="0"/>
    <x v="0"/>
    <x v="0"/>
    <x v="0"/>
    <s v="SALT - SALT IODIZED (SALINE)"/>
    <x v="0"/>
    <n v="8.9999999999999993E-3"/>
    <s v="DR364158"/>
    <x v="0"/>
    <x v="0"/>
    <x v="0"/>
    <x v="0"/>
    <x v="0"/>
    <x v="6"/>
    <x v="0"/>
    <x v="6"/>
    <x v="4"/>
    <x v="4"/>
    <x v="0"/>
    <s v="SALT"/>
  </r>
  <r>
    <n v="9881"/>
    <x v="5"/>
    <x v="0"/>
    <x v="77"/>
    <d v="2023-09-19T00:00:00"/>
    <x v="0"/>
    <x v="0"/>
    <x v="0"/>
    <n v="417500"/>
    <x v="0"/>
    <n v="417500"/>
    <n v="372767.85710000002"/>
    <n v="44732.142899999999"/>
    <x v="0"/>
    <x v="0"/>
    <x v="17"/>
    <x v="0"/>
    <x v="0"/>
    <x v="0"/>
    <n v="417500"/>
    <n v="0"/>
    <x v="0"/>
    <x v="1"/>
    <x v="0"/>
    <x v="7"/>
    <n v="12500000"/>
    <x v="2"/>
    <x v="0"/>
    <x v="0"/>
    <n v="417500"/>
    <n v="417500"/>
    <n v="12500000"/>
    <n v="0"/>
    <x v="0"/>
    <x v="0"/>
    <x v="0"/>
    <s v="CORN - CORNSTARCH"/>
    <x v="0"/>
    <n v="3.3399999999999999E-2"/>
    <s v="SI9092"/>
    <x v="0"/>
    <x v="0"/>
    <x v="0"/>
    <x v="0"/>
    <x v="0"/>
    <x v="7"/>
    <x v="0"/>
    <x v="7"/>
    <x v="4"/>
    <x v="4"/>
    <x v="0"/>
    <s v="CORN"/>
  </r>
  <r>
    <n v="9880"/>
    <x v="9"/>
    <x v="0"/>
    <x v="78"/>
    <d v="2023-09-18T00:00:00"/>
    <x v="0"/>
    <x v="0"/>
    <x v="0"/>
    <n v="300"/>
    <x v="0"/>
    <n v="300"/>
    <n v="267.8571"/>
    <n v="32.142899999999997"/>
    <x v="0"/>
    <x v="0"/>
    <x v="4"/>
    <x v="0"/>
    <x v="0"/>
    <x v="0"/>
    <n v="300"/>
    <n v="0"/>
    <x v="0"/>
    <x v="1"/>
    <x v="0"/>
    <x v="11"/>
    <n v="25000"/>
    <x v="2"/>
    <x v="0"/>
    <x v="0"/>
    <n v="300"/>
    <n v="300"/>
    <n v="25000"/>
    <n v="0"/>
    <x v="0"/>
    <x v="0"/>
    <x v="0"/>
    <s v="LYE - LYE WATER (BAKED BS)"/>
    <x v="0"/>
    <n v="1.2E-2"/>
    <s v="DR09182023"/>
    <x v="0"/>
    <x v="0"/>
    <x v="0"/>
    <x v="0"/>
    <x v="0"/>
    <x v="11"/>
    <x v="0"/>
    <x v="11"/>
    <x v="4"/>
    <x v="4"/>
    <x v="0"/>
    <s v="LYE"/>
  </r>
  <r>
    <n v="9878"/>
    <x v="20"/>
    <x v="0"/>
    <x v="79"/>
    <d v="2023-09-15T00:00:00"/>
    <x v="0"/>
    <x v="0"/>
    <x v="0"/>
    <n v="129650"/>
    <x v="0"/>
    <n v="129650"/>
    <n v="115758.9286"/>
    <n v="13891.071400000001"/>
    <x v="0"/>
    <x v="0"/>
    <x v="5"/>
    <x v="0"/>
    <x v="0"/>
    <x v="0"/>
    <n v="129650"/>
    <n v="0"/>
    <x v="0"/>
    <x v="1"/>
    <x v="0"/>
    <x v="12"/>
    <n v="2500000"/>
    <x v="2"/>
    <x v="0"/>
    <x v="0"/>
    <n v="87850"/>
    <n v="87850"/>
    <n v="2500000"/>
    <n v="0"/>
    <x v="0"/>
    <x v="0"/>
    <x v="0"/>
    <s v="FLOUR - FLOUR (HARINA)"/>
    <x v="0"/>
    <n v="3.5139999999999998E-2"/>
    <s v="DR4130038132"/>
    <x v="0"/>
    <x v="0"/>
    <x v="0"/>
    <x v="0"/>
    <x v="0"/>
    <x v="12"/>
    <x v="0"/>
    <x v="12"/>
    <x v="4"/>
    <x v="4"/>
    <x v="0"/>
    <s v="FLOUR"/>
  </r>
  <r>
    <n v="9878"/>
    <x v="20"/>
    <x v="0"/>
    <x v="79"/>
    <d v="2023-09-15T00:00:00"/>
    <x v="0"/>
    <x v="0"/>
    <x v="0"/>
    <n v="129650"/>
    <x v="0"/>
    <n v="129650"/>
    <n v="115758.9286"/>
    <n v="13891.071400000001"/>
    <x v="0"/>
    <x v="0"/>
    <x v="5"/>
    <x v="0"/>
    <x v="0"/>
    <x v="0"/>
    <n v="129650"/>
    <n v="0"/>
    <x v="0"/>
    <x v="1"/>
    <x v="0"/>
    <x v="33"/>
    <n v="1250000"/>
    <x v="2"/>
    <x v="0"/>
    <x v="0"/>
    <n v="41800"/>
    <n v="41800"/>
    <n v="1250000"/>
    <n v="0"/>
    <x v="0"/>
    <x v="0"/>
    <x v="0"/>
    <s v="FLOURLC - FLOUR (HARINA LC)"/>
    <x v="0"/>
    <n v="3.3439999999999998E-2"/>
    <s v="DR4130038132"/>
    <x v="0"/>
    <x v="0"/>
    <x v="0"/>
    <x v="0"/>
    <x v="0"/>
    <x v="33"/>
    <x v="0"/>
    <x v="33"/>
    <x v="4"/>
    <x v="4"/>
    <x v="0"/>
    <s v="FLOURLC"/>
  </r>
  <r>
    <n v="9877"/>
    <x v="24"/>
    <x v="0"/>
    <x v="80"/>
    <d v="2023-09-10T00:00:00"/>
    <x v="0"/>
    <x v="0"/>
    <x v="0"/>
    <n v="13020"/>
    <x v="0"/>
    <n v="13020"/>
    <n v="11625"/>
    <n v="1395"/>
    <x v="0"/>
    <x v="0"/>
    <x v="26"/>
    <x v="0"/>
    <x v="0"/>
    <x v="0"/>
    <n v="13020"/>
    <n v="0"/>
    <x v="0"/>
    <x v="1"/>
    <x v="0"/>
    <x v="37"/>
    <n v="62000"/>
    <x v="2"/>
    <x v="0"/>
    <x v="0"/>
    <n v="13020"/>
    <n v="13020"/>
    <n v="62000"/>
    <n v="0"/>
    <x v="0"/>
    <x v="0"/>
    <x v="0"/>
    <s v="GINISA - GINISA MIX (ADDITIVES)"/>
    <x v="0"/>
    <n v="0.21"/>
    <s v="DR6560"/>
    <x v="0"/>
    <x v="0"/>
    <x v="0"/>
    <x v="0"/>
    <x v="0"/>
    <x v="37"/>
    <x v="0"/>
    <x v="37"/>
    <x v="4"/>
    <x v="4"/>
    <x v="0"/>
    <s v="GINISA"/>
  </r>
  <r>
    <n v="9876"/>
    <x v="36"/>
    <x v="0"/>
    <x v="81"/>
    <d v="2023-09-07T00:00:00"/>
    <x v="0"/>
    <x v="0"/>
    <x v="0"/>
    <n v="92000"/>
    <x v="0"/>
    <n v="92000"/>
    <n v="82142.857099999994"/>
    <n v="9857.1429000000007"/>
    <x v="0"/>
    <x v="0"/>
    <x v="1"/>
    <x v="0"/>
    <x v="0"/>
    <x v="0"/>
    <n v="92000"/>
    <n v="0"/>
    <x v="0"/>
    <x v="1"/>
    <x v="0"/>
    <x v="1"/>
    <n v="4000"/>
    <x v="0"/>
    <x v="0"/>
    <x v="0"/>
    <n v="92000"/>
    <n v="92000"/>
    <n v="4000"/>
    <n v="0"/>
    <x v="0"/>
    <x v="0"/>
    <x v="0"/>
    <s v="BUNKER - BUNKER OIL"/>
    <x v="0"/>
    <n v="23"/>
    <s v="DR27005"/>
    <x v="0"/>
    <x v="0"/>
    <x v="0"/>
    <x v="0"/>
    <x v="0"/>
    <x v="1"/>
    <x v="0"/>
    <x v="1"/>
    <x v="1"/>
    <x v="1"/>
    <x v="0"/>
    <s v="BUNKER"/>
  </r>
  <r>
    <n v="9875"/>
    <x v="38"/>
    <x v="0"/>
    <x v="82"/>
    <d v="2023-09-04T00:00:00"/>
    <x v="0"/>
    <x v="0"/>
    <x v="0"/>
    <n v="1770"/>
    <x v="0"/>
    <n v="1770"/>
    <n v="1580.3570999999999"/>
    <n v="189.6429"/>
    <x v="0"/>
    <x v="0"/>
    <x v="4"/>
    <x v="0"/>
    <x v="0"/>
    <x v="0"/>
    <n v="1770"/>
    <n v="0"/>
    <x v="0"/>
    <x v="1"/>
    <x v="0"/>
    <x v="11"/>
    <n v="10000"/>
    <x v="2"/>
    <x v="0"/>
    <x v="0"/>
    <n v="120"/>
    <n v="120"/>
    <n v="10000"/>
    <n v="0"/>
    <x v="0"/>
    <x v="0"/>
    <x v="0"/>
    <s v="LYE - LYE WATER (BAKED BS)"/>
    <x v="0"/>
    <n v="1.2E-2"/>
    <s v="DR09042023"/>
    <x v="0"/>
    <x v="0"/>
    <x v="0"/>
    <x v="0"/>
    <x v="0"/>
    <x v="11"/>
    <x v="0"/>
    <x v="11"/>
    <x v="4"/>
    <x v="4"/>
    <x v="0"/>
    <s v="LYE"/>
  </r>
  <r>
    <n v="9875"/>
    <x v="38"/>
    <x v="0"/>
    <x v="82"/>
    <d v="2023-09-04T00:00:00"/>
    <x v="0"/>
    <x v="0"/>
    <x v="0"/>
    <n v="1770"/>
    <x v="0"/>
    <n v="1770"/>
    <n v="1580.3570999999999"/>
    <n v="189.6429"/>
    <x v="0"/>
    <x v="0"/>
    <x v="4"/>
    <x v="0"/>
    <x v="0"/>
    <x v="0"/>
    <n v="1770"/>
    <n v="0"/>
    <x v="0"/>
    <x v="1"/>
    <x v="0"/>
    <x v="6"/>
    <n v="125000"/>
    <x v="2"/>
    <x v="0"/>
    <x v="0"/>
    <n v="1650"/>
    <n v="1650"/>
    <n v="125000"/>
    <n v="0"/>
    <x v="0"/>
    <x v="0"/>
    <x v="0"/>
    <s v="SALT - SALT IODIZED (SALINE)"/>
    <x v="0"/>
    <n v="1.32E-2"/>
    <s v="DR09042023"/>
    <x v="0"/>
    <x v="0"/>
    <x v="0"/>
    <x v="0"/>
    <x v="0"/>
    <x v="6"/>
    <x v="0"/>
    <x v="6"/>
    <x v="4"/>
    <x v="4"/>
    <x v="0"/>
    <s v="SALT"/>
  </r>
  <r>
    <n v="9874"/>
    <x v="41"/>
    <x v="0"/>
    <x v="83"/>
    <d v="2023-09-03T00:00:00"/>
    <x v="0"/>
    <x v="0"/>
    <x v="0"/>
    <n v="129400"/>
    <x v="0"/>
    <n v="129400"/>
    <n v="115535.71430000001"/>
    <n v="13864.2857"/>
    <x v="0"/>
    <x v="0"/>
    <x v="5"/>
    <x v="0"/>
    <x v="0"/>
    <x v="0"/>
    <n v="129400"/>
    <n v="0"/>
    <x v="0"/>
    <x v="1"/>
    <x v="0"/>
    <x v="12"/>
    <n v="2500000"/>
    <x v="2"/>
    <x v="0"/>
    <x v="0"/>
    <n v="87600"/>
    <n v="87600"/>
    <n v="2500000"/>
    <n v="0"/>
    <x v="0"/>
    <x v="0"/>
    <x v="0"/>
    <s v="FLOUR - FLOUR (HARINA)"/>
    <x v="0"/>
    <n v="3.5040000000000002E-2"/>
    <s v="DR4130037701"/>
    <x v="0"/>
    <x v="0"/>
    <x v="0"/>
    <x v="0"/>
    <x v="0"/>
    <x v="12"/>
    <x v="0"/>
    <x v="12"/>
    <x v="4"/>
    <x v="4"/>
    <x v="0"/>
    <s v="FLOUR"/>
  </r>
  <r>
    <n v="9874"/>
    <x v="41"/>
    <x v="0"/>
    <x v="83"/>
    <d v="2023-09-03T00:00:00"/>
    <x v="0"/>
    <x v="0"/>
    <x v="0"/>
    <n v="129400"/>
    <x v="0"/>
    <n v="129400"/>
    <n v="115535.71430000001"/>
    <n v="13864.2857"/>
    <x v="0"/>
    <x v="0"/>
    <x v="5"/>
    <x v="0"/>
    <x v="0"/>
    <x v="0"/>
    <n v="129400"/>
    <n v="0"/>
    <x v="0"/>
    <x v="1"/>
    <x v="0"/>
    <x v="33"/>
    <n v="1250000"/>
    <x v="2"/>
    <x v="0"/>
    <x v="0"/>
    <n v="41800"/>
    <n v="41800"/>
    <n v="1250000"/>
    <n v="0"/>
    <x v="0"/>
    <x v="0"/>
    <x v="0"/>
    <s v="FLOURLC - FLOUR (HARINA LC)"/>
    <x v="0"/>
    <n v="3.3439999999999998E-2"/>
    <s v="DR4130037701"/>
    <x v="0"/>
    <x v="0"/>
    <x v="0"/>
    <x v="0"/>
    <x v="0"/>
    <x v="33"/>
    <x v="0"/>
    <x v="33"/>
    <x v="4"/>
    <x v="4"/>
    <x v="0"/>
    <s v="FLOURLC"/>
  </r>
  <r>
    <n v="9873"/>
    <x v="44"/>
    <x v="0"/>
    <x v="83"/>
    <d v="2023-09-03T00:00:00"/>
    <x v="0"/>
    <x v="0"/>
    <x v="0"/>
    <n v="184000"/>
    <x v="0"/>
    <n v="184000"/>
    <n v="164285.71429999999"/>
    <n v="19714.2857"/>
    <x v="0"/>
    <x v="0"/>
    <x v="1"/>
    <x v="0"/>
    <x v="0"/>
    <x v="0"/>
    <n v="184000"/>
    <n v="0"/>
    <x v="0"/>
    <x v="1"/>
    <x v="0"/>
    <x v="1"/>
    <n v="8000"/>
    <x v="0"/>
    <x v="0"/>
    <x v="0"/>
    <n v="184000"/>
    <n v="184000"/>
    <n v="8000"/>
    <n v="0"/>
    <x v="0"/>
    <x v="0"/>
    <x v="0"/>
    <s v="BUNKER - BUNKER OIL"/>
    <x v="0"/>
    <n v="23"/>
    <s v="DR27002"/>
    <x v="0"/>
    <x v="0"/>
    <x v="0"/>
    <x v="0"/>
    <x v="0"/>
    <x v="1"/>
    <x v="0"/>
    <x v="1"/>
    <x v="1"/>
    <x v="1"/>
    <x v="0"/>
    <s v="BUNKER"/>
  </r>
  <r>
    <n v="9872"/>
    <x v="90"/>
    <x v="0"/>
    <x v="84"/>
    <d v="2023-12-08T00:00:00"/>
    <x v="0"/>
    <x v="3"/>
    <x v="2"/>
    <n v="100124"/>
    <x v="0"/>
    <n v="100124"/>
    <n v="89396.428599999999"/>
    <n v="10727.571400000001"/>
    <x v="0"/>
    <x v="0"/>
    <x v="2"/>
    <x v="2"/>
    <x v="0"/>
    <x v="0"/>
    <n v="0"/>
    <n v="100124"/>
    <x v="0"/>
    <x v="1"/>
    <x v="0"/>
    <x v="10"/>
    <n v="3106"/>
    <x v="1"/>
    <x v="0"/>
    <x v="0"/>
    <n v="51249"/>
    <n v="51249"/>
    <n v="3106"/>
    <n v="0"/>
    <x v="0"/>
    <x v="0"/>
    <x v="3"/>
    <s v="BOX1LPMZL - 1LITER BOX PALM MZL (WPCC)"/>
    <x v="0"/>
    <n v="16.5"/>
    <s v="DR202276"/>
    <x v="0"/>
    <x v="0"/>
    <x v="2"/>
    <x v="0"/>
    <x v="0"/>
    <x v="10"/>
    <x v="0"/>
    <x v="10"/>
    <x v="2"/>
    <x v="2"/>
    <x v="1"/>
    <s v="BOX1LPMZL"/>
  </r>
  <r>
    <n v="9872"/>
    <x v="90"/>
    <x v="0"/>
    <x v="84"/>
    <d v="2023-12-08T00:00:00"/>
    <x v="0"/>
    <x v="3"/>
    <x v="2"/>
    <n v="100124"/>
    <x v="0"/>
    <n v="100124"/>
    <n v="89396.428599999999"/>
    <n v="10727.571400000001"/>
    <x v="0"/>
    <x v="0"/>
    <x v="2"/>
    <x v="2"/>
    <x v="0"/>
    <x v="0"/>
    <n v="0"/>
    <n v="100124"/>
    <x v="0"/>
    <x v="1"/>
    <x v="0"/>
    <x v="38"/>
    <n v="2875"/>
    <x v="1"/>
    <x v="0"/>
    <x v="0"/>
    <n v="48875"/>
    <n v="48875"/>
    <n v="2875"/>
    <n v="0"/>
    <x v="0"/>
    <x v="0"/>
    <x v="3"/>
    <s v="BOX2LPMZL - 2LITERS BOX PALM MZL (WPCC)"/>
    <x v="0"/>
    <n v="17"/>
    <s v="DR202276"/>
    <x v="0"/>
    <x v="0"/>
    <x v="2"/>
    <x v="0"/>
    <x v="0"/>
    <x v="38"/>
    <x v="0"/>
    <x v="38"/>
    <x v="2"/>
    <x v="2"/>
    <x v="1"/>
    <s v="BOX2LPMZL"/>
  </r>
  <r>
    <n v="9871"/>
    <x v="91"/>
    <x v="0"/>
    <x v="85"/>
    <d v="2023-08-30T00:00:00"/>
    <x v="0"/>
    <x v="3"/>
    <x v="2"/>
    <n v="28785"/>
    <x v="0"/>
    <n v="28785"/>
    <n v="25700.892899999999"/>
    <n v="3084.1071000000002"/>
    <x v="0"/>
    <x v="0"/>
    <x v="2"/>
    <x v="2"/>
    <x v="0"/>
    <x v="0"/>
    <n v="28785"/>
    <n v="0"/>
    <x v="0"/>
    <x v="1"/>
    <x v="0"/>
    <x v="39"/>
    <n v="1019"/>
    <x v="1"/>
    <x v="0"/>
    <x v="0"/>
    <n v="15285"/>
    <n v="15285"/>
    <n v="1019"/>
    <n v="0"/>
    <x v="0"/>
    <x v="0"/>
    <x v="3"/>
    <s v="BOX1LC-WPCC - 1LITER BOX CANOLEIN (WPCC)"/>
    <x v="0"/>
    <n v="15"/>
    <s v="DR195850"/>
    <x v="0"/>
    <x v="0"/>
    <x v="2"/>
    <x v="0"/>
    <x v="0"/>
    <x v="39"/>
    <x v="0"/>
    <x v="39"/>
    <x v="2"/>
    <x v="2"/>
    <x v="1"/>
    <s v="BOX1LC-WPCC"/>
  </r>
  <r>
    <n v="9871"/>
    <x v="91"/>
    <x v="0"/>
    <x v="85"/>
    <d v="2023-08-30T00:00:00"/>
    <x v="0"/>
    <x v="3"/>
    <x v="2"/>
    <n v="28785"/>
    <x v="0"/>
    <n v="28785"/>
    <n v="25700.892899999999"/>
    <n v="3084.1071000000002"/>
    <x v="0"/>
    <x v="0"/>
    <x v="2"/>
    <x v="2"/>
    <x v="0"/>
    <x v="0"/>
    <n v="28785"/>
    <n v="0"/>
    <x v="0"/>
    <x v="1"/>
    <x v="0"/>
    <x v="40"/>
    <n v="900"/>
    <x v="1"/>
    <x v="0"/>
    <x v="0"/>
    <n v="13500"/>
    <n v="13500"/>
    <n v="900"/>
    <n v="0"/>
    <x v="0"/>
    <x v="0"/>
    <x v="3"/>
    <s v="BOX1LS-WPCC - 1LITER BOX SOYA (WPCC)"/>
    <x v="0"/>
    <n v="15"/>
    <s v="DR195850"/>
    <x v="0"/>
    <x v="0"/>
    <x v="2"/>
    <x v="0"/>
    <x v="0"/>
    <x v="40"/>
    <x v="0"/>
    <x v="40"/>
    <x v="2"/>
    <x v="2"/>
    <x v="1"/>
    <s v="BOX1LS-WPCC"/>
  </r>
  <r>
    <n v="9870"/>
    <x v="92"/>
    <x v="0"/>
    <x v="85"/>
    <d v="2023-08-30T00:00:00"/>
    <x v="0"/>
    <x v="3"/>
    <x v="2"/>
    <n v="35506"/>
    <x v="0"/>
    <n v="35506"/>
    <n v="31701.7857"/>
    <n v="3804.2143000000001"/>
    <x v="0"/>
    <x v="0"/>
    <x v="2"/>
    <x v="2"/>
    <x v="0"/>
    <x v="0"/>
    <n v="35506"/>
    <n v="0"/>
    <x v="0"/>
    <x v="1"/>
    <x v="0"/>
    <x v="41"/>
    <n v="1025"/>
    <x v="1"/>
    <x v="0"/>
    <x v="0"/>
    <n v="16810"/>
    <n v="16810"/>
    <n v="1025"/>
    <n v="0"/>
    <x v="0"/>
    <x v="0"/>
    <x v="3"/>
    <s v="BOX2LC-WPCC - 2LITERS BOX CANOLEIN (WPCC)"/>
    <x v="0"/>
    <n v="16.399999999999999"/>
    <s v="DR195852"/>
    <x v="0"/>
    <x v="0"/>
    <x v="2"/>
    <x v="0"/>
    <x v="0"/>
    <x v="41"/>
    <x v="0"/>
    <x v="41"/>
    <x v="2"/>
    <x v="2"/>
    <x v="1"/>
    <s v="BOX2LC-WPCC"/>
  </r>
  <r>
    <n v="9870"/>
    <x v="92"/>
    <x v="0"/>
    <x v="85"/>
    <d v="2023-08-30T00:00:00"/>
    <x v="0"/>
    <x v="3"/>
    <x v="2"/>
    <n v="35506"/>
    <x v="0"/>
    <n v="35506"/>
    <n v="31701.7857"/>
    <n v="3804.2143000000001"/>
    <x v="0"/>
    <x v="0"/>
    <x v="2"/>
    <x v="2"/>
    <x v="0"/>
    <x v="0"/>
    <n v="35506"/>
    <n v="0"/>
    <x v="0"/>
    <x v="1"/>
    <x v="0"/>
    <x v="42"/>
    <n v="1140"/>
    <x v="1"/>
    <x v="0"/>
    <x v="0"/>
    <n v="18696"/>
    <n v="18696"/>
    <n v="1140"/>
    <n v="0"/>
    <x v="0"/>
    <x v="0"/>
    <x v="3"/>
    <s v="BOX2LS-WPCC - 2LITERS BOX SOYA (WPCC)"/>
    <x v="0"/>
    <n v="16.399999999999999"/>
    <s v="DR195852"/>
    <x v="0"/>
    <x v="0"/>
    <x v="2"/>
    <x v="0"/>
    <x v="0"/>
    <x v="42"/>
    <x v="0"/>
    <x v="42"/>
    <x v="2"/>
    <x v="2"/>
    <x v="1"/>
    <s v="BOX2LS-WPCC"/>
  </r>
  <r>
    <n v="9869"/>
    <x v="93"/>
    <x v="0"/>
    <x v="85"/>
    <d v="2023-08-30T00:00:00"/>
    <x v="0"/>
    <x v="3"/>
    <x v="2"/>
    <n v="28128"/>
    <x v="0"/>
    <n v="28128"/>
    <n v="25114.2857"/>
    <n v="3013.7143000000001"/>
    <x v="0"/>
    <x v="0"/>
    <x v="2"/>
    <x v="2"/>
    <x v="0"/>
    <x v="0"/>
    <n v="28128"/>
    <n v="0"/>
    <x v="0"/>
    <x v="1"/>
    <x v="0"/>
    <x v="43"/>
    <n v="1758"/>
    <x v="1"/>
    <x v="0"/>
    <x v="0"/>
    <n v="28128"/>
    <n v="28128"/>
    <n v="1758"/>
    <n v="0"/>
    <x v="0"/>
    <x v="0"/>
    <x v="3"/>
    <s v="BOX4L - 4LITERS BOX CHECK (WPCC)"/>
    <x v="0"/>
    <n v="16"/>
    <s v="DR195851"/>
    <x v="0"/>
    <x v="0"/>
    <x v="2"/>
    <x v="0"/>
    <x v="0"/>
    <x v="43"/>
    <x v="0"/>
    <x v="43"/>
    <x v="2"/>
    <x v="2"/>
    <x v="1"/>
    <s v="BOX4L"/>
  </r>
  <r>
    <n v="9868"/>
    <x v="90"/>
    <x v="0"/>
    <x v="86"/>
    <d v="2023-10-20T00:00:00"/>
    <x v="0"/>
    <x v="4"/>
    <x v="2"/>
    <n v="60000"/>
    <x v="0"/>
    <n v="60000"/>
    <n v="53571.428599999999"/>
    <n v="6428.5713999999998"/>
    <x v="0"/>
    <x v="0"/>
    <x v="2"/>
    <x v="2"/>
    <x v="0"/>
    <x v="0"/>
    <n v="0"/>
    <n v="60000"/>
    <x v="0"/>
    <x v="1"/>
    <x v="0"/>
    <x v="19"/>
    <n v="10000"/>
    <x v="1"/>
    <x v="0"/>
    <x v="0"/>
    <n v="20000"/>
    <n v="20000"/>
    <n v="10000"/>
    <n v="0"/>
    <x v="0"/>
    <x v="0"/>
    <x v="4"/>
    <s v="HDRCRCK - HEADER PAMINTA CRACKED"/>
    <x v="0"/>
    <n v="2"/>
    <s v="DR1259"/>
    <x v="0"/>
    <x v="0"/>
    <x v="2"/>
    <x v="0"/>
    <x v="0"/>
    <x v="19"/>
    <x v="0"/>
    <x v="19"/>
    <x v="6"/>
    <x v="6"/>
    <x v="0"/>
    <s v="HDRCRCK"/>
  </r>
  <r>
    <n v="9868"/>
    <x v="90"/>
    <x v="0"/>
    <x v="86"/>
    <d v="2023-10-20T00:00:00"/>
    <x v="0"/>
    <x v="4"/>
    <x v="2"/>
    <n v="60000"/>
    <x v="0"/>
    <n v="60000"/>
    <n v="53571.428599999999"/>
    <n v="6428.5713999999998"/>
    <x v="0"/>
    <x v="0"/>
    <x v="2"/>
    <x v="2"/>
    <x v="0"/>
    <x v="0"/>
    <n v="0"/>
    <n v="60000"/>
    <x v="0"/>
    <x v="1"/>
    <x v="0"/>
    <x v="20"/>
    <n v="10000"/>
    <x v="1"/>
    <x v="0"/>
    <x v="0"/>
    <n v="20000"/>
    <n v="20000"/>
    <n v="10000"/>
    <n v="0"/>
    <x v="0"/>
    <x v="0"/>
    <x v="4"/>
    <s v="HDRFINE - HEADER PAMINTA FINE"/>
    <x v="0"/>
    <n v="2"/>
    <s v="DR1259"/>
    <x v="0"/>
    <x v="0"/>
    <x v="2"/>
    <x v="0"/>
    <x v="0"/>
    <x v="20"/>
    <x v="0"/>
    <x v="20"/>
    <x v="6"/>
    <x v="6"/>
    <x v="0"/>
    <s v="HDRFINE"/>
  </r>
  <r>
    <n v="9868"/>
    <x v="90"/>
    <x v="0"/>
    <x v="86"/>
    <d v="2023-10-20T00:00:00"/>
    <x v="0"/>
    <x v="4"/>
    <x v="2"/>
    <n v="60000"/>
    <x v="0"/>
    <n v="60000"/>
    <n v="53571.428599999999"/>
    <n v="6428.5713999999998"/>
    <x v="0"/>
    <x v="0"/>
    <x v="2"/>
    <x v="2"/>
    <x v="0"/>
    <x v="0"/>
    <n v="0"/>
    <n v="60000"/>
    <x v="0"/>
    <x v="1"/>
    <x v="0"/>
    <x v="21"/>
    <n v="10000"/>
    <x v="1"/>
    <x v="0"/>
    <x v="0"/>
    <n v="20000"/>
    <n v="20000"/>
    <n v="10000"/>
    <n v="0"/>
    <x v="0"/>
    <x v="0"/>
    <x v="4"/>
    <s v="HDRWHL - HEADER PAMINTA WHOLE"/>
    <x v="0"/>
    <n v="2"/>
    <s v="DR1259"/>
    <x v="0"/>
    <x v="0"/>
    <x v="2"/>
    <x v="0"/>
    <x v="0"/>
    <x v="21"/>
    <x v="0"/>
    <x v="21"/>
    <x v="6"/>
    <x v="6"/>
    <x v="0"/>
    <s v="HDRWHL"/>
  </r>
  <r>
    <n v="9867"/>
    <x v="91"/>
    <x v="0"/>
    <x v="85"/>
    <d v="2023-08-30T00:00:00"/>
    <x v="0"/>
    <x v="4"/>
    <x v="0"/>
    <n v="31500"/>
    <x v="0"/>
    <n v="31500"/>
    <n v="28125"/>
    <n v="3375"/>
    <x v="0"/>
    <x v="0"/>
    <x v="2"/>
    <x v="0"/>
    <x v="0"/>
    <x v="0"/>
    <n v="31500"/>
    <n v="0"/>
    <x v="0"/>
    <x v="1"/>
    <x v="0"/>
    <x v="44"/>
    <n v="1500"/>
    <x v="1"/>
    <x v="0"/>
    <x v="0"/>
    <n v="10500"/>
    <n v="10500"/>
    <n v="1500"/>
    <n v="0"/>
    <x v="0"/>
    <x v="0"/>
    <x v="4"/>
    <s v="LBL4LC - 4LITERS LABEL CANOLA"/>
    <x v="0"/>
    <n v="7"/>
    <s v="DR724"/>
    <x v="0"/>
    <x v="0"/>
    <x v="0"/>
    <x v="0"/>
    <x v="0"/>
    <x v="44"/>
    <x v="0"/>
    <x v="44"/>
    <x v="9"/>
    <x v="9"/>
    <x v="0"/>
    <s v="LBL4LC"/>
  </r>
  <r>
    <n v="9867"/>
    <x v="91"/>
    <x v="0"/>
    <x v="85"/>
    <d v="2023-08-30T00:00:00"/>
    <x v="0"/>
    <x v="4"/>
    <x v="0"/>
    <n v="31500"/>
    <x v="0"/>
    <n v="31500"/>
    <n v="28125"/>
    <n v="3375"/>
    <x v="0"/>
    <x v="0"/>
    <x v="2"/>
    <x v="0"/>
    <x v="0"/>
    <x v="0"/>
    <n v="31500"/>
    <n v="0"/>
    <x v="0"/>
    <x v="1"/>
    <x v="0"/>
    <x v="45"/>
    <n v="1500"/>
    <x v="1"/>
    <x v="0"/>
    <x v="0"/>
    <n v="10500"/>
    <n v="10500"/>
    <n v="1500"/>
    <n v="0"/>
    <x v="0"/>
    <x v="0"/>
    <x v="4"/>
    <s v="LBL4LP - 4LITERS LABEL PALM"/>
    <x v="0"/>
    <n v="7"/>
    <s v="DR724"/>
    <x v="0"/>
    <x v="0"/>
    <x v="0"/>
    <x v="0"/>
    <x v="0"/>
    <x v="45"/>
    <x v="0"/>
    <x v="45"/>
    <x v="9"/>
    <x v="9"/>
    <x v="0"/>
    <s v="LBL4LP"/>
  </r>
  <r>
    <n v="9867"/>
    <x v="91"/>
    <x v="0"/>
    <x v="85"/>
    <d v="2023-08-30T00:00:00"/>
    <x v="0"/>
    <x v="4"/>
    <x v="0"/>
    <n v="31500"/>
    <x v="0"/>
    <n v="31500"/>
    <n v="28125"/>
    <n v="3375"/>
    <x v="0"/>
    <x v="0"/>
    <x v="2"/>
    <x v="0"/>
    <x v="0"/>
    <x v="0"/>
    <n v="31500"/>
    <n v="0"/>
    <x v="0"/>
    <x v="1"/>
    <x v="0"/>
    <x v="46"/>
    <n v="1500"/>
    <x v="1"/>
    <x v="0"/>
    <x v="0"/>
    <n v="10500"/>
    <n v="10500"/>
    <n v="1500"/>
    <n v="0"/>
    <x v="0"/>
    <x v="0"/>
    <x v="4"/>
    <s v="LBL4LS - 4LITERS LABEL SOYA"/>
    <x v="0"/>
    <n v="7"/>
    <s v="DR724"/>
    <x v="0"/>
    <x v="0"/>
    <x v="0"/>
    <x v="0"/>
    <x v="0"/>
    <x v="46"/>
    <x v="0"/>
    <x v="46"/>
    <x v="9"/>
    <x v="9"/>
    <x v="0"/>
    <s v="LBL4LS"/>
  </r>
  <r>
    <n v="9866"/>
    <x v="92"/>
    <x v="0"/>
    <x v="82"/>
    <d v="2023-09-04T00:00:00"/>
    <x v="0"/>
    <x v="4"/>
    <x v="2"/>
    <n v="60000"/>
    <x v="0"/>
    <n v="60000"/>
    <n v="53571.428599999999"/>
    <n v="6428.5713999999998"/>
    <x v="0"/>
    <x v="0"/>
    <x v="2"/>
    <x v="2"/>
    <x v="0"/>
    <x v="0"/>
    <n v="60000"/>
    <n v="0"/>
    <x v="0"/>
    <x v="1"/>
    <x v="0"/>
    <x v="19"/>
    <n v="10000"/>
    <x v="1"/>
    <x v="0"/>
    <x v="0"/>
    <n v="20000"/>
    <n v="20000"/>
    <n v="10000"/>
    <n v="0"/>
    <x v="0"/>
    <x v="0"/>
    <x v="4"/>
    <s v="HDRCRCK - HEADER PAMINTA CRACKED"/>
    <x v="0"/>
    <n v="2"/>
    <s v="DR726"/>
    <x v="0"/>
    <x v="0"/>
    <x v="2"/>
    <x v="0"/>
    <x v="0"/>
    <x v="19"/>
    <x v="0"/>
    <x v="19"/>
    <x v="6"/>
    <x v="6"/>
    <x v="0"/>
    <s v="HDRCRCK"/>
  </r>
  <r>
    <n v="9866"/>
    <x v="92"/>
    <x v="0"/>
    <x v="82"/>
    <d v="2023-09-04T00:00:00"/>
    <x v="0"/>
    <x v="4"/>
    <x v="2"/>
    <n v="60000"/>
    <x v="0"/>
    <n v="60000"/>
    <n v="53571.428599999999"/>
    <n v="6428.5713999999998"/>
    <x v="0"/>
    <x v="0"/>
    <x v="2"/>
    <x v="2"/>
    <x v="0"/>
    <x v="0"/>
    <n v="60000"/>
    <n v="0"/>
    <x v="0"/>
    <x v="1"/>
    <x v="0"/>
    <x v="20"/>
    <n v="10000"/>
    <x v="1"/>
    <x v="0"/>
    <x v="0"/>
    <n v="20000"/>
    <n v="20000"/>
    <n v="10000"/>
    <n v="0"/>
    <x v="0"/>
    <x v="0"/>
    <x v="4"/>
    <s v="HDRFINE - HEADER PAMINTA FINE"/>
    <x v="0"/>
    <n v="2"/>
    <s v="DR726"/>
    <x v="0"/>
    <x v="0"/>
    <x v="2"/>
    <x v="0"/>
    <x v="0"/>
    <x v="20"/>
    <x v="0"/>
    <x v="20"/>
    <x v="6"/>
    <x v="6"/>
    <x v="0"/>
    <s v="HDRFINE"/>
  </r>
  <r>
    <n v="9866"/>
    <x v="92"/>
    <x v="0"/>
    <x v="82"/>
    <d v="2023-09-04T00:00:00"/>
    <x v="0"/>
    <x v="4"/>
    <x v="2"/>
    <n v="60000"/>
    <x v="0"/>
    <n v="60000"/>
    <n v="53571.428599999999"/>
    <n v="6428.5713999999998"/>
    <x v="0"/>
    <x v="0"/>
    <x v="2"/>
    <x v="2"/>
    <x v="0"/>
    <x v="0"/>
    <n v="60000"/>
    <n v="0"/>
    <x v="0"/>
    <x v="1"/>
    <x v="0"/>
    <x v="21"/>
    <n v="10000"/>
    <x v="1"/>
    <x v="0"/>
    <x v="0"/>
    <n v="20000"/>
    <n v="20000"/>
    <n v="10000"/>
    <n v="0"/>
    <x v="0"/>
    <x v="0"/>
    <x v="4"/>
    <s v="HDRWHL - HEADER PAMINTA WHOLE"/>
    <x v="0"/>
    <n v="2"/>
    <s v="DR726"/>
    <x v="0"/>
    <x v="0"/>
    <x v="2"/>
    <x v="0"/>
    <x v="0"/>
    <x v="21"/>
    <x v="0"/>
    <x v="21"/>
    <x v="6"/>
    <x v="6"/>
    <x v="0"/>
    <s v="HDRWHL"/>
  </r>
  <r>
    <n v="9865"/>
    <x v="93"/>
    <x v="0"/>
    <x v="85"/>
    <d v="2023-08-30T00:00:00"/>
    <x v="0"/>
    <x v="4"/>
    <x v="2"/>
    <n v="866"/>
    <x v="0"/>
    <n v="866"/>
    <n v="773.21429999999998"/>
    <n v="92.785700000000006"/>
    <x v="0"/>
    <x v="0"/>
    <x v="2"/>
    <x v="2"/>
    <x v="0"/>
    <x v="0"/>
    <n v="866"/>
    <n v="0"/>
    <x v="0"/>
    <x v="1"/>
    <x v="0"/>
    <x v="19"/>
    <n v="148"/>
    <x v="1"/>
    <x v="0"/>
    <x v="0"/>
    <n v="296"/>
    <n v="296"/>
    <n v="148"/>
    <n v="0"/>
    <x v="0"/>
    <x v="0"/>
    <x v="4"/>
    <s v="HDRCRCK - HEADER PAMINTA CRACKED"/>
    <x v="0"/>
    <n v="2"/>
    <s v="DR724"/>
    <x v="0"/>
    <x v="0"/>
    <x v="2"/>
    <x v="0"/>
    <x v="0"/>
    <x v="19"/>
    <x v="0"/>
    <x v="19"/>
    <x v="6"/>
    <x v="6"/>
    <x v="0"/>
    <s v="HDRCRCK"/>
  </r>
  <r>
    <n v="9865"/>
    <x v="93"/>
    <x v="0"/>
    <x v="85"/>
    <d v="2023-08-30T00:00:00"/>
    <x v="0"/>
    <x v="4"/>
    <x v="2"/>
    <n v="866"/>
    <x v="0"/>
    <n v="866"/>
    <n v="773.21429999999998"/>
    <n v="92.785700000000006"/>
    <x v="0"/>
    <x v="0"/>
    <x v="2"/>
    <x v="2"/>
    <x v="0"/>
    <x v="0"/>
    <n v="866"/>
    <n v="0"/>
    <x v="0"/>
    <x v="1"/>
    <x v="0"/>
    <x v="20"/>
    <n v="191"/>
    <x v="1"/>
    <x v="0"/>
    <x v="0"/>
    <n v="382"/>
    <n v="382"/>
    <n v="191"/>
    <n v="0"/>
    <x v="0"/>
    <x v="0"/>
    <x v="4"/>
    <s v="HDRFINE - HEADER PAMINTA FINE"/>
    <x v="0"/>
    <n v="2"/>
    <s v="DR724"/>
    <x v="0"/>
    <x v="0"/>
    <x v="2"/>
    <x v="0"/>
    <x v="0"/>
    <x v="20"/>
    <x v="0"/>
    <x v="20"/>
    <x v="6"/>
    <x v="6"/>
    <x v="0"/>
    <s v="HDRFINE"/>
  </r>
  <r>
    <n v="9865"/>
    <x v="93"/>
    <x v="0"/>
    <x v="85"/>
    <d v="2023-08-30T00:00:00"/>
    <x v="0"/>
    <x v="4"/>
    <x v="2"/>
    <n v="866"/>
    <x v="0"/>
    <n v="866"/>
    <n v="773.21429999999998"/>
    <n v="92.785700000000006"/>
    <x v="0"/>
    <x v="0"/>
    <x v="2"/>
    <x v="2"/>
    <x v="0"/>
    <x v="0"/>
    <n v="866"/>
    <n v="0"/>
    <x v="0"/>
    <x v="1"/>
    <x v="0"/>
    <x v="21"/>
    <n v="94"/>
    <x v="1"/>
    <x v="0"/>
    <x v="0"/>
    <n v="188"/>
    <n v="188"/>
    <n v="94"/>
    <n v="0"/>
    <x v="0"/>
    <x v="0"/>
    <x v="4"/>
    <s v="HDRWHL - HEADER PAMINTA WHOLE"/>
    <x v="0"/>
    <n v="2"/>
    <s v="DR724"/>
    <x v="0"/>
    <x v="0"/>
    <x v="2"/>
    <x v="0"/>
    <x v="0"/>
    <x v="21"/>
    <x v="0"/>
    <x v="21"/>
    <x v="6"/>
    <x v="6"/>
    <x v="0"/>
    <s v="HDRWHL"/>
  </r>
  <r>
    <n v="9864"/>
    <x v="94"/>
    <x v="0"/>
    <x v="87"/>
    <d v="2023-12-20T00:00:00"/>
    <x v="0"/>
    <x v="2"/>
    <x v="0"/>
    <n v="96522.5"/>
    <x v="0"/>
    <n v="96522.5"/>
    <n v="86180.803599999999"/>
    <n v="10341.696400000001"/>
    <x v="0"/>
    <x v="0"/>
    <x v="2"/>
    <x v="0"/>
    <x v="0"/>
    <x v="0"/>
    <n v="0"/>
    <n v="96522.5"/>
    <x v="0"/>
    <x v="1"/>
    <x v="0"/>
    <x v="27"/>
    <n v="9350"/>
    <x v="1"/>
    <x v="0"/>
    <x v="0"/>
    <n v="61242.5"/>
    <n v="61242.5"/>
    <n v="9350"/>
    <n v="0"/>
    <x v="0"/>
    <x v="0"/>
    <x v="2"/>
    <s v="BTL1LP - 1LITER BOTTLE PALM [SWAK] (MBC)"/>
    <x v="0"/>
    <n v="6.55"/>
    <s v="DR5732"/>
    <x v="0"/>
    <x v="0"/>
    <x v="0"/>
    <x v="0"/>
    <x v="0"/>
    <x v="27"/>
    <x v="0"/>
    <x v="27"/>
    <x v="3"/>
    <x v="3"/>
    <x v="0"/>
    <s v="BTL1LP"/>
  </r>
  <r>
    <n v="9864"/>
    <x v="94"/>
    <x v="0"/>
    <x v="87"/>
    <d v="2023-12-20T00:00:00"/>
    <x v="0"/>
    <x v="2"/>
    <x v="0"/>
    <n v="96522.5"/>
    <x v="0"/>
    <n v="96522.5"/>
    <n v="86180.803599999999"/>
    <n v="10341.696400000001"/>
    <x v="0"/>
    <x v="0"/>
    <x v="2"/>
    <x v="0"/>
    <x v="0"/>
    <x v="0"/>
    <n v="0"/>
    <n v="96522.5"/>
    <x v="0"/>
    <x v="1"/>
    <x v="0"/>
    <x v="14"/>
    <n v="5040"/>
    <x v="1"/>
    <x v="0"/>
    <x v="0"/>
    <n v="18396"/>
    <n v="18396"/>
    <n v="5040"/>
    <n v="0"/>
    <x v="0"/>
    <x v="0"/>
    <x v="2"/>
    <s v="BTL350MLP - 350ML BOTTLE PALM [SWAK] (MBC)"/>
    <x v="0"/>
    <n v="3.65"/>
    <s v="DR5732"/>
    <x v="0"/>
    <x v="0"/>
    <x v="0"/>
    <x v="0"/>
    <x v="0"/>
    <x v="14"/>
    <x v="0"/>
    <x v="14"/>
    <x v="3"/>
    <x v="3"/>
    <x v="0"/>
    <s v="BTL350MLP"/>
  </r>
  <r>
    <n v="9864"/>
    <x v="94"/>
    <x v="0"/>
    <x v="87"/>
    <d v="2023-12-20T00:00:00"/>
    <x v="0"/>
    <x v="2"/>
    <x v="0"/>
    <n v="96522.5"/>
    <x v="0"/>
    <n v="96522.5"/>
    <n v="86180.803599999999"/>
    <n v="10341.696400000001"/>
    <x v="0"/>
    <x v="0"/>
    <x v="2"/>
    <x v="0"/>
    <x v="0"/>
    <x v="0"/>
    <n v="0"/>
    <n v="96522.5"/>
    <x v="0"/>
    <x v="1"/>
    <x v="0"/>
    <x v="13"/>
    <n v="5040"/>
    <x v="1"/>
    <x v="0"/>
    <x v="0"/>
    <n v="16884"/>
    <n v="16884"/>
    <n v="5040"/>
    <n v="0"/>
    <x v="0"/>
    <x v="0"/>
    <x v="2"/>
    <s v="BTL500MLP - 500ML BOTTLE PALM [SWAK] (MBC)"/>
    <x v="0"/>
    <n v="3.35"/>
    <s v="DR5732"/>
    <x v="0"/>
    <x v="0"/>
    <x v="0"/>
    <x v="0"/>
    <x v="0"/>
    <x v="13"/>
    <x v="0"/>
    <x v="13"/>
    <x v="3"/>
    <x v="3"/>
    <x v="0"/>
    <s v="BTL500MLP"/>
  </r>
  <r>
    <n v="9863"/>
    <x v="95"/>
    <x v="0"/>
    <x v="88"/>
    <d v="2023-11-24T00:00:00"/>
    <x v="0"/>
    <x v="2"/>
    <x v="0"/>
    <n v="92970.5"/>
    <x v="0"/>
    <n v="92970.5"/>
    <n v="83009.375"/>
    <n v="9961.125"/>
    <x v="0"/>
    <x v="0"/>
    <x v="2"/>
    <x v="0"/>
    <x v="0"/>
    <x v="0"/>
    <n v="92970.5"/>
    <n v="0"/>
    <x v="0"/>
    <x v="1"/>
    <x v="0"/>
    <x v="27"/>
    <n v="10010"/>
    <x v="1"/>
    <x v="0"/>
    <x v="0"/>
    <n v="65565.5"/>
    <n v="65565.5"/>
    <n v="10010"/>
    <n v="0"/>
    <x v="0"/>
    <x v="0"/>
    <x v="2"/>
    <s v="BTL1LP - 1LITER BOTTLE PALM [SWAK] (MBC)"/>
    <x v="0"/>
    <n v="6.55"/>
    <s v="DR5599"/>
    <x v="0"/>
    <x v="0"/>
    <x v="0"/>
    <x v="0"/>
    <x v="0"/>
    <x v="27"/>
    <x v="0"/>
    <x v="27"/>
    <x v="3"/>
    <x v="3"/>
    <x v="0"/>
    <s v="BTL1LP"/>
  </r>
  <r>
    <n v="9863"/>
    <x v="95"/>
    <x v="0"/>
    <x v="88"/>
    <d v="2023-11-24T00:00:00"/>
    <x v="0"/>
    <x v="2"/>
    <x v="0"/>
    <n v="92970.5"/>
    <x v="0"/>
    <n v="92970.5"/>
    <n v="83009.375"/>
    <n v="9961.125"/>
    <x v="0"/>
    <x v="0"/>
    <x v="2"/>
    <x v="0"/>
    <x v="0"/>
    <x v="0"/>
    <n v="92970.5"/>
    <n v="0"/>
    <x v="0"/>
    <x v="1"/>
    <x v="0"/>
    <x v="47"/>
    <n v="1740"/>
    <x v="1"/>
    <x v="0"/>
    <x v="0"/>
    <n v="27405"/>
    <n v="27405"/>
    <n v="1740"/>
    <n v="0"/>
    <x v="0"/>
    <x v="0"/>
    <x v="2"/>
    <s v="BTL2LP - 2LITERS BOTTLE PALM [NUTRI] (MBC)"/>
    <x v="0"/>
    <n v="15.75"/>
    <s v="DR5599"/>
    <x v="0"/>
    <x v="0"/>
    <x v="0"/>
    <x v="0"/>
    <x v="0"/>
    <x v="47"/>
    <x v="0"/>
    <x v="47"/>
    <x v="3"/>
    <x v="3"/>
    <x v="0"/>
    <s v="BTL2LP"/>
  </r>
  <r>
    <n v="9862"/>
    <x v="96"/>
    <x v="0"/>
    <x v="89"/>
    <d v="2023-10-26T00:00:00"/>
    <x v="0"/>
    <x v="2"/>
    <x v="0"/>
    <n v="18250"/>
    <x v="0"/>
    <n v="18250"/>
    <n v="16294.642900000001"/>
    <n v="1955.3570999999999"/>
    <x v="0"/>
    <x v="0"/>
    <x v="2"/>
    <x v="0"/>
    <x v="0"/>
    <x v="0"/>
    <n v="18250"/>
    <n v="0"/>
    <x v="0"/>
    <x v="1"/>
    <x v="0"/>
    <x v="13"/>
    <n v="5000"/>
    <x v="1"/>
    <x v="0"/>
    <x v="0"/>
    <n v="18250"/>
    <n v="18250"/>
    <n v="5000"/>
    <n v="0"/>
    <x v="0"/>
    <x v="0"/>
    <x v="2"/>
    <s v="BTL500MLP - 500ML BOTTLE PALM [SWAK] (MBC)"/>
    <x v="0"/>
    <n v="3.65"/>
    <s v="DR5466"/>
    <x v="0"/>
    <x v="0"/>
    <x v="0"/>
    <x v="0"/>
    <x v="0"/>
    <x v="13"/>
    <x v="0"/>
    <x v="13"/>
    <x v="3"/>
    <x v="3"/>
    <x v="0"/>
    <s v="BTL500MLP"/>
  </r>
  <r>
    <n v="9861"/>
    <x v="97"/>
    <x v="0"/>
    <x v="90"/>
    <d v="2023-10-05T00:00:00"/>
    <x v="0"/>
    <x v="2"/>
    <x v="0"/>
    <n v="84168"/>
    <x v="0"/>
    <n v="84168"/>
    <n v="75150"/>
    <n v="9018"/>
    <x v="0"/>
    <x v="0"/>
    <x v="2"/>
    <x v="0"/>
    <x v="0"/>
    <x v="0"/>
    <n v="84168"/>
    <n v="0"/>
    <x v="0"/>
    <x v="1"/>
    <x v="0"/>
    <x v="27"/>
    <n v="10080"/>
    <x v="1"/>
    <x v="0"/>
    <x v="0"/>
    <n v="66528"/>
    <n v="66528"/>
    <n v="10080"/>
    <n v="0"/>
    <x v="0"/>
    <x v="0"/>
    <x v="2"/>
    <s v="BTL1LP - 1LITER BOTTLE PALM [SWAK] (MBC)"/>
    <x v="0"/>
    <n v="6.6"/>
    <s v="DR5348"/>
    <x v="0"/>
    <x v="0"/>
    <x v="0"/>
    <x v="0"/>
    <x v="0"/>
    <x v="27"/>
    <x v="0"/>
    <x v="27"/>
    <x v="3"/>
    <x v="3"/>
    <x v="0"/>
    <s v="BTL1LP"/>
  </r>
  <r>
    <n v="9861"/>
    <x v="97"/>
    <x v="0"/>
    <x v="90"/>
    <d v="2023-10-05T00:00:00"/>
    <x v="0"/>
    <x v="2"/>
    <x v="0"/>
    <n v="84168"/>
    <x v="0"/>
    <n v="84168"/>
    <n v="75150"/>
    <n v="9018"/>
    <x v="0"/>
    <x v="0"/>
    <x v="2"/>
    <x v="0"/>
    <x v="0"/>
    <x v="0"/>
    <n v="84168"/>
    <n v="0"/>
    <x v="0"/>
    <x v="1"/>
    <x v="0"/>
    <x v="14"/>
    <n v="5040"/>
    <x v="1"/>
    <x v="0"/>
    <x v="0"/>
    <n v="17640"/>
    <n v="17640"/>
    <n v="5040"/>
    <n v="0"/>
    <x v="0"/>
    <x v="0"/>
    <x v="2"/>
    <s v="BTL350MLP - 350ML BOTTLE PALM [SWAK] (MBC)"/>
    <x v="0"/>
    <n v="3.5"/>
    <s v="DR5348"/>
    <x v="0"/>
    <x v="0"/>
    <x v="0"/>
    <x v="0"/>
    <x v="0"/>
    <x v="14"/>
    <x v="0"/>
    <x v="14"/>
    <x v="3"/>
    <x v="3"/>
    <x v="0"/>
    <s v="BTL350MLP"/>
  </r>
  <r>
    <n v="9860"/>
    <x v="98"/>
    <x v="0"/>
    <x v="78"/>
    <d v="2023-09-18T00:00:00"/>
    <x v="0"/>
    <x v="2"/>
    <x v="0"/>
    <n v="95000"/>
    <x v="0"/>
    <n v="95000"/>
    <n v="84821.428599999999"/>
    <n v="10178.571400000001"/>
    <x v="0"/>
    <x v="0"/>
    <x v="2"/>
    <x v="0"/>
    <x v="0"/>
    <x v="0"/>
    <n v="95000"/>
    <n v="0"/>
    <x v="0"/>
    <x v="1"/>
    <x v="0"/>
    <x v="28"/>
    <n v="5000"/>
    <x v="1"/>
    <x v="0"/>
    <x v="0"/>
    <n v="95000"/>
    <n v="95000"/>
    <n v="5000"/>
    <n v="0"/>
    <x v="0"/>
    <x v="0"/>
    <x v="2"/>
    <s v="BTL2LC - 2LITERS BOTTLE CANOLEIN [ROUND] GREEN (MBC)"/>
    <x v="0"/>
    <n v="19"/>
    <s v="DR5264"/>
    <x v="0"/>
    <x v="0"/>
    <x v="0"/>
    <x v="0"/>
    <x v="0"/>
    <x v="28"/>
    <x v="0"/>
    <x v="28"/>
    <x v="3"/>
    <x v="3"/>
    <x v="0"/>
    <s v="BTL2LC"/>
  </r>
  <r>
    <n v="9859"/>
    <x v="99"/>
    <x v="0"/>
    <x v="91"/>
    <d v="2023-09-25T00:00:00"/>
    <x v="0"/>
    <x v="2"/>
    <x v="0"/>
    <n v="95000"/>
    <x v="0"/>
    <n v="95000"/>
    <n v="84821.428599999999"/>
    <n v="10178.571400000001"/>
    <x v="0"/>
    <x v="0"/>
    <x v="2"/>
    <x v="0"/>
    <x v="0"/>
    <x v="0"/>
    <n v="95000"/>
    <n v="0"/>
    <x v="0"/>
    <x v="1"/>
    <x v="0"/>
    <x v="48"/>
    <n v="5000"/>
    <x v="1"/>
    <x v="0"/>
    <x v="0"/>
    <n v="95000"/>
    <n v="95000"/>
    <n v="5000"/>
    <n v="0"/>
    <x v="0"/>
    <x v="0"/>
    <x v="2"/>
    <s v="BTL2LS - 2LITERS BOTTLE SOYA [ROUND] YELLOW (MBC)"/>
    <x v="0"/>
    <n v="19"/>
    <s v="DR5297"/>
    <x v="0"/>
    <x v="0"/>
    <x v="0"/>
    <x v="0"/>
    <x v="0"/>
    <x v="48"/>
    <x v="0"/>
    <x v="48"/>
    <x v="3"/>
    <x v="3"/>
    <x v="0"/>
    <s v="BTL2LS"/>
  </r>
  <r>
    <n v="9858"/>
    <x v="100"/>
    <x v="0"/>
    <x v="92"/>
    <d v="2023-09-13T00:00:00"/>
    <x v="0"/>
    <x v="2"/>
    <x v="0"/>
    <n v="105318"/>
    <x v="0"/>
    <n v="105318"/>
    <n v="94033.928599999999"/>
    <n v="11284.071400000001"/>
    <x v="0"/>
    <x v="0"/>
    <x v="2"/>
    <x v="0"/>
    <x v="0"/>
    <x v="0"/>
    <n v="105318"/>
    <n v="0"/>
    <x v="0"/>
    <x v="1"/>
    <x v="0"/>
    <x v="27"/>
    <n v="3960"/>
    <x v="1"/>
    <x v="0"/>
    <x v="0"/>
    <n v="25938"/>
    <n v="25938"/>
    <n v="3960"/>
    <n v="0"/>
    <x v="0"/>
    <x v="0"/>
    <x v="2"/>
    <s v="BTL1LP - 1LITER BOTTLE PALM [SWAK] (MBC)"/>
    <x v="0"/>
    <n v="6.55"/>
    <s v="DR5245"/>
    <x v="0"/>
    <x v="0"/>
    <x v="0"/>
    <x v="0"/>
    <x v="0"/>
    <x v="27"/>
    <x v="0"/>
    <x v="27"/>
    <x v="3"/>
    <x v="3"/>
    <x v="0"/>
    <s v="BTL1LP"/>
  </r>
  <r>
    <n v="9858"/>
    <x v="100"/>
    <x v="0"/>
    <x v="92"/>
    <d v="2023-09-13T00:00:00"/>
    <x v="0"/>
    <x v="2"/>
    <x v="0"/>
    <n v="105318"/>
    <x v="0"/>
    <n v="105318"/>
    <n v="94033.928599999999"/>
    <n v="11284.071400000001"/>
    <x v="0"/>
    <x v="0"/>
    <x v="2"/>
    <x v="0"/>
    <x v="0"/>
    <x v="0"/>
    <n v="105318"/>
    <n v="0"/>
    <x v="0"/>
    <x v="1"/>
    <x v="0"/>
    <x v="47"/>
    <n v="5040"/>
    <x v="1"/>
    <x v="0"/>
    <x v="0"/>
    <n v="79380"/>
    <n v="79380"/>
    <n v="5040"/>
    <n v="0"/>
    <x v="0"/>
    <x v="0"/>
    <x v="2"/>
    <s v="BTL2LP - 2LITERS BOTTLE PALM [NUTRI] (MBC)"/>
    <x v="0"/>
    <n v="15.75"/>
    <s v="DR5245"/>
    <x v="0"/>
    <x v="0"/>
    <x v="0"/>
    <x v="0"/>
    <x v="0"/>
    <x v="47"/>
    <x v="0"/>
    <x v="47"/>
    <x v="3"/>
    <x v="3"/>
    <x v="0"/>
    <s v="BTL2LP"/>
  </r>
  <r>
    <n v="9857"/>
    <x v="101"/>
    <x v="0"/>
    <x v="93"/>
    <d v="2023-09-08T00:00:00"/>
    <x v="0"/>
    <x v="2"/>
    <x v="0"/>
    <n v="106634"/>
    <x v="0"/>
    <n v="106634"/>
    <n v="95208.928599999999"/>
    <n v="11425.071400000001"/>
    <x v="0"/>
    <x v="0"/>
    <x v="2"/>
    <x v="0"/>
    <x v="0"/>
    <x v="0"/>
    <n v="106634"/>
    <n v="0"/>
    <x v="0"/>
    <x v="1"/>
    <x v="0"/>
    <x v="27"/>
    <n v="16280"/>
    <x v="1"/>
    <x v="0"/>
    <x v="0"/>
    <n v="106634"/>
    <n v="106634"/>
    <n v="16280"/>
    <n v="0"/>
    <x v="0"/>
    <x v="0"/>
    <x v="2"/>
    <s v="BTL1LP - 1LITER BOTTLE PALM [SWAK] (MBC)"/>
    <x v="0"/>
    <n v="6.55"/>
    <s v="DR5220"/>
    <x v="0"/>
    <x v="0"/>
    <x v="0"/>
    <x v="0"/>
    <x v="0"/>
    <x v="27"/>
    <x v="0"/>
    <x v="27"/>
    <x v="3"/>
    <x v="3"/>
    <x v="0"/>
    <s v="BTL1LP"/>
  </r>
  <r>
    <n v="9856"/>
    <x v="102"/>
    <x v="0"/>
    <x v="82"/>
    <d v="2023-09-04T00:00:00"/>
    <x v="0"/>
    <x v="2"/>
    <x v="0"/>
    <n v="66024"/>
    <x v="0"/>
    <n v="66024"/>
    <n v="58950"/>
    <n v="7074"/>
    <x v="0"/>
    <x v="0"/>
    <x v="2"/>
    <x v="0"/>
    <x v="0"/>
    <x v="0"/>
    <n v="66024"/>
    <n v="0"/>
    <x v="0"/>
    <x v="1"/>
    <x v="0"/>
    <x v="15"/>
    <n v="10080"/>
    <x v="1"/>
    <x v="0"/>
    <x v="0"/>
    <n v="66024"/>
    <n v="66024"/>
    <n v="10080"/>
    <n v="0"/>
    <x v="0"/>
    <x v="0"/>
    <x v="2"/>
    <s v="BTL1LCS - 1LITER BOTTLE CANSOY [NUTRI] (MBC)"/>
    <x v="0"/>
    <n v="6.55"/>
    <s v="DR5200"/>
    <x v="0"/>
    <x v="0"/>
    <x v="0"/>
    <x v="0"/>
    <x v="0"/>
    <x v="15"/>
    <x v="0"/>
    <x v="15"/>
    <x v="3"/>
    <x v="3"/>
    <x v="0"/>
    <s v="BTL1LCS"/>
  </r>
  <r>
    <n v="9855"/>
    <x v="103"/>
    <x v="0"/>
    <x v="71"/>
    <d v="2023-10-28T00:00:00"/>
    <x v="0"/>
    <x v="5"/>
    <x v="2"/>
    <n v="57102"/>
    <x v="0"/>
    <n v="57102"/>
    <n v="50983.928599999999"/>
    <n v="6118.0713999999998"/>
    <x v="0"/>
    <x v="0"/>
    <x v="2"/>
    <x v="2"/>
    <x v="0"/>
    <x v="0"/>
    <n v="57102"/>
    <n v="0"/>
    <x v="0"/>
    <x v="1"/>
    <x v="0"/>
    <x v="29"/>
    <n v="1842"/>
    <x v="1"/>
    <x v="0"/>
    <x v="0"/>
    <n v="57102"/>
    <n v="57102"/>
    <n v="1842"/>
    <n v="0"/>
    <x v="0"/>
    <x v="0"/>
    <x v="5"/>
    <s v="BOX1LPEXT - 1LITER BOX PALM (EXT)"/>
    <x v="0"/>
    <n v="31"/>
    <s v="DR45880"/>
    <x v="0"/>
    <x v="0"/>
    <x v="2"/>
    <x v="0"/>
    <x v="0"/>
    <x v="29"/>
    <x v="1"/>
    <x v="29"/>
    <x v="2"/>
    <x v="2"/>
    <x v="0"/>
    <s v="BOX1LPEXT"/>
  </r>
  <r>
    <n v="9854"/>
    <x v="104"/>
    <x v="0"/>
    <x v="94"/>
    <d v="2023-09-29T00:00:00"/>
    <x v="0"/>
    <x v="5"/>
    <x v="2"/>
    <n v="65768"/>
    <x v="0"/>
    <n v="65768"/>
    <n v="58721.428599999999"/>
    <n v="7046.5713999999998"/>
    <x v="0"/>
    <x v="0"/>
    <x v="2"/>
    <x v="2"/>
    <x v="0"/>
    <x v="0"/>
    <n v="65768"/>
    <n v="0"/>
    <x v="0"/>
    <x v="1"/>
    <x v="0"/>
    <x v="29"/>
    <n v="1160"/>
    <x v="1"/>
    <x v="0"/>
    <x v="0"/>
    <n v="35960"/>
    <n v="35960"/>
    <n v="1160"/>
    <n v="0"/>
    <x v="0"/>
    <x v="0"/>
    <x v="5"/>
    <s v="BOX1LPEXT - 1LITER BOX PALM (EXT)"/>
    <x v="0"/>
    <n v="31"/>
    <s v="DR45148"/>
    <x v="0"/>
    <x v="0"/>
    <x v="2"/>
    <x v="0"/>
    <x v="0"/>
    <x v="29"/>
    <x v="1"/>
    <x v="29"/>
    <x v="2"/>
    <x v="2"/>
    <x v="0"/>
    <s v="BOX1LPEXT"/>
  </r>
  <r>
    <n v="9854"/>
    <x v="104"/>
    <x v="0"/>
    <x v="94"/>
    <d v="2023-09-29T00:00:00"/>
    <x v="0"/>
    <x v="5"/>
    <x v="2"/>
    <n v="65768"/>
    <x v="0"/>
    <n v="65768"/>
    <n v="58721.428599999999"/>
    <n v="7046.5713999999998"/>
    <x v="0"/>
    <x v="0"/>
    <x v="2"/>
    <x v="2"/>
    <x v="0"/>
    <x v="0"/>
    <n v="65768"/>
    <n v="0"/>
    <x v="0"/>
    <x v="1"/>
    <x v="0"/>
    <x v="30"/>
    <n v="1104"/>
    <x v="1"/>
    <x v="0"/>
    <x v="0"/>
    <n v="29808"/>
    <n v="29808"/>
    <n v="1104"/>
    <n v="0"/>
    <x v="0"/>
    <x v="0"/>
    <x v="5"/>
    <s v="BOX2LP - 2LITERS BOX PALM (EXT)"/>
    <x v="0"/>
    <n v="27"/>
    <s v="DR45148"/>
    <x v="0"/>
    <x v="0"/>
    <x v="2"/>
    <x v="0"/>
    <x v="0"/>
    <x v="30"/>
    <x v="0"/>
    <x v="30"/>
    <x v="2"/>
    <x v="2"/>
    <x v="0"/>
    <s v="BOX2LP"/>
  </r>
  <r>
    <n v="9853"/>
    <x v="105"/>
    <x v="0"/>
    <x v="95"/>
    <d v="2023-09-02T00:00:00"/>
    <x v="0"/>
    <x v="5"/>
    <x v="2"/>
    <n v="33914"/>
    <x v="0"/>
    <n v="33914"/>
    <n v="30280.357100000001"/>
    <n v="3633.6428999999998"/>
    <x v="0"/>
    <x v="0"/>
    <x v="2"/>
    <x v="2"/>
    <x v="0"/>
    <x v="0"/>
    <n v="33914"/>
    <n v="0"/>
    <x v="0"/>
    <x v="1"/>
    <x v="0"/>
    <x v="29"/>
    <n v="1094"/>
    <x v="1"/>
    <x v="0"/>
    <x v="0"/>
    <n v="33914"/>
    <n v="33914"/>
    <n v="1094"/>
    <n v="0"/>
    <x v="0"/>
    <x v="0"/>
    <x v="5"/>
    <s v="BOX1LPEXT - 1LITER BOX PALM (EXT)"/>
    <x v="0"/>
    <n v="31"/>
    <s v="DR44621"/>
    <x v="0"/>
    <x v="0"/>
    <x v="2"/>
    <x v="0"/>
    <x v="0"/>
    <x v="29"/>
    <x v="1"/>
    <x v="29"/>
    <x v="2"/>
    <x v="2"/>
    <x v="0"/>
    <s v="BOX1LPEXT"/>
  </r>
  <r>
    <n v="9851"/>
    <x v="54"/>
    <x v="0"/>
    <x v="96"/>
    <d v="2023-08-18T00:00:00"/>
    <x v="0"/>
    <x v="0"/>
    <x v="0"/>
    <n v="88000"/>
    <x v="0"/>
    <n v="88000"/>
    <n v="78571.428599999999"/>
    <n v="9428.5714000000007"/>
    <x v="0"/>
    <x v="0"/>
    <x v="1"/>
    <x v="0"/>
    <x v="0"/>
    <x v="1"/>
    <n v="0"/>
    <n v="88000"/>
    <x v="0"/>
    <x v="1"/>
    <x v="0"/>
    <x v="1"/>
    <n v="4000"/>
    <x v="0"/>
    <x v="0"/>
    <x v="0"/>
    <n v="88000"/>
    <n v="88000"/>
    <n v="4000"/>
    <n v="0"/>
    <x v="0"/>
    <x v="0"/>
    <x v="0"/>
    <s v="BUNKER - BUNKER OIL"/>
    <x v="0"/>
    <n v="22"/>
    <s v="DR27001"/>
    <x v="0"/>
    <x v="0"/>
    <x v="0"/>
    <x v="0"/>
    <x v="0"/>
    <x v="1"/>
    <x v="0"/>
    <x v="1"/>
    <x v="1"/>
    <x v="1"/>
    <x v="0"/>
    <s v="BUNKER"/>
  </r>
  <r>
    <n v="9849"/>
    <x v="106"/>
    <x v="0"/>
    <x v="97"/>
    <d v="2023-08-17T00:00:00"/>
    <x v="0"/>
    <x v="2"/>
    <x v="0"/>
    <n v="65565.5"/>
    <x v="0"/>
    <n v="65565.5"/>
    <n v="58540.625"/>
    <n v="7024.875"/>
    <x v="0"/>
    <x v="0"/>
    <x v="2"/>
    <x v="0"/>
    <x v="0"/>
    <x v="1"/>
    <n v="65565.5"/>
    <n v="0"/>
    <x v="0"/>
    <x v="1"/>
    <x v="0"/>
    <x v="27"/>
    <n v="10010"/>
    <x v="1"/>
    <x v="0"/>
    <x v="0"/>
    <n v="65565.5"/>
    <n v="65565.5"/>
    <n v="10010"/>
    <n v="0"/>
    <x v="0"/>
    <x v="0"/>
    <x v="2"/>
    <s v="BTL1LP - 1LITER BOTTLE PALM [SWAK] (MBC)"/>
    <x v="0"/>
    <n v="6.55"/>
    <s v="DR5118"/>
    <x v="0"/>
    <x v="0"/>
    <x v="0"/>
    <x v="0"/>
    <x v="0"/>
    <x v="27"/>
    <x v="0"/>
    <x v="27"/>
    <x v="3"/>
    <x v="3"/>
    <x v="0"/>
    <s v="BTL1LP"/>
  </r>
  <r>
    <n v="9846"/>
    <x v="94"/>
    <x v="0"/>
    <x v="98"/>
    <d v="2023-08-16T00:00:00"/>
    <x v="0"/>
    <x v="0"/>
    <x v="0"/>
    <n v="14880.1816"/>
    <x v="0"/>
    <n v="14880.1816"/>
    <n v="13285.876399999999"/>
    <n v="1594.3052"/>
    <x v="0"/>
    <x v="0"/>
    <x v="27"/>
    <x v="0"/>
    <x v="0"/>
    <x v="1"/>
    <n v="14880.1816"/>
    <n v="0"/>
    <x v="0"/>
    <x v="1"/>
    <x v="0"/>
    <x v="49"/>
    <n v="13074"/>
    <x v="1"/>
    <x v="0"/>
    <x v="0"/>
    <n v="9120.4223999999995"/>
    <n v="9120.4223999999995"/>
    <n v="13074"/>
    <n v="0"/>
    <x v="0"/>
    <x v="0"/>
    <x v="0"/>
    <s v="PCKG250GRO - PACKAGING CANTON 250G LC (RO)"/>
    <x v="0"/>
    <n v="0.6976"/>
    <s v="DR1893"/>
    <x v="0"/>
    <x v="0"/>
    <x v="0"/>
    <x v="0"/>
    <x v="0"/>
    <x v="49"/>
    <x v="0"/>
    <x v="49"/>
    <x v="10"/>
    <x v="10"/>
    <x v="0"/>
    <s v="PCKG250GRO"/>
  </r>
  <r>
    <n v="9846"/>
    <x v="94"/>
    <x v="0"/>
    <x v="98"/>
    <d v="2023-08-16T00:00:00"/>
    <x v="0"/>
    <x v="0"/>
    <x v="0"/>
    <n v="14880.1816"/>
    <x v="0"/>
    <n v="14880.1816"/>
    <n v="13285.876399999999"/>
    <n v="1594.3052"/>
    <x v="0"/>
    <x v="0"/>
    <x v="27"/>
    <x v="0"/>
    <x v="0"/>
    <x v="1"/>
    <n v="14880.1816"/>
    <n v="0"/>
    <x v="0"/>
    <x v="1"/>
    <x v="0"/>
    <x v="50"/>
    <n v="13819"/>
    <x v="1"/>
    <x v="0"/>
    <x v="0"/>
    <n v="5759.7592000000004"/>
    <n v="5759.7592000000004"/>
    <n v="13819"/>
    <n v="0"/>
    <x v="0"/>
    <x v="0"/>
    <x v="0"/>
    <s v="PCKG80GRO - PACKAGING CANTON 80G LC (RO)"/>
    <x v="0"/>
    <n v="0.4168"/>
    <s v="DR1893"/>
    <x v="0"/>
    <x v="0"/>
    <x v="0"/>
    <x v="0"/>
    <x v="0"/>
    <x v="50"/>
    <x v="0"/>
    <x v="50"/>
    <x v="10"/>
    <x v="10"/>
    <x v="0"/>
    <s v="PCKG80GRO"/>
  </r>
  <r>
    <n v="9845"/>
    <x v="57"/>
    <x v="0"/>
    <x v="99"/>
    <d v="2023-08-14T00:00:00"/>
    <x v="0"/>
    <x v="1"/>
    <x v="0"/>
    <n v="96940"/>
    <x v="0"/>
    <n v="96940"/>
    <n v="86553.571400000001"/>
    <n v="10386.428599999999"/>
    <x v="0"/>
    <x v="0"/>
    <x v="2"/>
    <x v="0"/>
    <x v="0"/>
    <x v="0"/>
    <n v="96940"/>
    <n v="0"/>
    <x v="0"/>
    <x v="1"/>
    <x v="0"/>
    <x v="16"/>
    <n v="2960"/>
    <x v="1"/>
    <x v="0"/>
    <x v="0"/>
    <n v="96940"/>
    <n v="96940"/>
    <n v="2960"/>
    <n v="0"/>
    <x v="0"/>
    <x v="0"/>
    <x v="1"/>
    <s v="300GBOX - 300G BOX CANTON (SPC)"/>
    <x v="0"/>
    <n v="32.75"/>
    <s v="SI507277"/>
    <x v="0"/>
    <x v="0"/>
    <x v="0"/>
    <x v="0"/>
    <x v="0"/>
    <x v="16"/>
    <x v="0"/>
    <x v="16"/>
    <x v="2"/>
    <x v="2"/>
    <x v="0"/>
    <s v="300GBOX"/>
  </r>
  <r>
    <n v="9844"/>
    <x v="95"/>
    <x v="0"/>
    <x v="100"/>
    <d v="2023-08-03T00:00:00"/>
    <x v="0"/>
    <x v="0"/>
    <x v="0"/>
    <n v="417500"/>
    <x v="0"/>
    <n v="417500"/>
    <n v="372767.85710000002"/>
    <n v="44732.142899999999"/>
    <x v="0"/>
    <x v="0"/>
    <x v="17"/>
    <x v="0"/>
    <x v="0"/>
    <x v="0"/>
    <n v="417500"/>
    <n v="0"/>
    <x v="0"/>
    <x v="1"/>
    <x v="0"/>
    <x v="7"/>
    <n v="12500000"/>
    <x v="2"/>
    <x v="0"/>
    <x v="0"/>
    <n v="417500"/>
    <n v="417500"/>
    <n v="12500000"/>
    <n v="0"/>
    <x v="0"/>
    <x v="0"/>
    <x v="0"/>
    <s v="CORN - CORNSTARCH"/>
    <x v="0"/>
    <n v="3.3399999999999999E-2"/>
    <s v="DR12387"/>
    <x v="0"/>
    <x v="0"/>
    <x v="0"/>
    <x v="0"/>
    <x v="0"/>
    <x v="7"/>
    <x v="0"/>
    <x v="7"/>
    <x v="4"/>
    <x v="4"/>
    <x v="0"/>
    <s v="CORN"/>
  </r>
  <r>
    <n v="9843"/>
    <x v="107"/>
    <x v="0"/>
    <x v="101"/>
    <d v="2023-08-05T00:00:00"/>
    <x v="0"/>
    <x v="4"/>
    <x v="2"/>
    <n v="59134"/>
    <x v="0"/>
    <n v="59134"/>
    <n v="52798.2143"/>
    <n v="6335.7857000000004"/>
    <x v="0"/>
    <x v="0"/>
    <x v="2"/>
    <x v="2"/>
    <x v="0"/>
    <x v="1"/>
    <n v="59134"/>
    <n v="0"/>
    <x v="0"/>
    <x v="1"/>
    <x v="0"/>
    <x v="19"/>
    <n v="9852"/>
    <x v="1"/>
    <x v="0"/>
    <x v="0"/>
    <n v="19704"/>
    <n v="19704"/>
    <n v="9852"/>
    <n v="0"/>
    <x v="0"/>
    <x v="0"/>
    <x v="4"/>
    <s v="HDRCRCK - HEADER PAMINTA CRACKED"/>
    <x v="0"/>
    <n v="2"/>
    <s v="DR725"/>
    <x v="0"/>
    <x v="0"/>
    <x v="2"/>
    <x v="0"/>
    <x v="0"/>
    <x v="19"/>
    <x v="0"/>
    <x v="19"/>
    <x v="6"/>
    <x v="6"/>
    <x v="0"/>
    <s v="HDRCRCK"/>
  </r>
  <r>
    <n v="9843"/>
    <x v="107"/>
    <x v="0"/>
    <x v="101"/>
    <d v="2023-08-05T00:00:00"/>
    <x v="0"/>
    <x v="4"/>
    <x v="2"/>
    <n v="59134"/>
    <x v="0"/>
    <n v="59134"/>
    <n v="52798.2143"/>
    <n v="6335.7857000000004"/>
    <x v="0"/>
    <x v="0"/>
    <x v="2"/>
    <x v="2"/>
    <x v="0"/>
    <x v="1"/>
    <n v="59134"/>
    <n v="0"/>
    <x v="0"/>
    <x v="1"/>
    <x v="0"/>
    <x v="20"/>
    <n v="9809"/>
    <x v="1"/>
    <x v="0"/>
    <x v="0"/>
    <n v="19618"/>
    <n v="19618"/>
    <n v="9809"/>
    <n v="0"/>
    <x v="0"/>
    <x v="0"/>
    <x v="4"/>
    <s v="HDRFINE - HEADER PAMINTA FINE"/>
    <x v="0"/>
    <n v="2"/>
    <s v="DR725"/>
    <x v="0"/>
    <x v="0"/>
    <x v="2"/>
    <x v="0"/>
    <x v="0"/>
    <x v="20"/>
    <x v="0"/>
    <x v="20"/>
    <x v="6"/>
    <x v="6"/>
    <x v="0"/>
    <s v="HDRFINE"/>
  </r>
  <r>
    <n v="9843"/>
    <x v="107"/>
    <x v="0"/>
    <x v="101"/>
    <d v="2023-08-05T00:00:00"/>
    <x v="0"/>
    <x v="4"/>
    <x v="2"/>
    <n v="59134"/>
    <x v="0"/>
    <n v="59134"/>
    <n v="52798.2143"/>
    <n v="6335.7857000000004"/>
    <x v="0"/>
    <x v="0"/>
    <x v="2"/>
    <x v="2"/>
    <x v="0"/>
    <x v="1"/>
    <n v="59134"/>
    <n v="0"/>
    <x v="0"/>
    <x v="1"/>
    <x v="0"/>
    <x v="21"/>
    <n v="9906"/>
    <x v="1"/>
    <x v="0"/>
    <x v="0"/>
    <n v="19812"/>
    <n v="19812"/>
    <n v="9906"/>
    <n v="0"/>
    <x v="0"/>
    <x v="0"/>
    <x v="4"/>
    <s v="HDRWHL - HEADER PAMINTA WHOLE"/>
    <x v="0"/>
    <n v="2"/>
    <s v="DR725"/>
    <x v="0"/>
    <x v="0"/>
    <x v="2"/>
    <x v="0"/>
    <x v="0"/>
    <x v="21"/>
    <x v="0"/>
    <x v="21"/>
    <x v="6"/>
    <x v="6"/>
    <x v="0"/>
    <s v="HDRWHL"/>
  </r>
  <r>
    <n v="9841"/>
    <x v="97"/>
    <x v="0"/>
    <x v="102"/>
    <d v="2023-07-26T00:00:00"/>
    <x v="0"/>
    <x v="0"/>
    <x v="1"/>
    <n v="1402767.9539999999"/>
    <x v="0"/>
    <n v="1402767.9539999999"/>
    <n v="1252471.3875"/>
    <n v="150296.56649999999"/>
    <x v="0"/>
    <x v="0"/>
    <x v="28"/>
    <x v="1"/>
    <x v="0"/>
    <x v="1"/>
    <n v="0"/>
    <n v="1402767.9539999999"/>
    <x v="0"/>
    <x v="1"/>
    <x v="0"/>
    <x v="51"/>
    <n v="23103"/>
    <x v="0"/>
    <x v="0"/>
    <x v="0"/>
    <n v="1402767.9539999999"/>
    <n v="1402767.9539999999"/>
    <n v="23103"/>
    <n v="0"/>
    <x v="0"/>
    <x v="0"/>
    <x v="0"/>
    <s v="PALM - RBD PALM OLEIN (LOCAL)"/>
    <x v="0"/>
    <n v="60.718000000000004"/>
    <s v="DR505443"/>
    <x v="0"/>
    <x v="0"/>
    <x v="1"/>
    <x v="0"/>
    <x v="0"/>
    <x v="51"/>
    <x v="0"/>
    <x v="51"/>
    <x v="0"/>
    <x v="0"/>
    <x v="0"/>
    <s v="PALM"/>
  </r>
  <r>
    <n v="9840"/>
    <x v="98"/>
    <x v="0"/>
    <x v="102"/>
    <d v="2023-07-26T00:00:00"/>
    <x v="0"/>
    <x v="0"/>
    <x v="1"/>
    <n v="562339.61300000001"/>
    <x v="0"/>
    <n v="562339.61300000001"/>
    <n v="502088.94020000001"/>
    <n v="60250.6728"/>
    <x v="0"/>
    <x v="0"/>
    <x v="29"/>
    <x v="1"/>
    <x v="0"/>
    <x v="1"/>
    <n v="0"/>
    <n v="562339.61300000001"/>
    <x v="0"/>
    <x v="1"/>
    <x v="0"/>
    <x v="24"/>
    <n v="10307"/>
    <x v="0"/>
    <x v="0"/>
    <x v="0"/>
    <n v="562339.61300000001"/>
    <n v="562339.61300000001"/>
    <n v="10307"/>
    <n v="0"/>
    <x v="0"/>
    <x v="0"/>
    <x v="0"/>
    <s v="COCO - RBD COCONUT OIL"/>
    <x v="0"/>
    <n v="54.558999999999997"/>
    <s v="DR505444"/>
    <x v="0"/>
    <x v="0"/>
    <x v="1"/>
    <x v="0"/>
    <x v="0"/>
    <x v="24"/>
    <x v="0"/>
    <x v="24"/>
    <x v="0"/>
    <x v="0"/>
    <x v="0"/>
    <s v="COCO"/>
  </r>
  <r>
    <n v="9839"/>
    <x v="99"/>
    <x v="0"/>
    <x v="103"/>
    <d v="2023-07-25T00:00:00"/>
    <x v="0"/>
    <x v="0"/>
    <x v="1"/>
    <n v="1541445.6814999999"/>
    <x v="0"/>
    <n v="1541445.6814999999"/>
    <n v="1376290.7871000001"/>
    <n v="165154.89449999999"/>
    <x v="0"/>
    <x v="0"/>
    <x v="19"/>
    <x v="1"/>
    <x v="0"/>
    <x v="1"/>
    <n v="69.921499999999995"/>
    <n v="1541375.76"/>
    <x v="0"/>
    <x v="1"/>
    <x v="0"/>
    <x v="31"/>
    <n v="23864"/>
    <x v="0"/>
    <x v="0"/>
    <x v="0"/>
    <n v="1541445.6814999999"/>
    <n v="1541445.6814999999"/>
    <n v="23864"/>
    <n v="0"/>
    <x v="0"/>
    <x v="0"/>
    <x v="0"/>
    <s v="SOYA - RBD SOYA BEAN OIL"/>
    <x v="0"/>
    <n v="64.592929999999996"/>
    <s v="DR0300"/>
    <x v="0"/>
    <x v="0"/>
    <x v="1"/>
    <x v="0"/>
    <x v="0"/>
    <x v="31"/>
    <x v="0"/>
    <x v="31"/>
    <x v="0"/>
    <x v="0"/>
    <x v="0"/>
    <s v="SOYA"/>
  </r>
  <r>
    <n v="9838"/>
    <x v="100"/>
    <x v="0"/>
    <x v="104"/>
    <d v="2023-07-22T00:00:00"/>
    <x v="0"/>
    <x v="0"/>
    <x v="0"/>
    <n v="88000"/>
    <x v="0"/>
    <n v="88000"/>
    <n v="78571.428599999999"/>
    <n v="9428.5714000000007"/>
    <x v="0"/>
    <x v="0"/>
    <x v="1"/>
    <x v="0"/>
    <x v="0"/>
    <x v="1"/>
    <n v="0"/>
    <n v="88000"/>
    <x v="0"/>
    <x v="1"/>
    <x v="0"/>
    <x v="1"/>
    <n v="4000"/>
    <x v="0"/>
    <x v="0"/>
    <x v="0"/>
    <n v="88000"/>
    <n v="88000"/>
    <n v="4000"/>
    <n v="0"/>
    <x v="0"/>
    <x v="0"/>
    <x v="0"/>
    <s v="BUNKER - BUNKER OIL"/>
    <x v="0"/>
    <n v="22"/>
    <s v="DR14278"/>
    <x v="0"/>
    <x v="0"/>
    <x v="0"/>
    <x v="0"/>
    <x v="0"/>
    <x v="1"/>
    <x v="0"/>
    <x v="1"/>
    <x v="1"/>
    <x v="1"/>
    <x v="0"/>
    <s v="BUNKER"/>
  </r>
  <r>
    <n v="9837"/>
    <x v="101"/>
    <x v="0"/>
    <x v="105"/>
    <d v="2023-07-09T00:00:00"/>
    <x v="0"/>
    <x v="0"/>
    <x v="0"/>
    <n v="69000"/>
    <x v="0"/>
    <n v="69000"/>
    <n v="61607.142899999999"/>
    <n v="7392.8571000000002"/>
    <x v="0"/>
    <x v="0"/>
    <x v="1"/>
    <x v="0"/>
    <x v="0"/>
    <x v="1"/>
    <n v="0"/>
    <n v="69000"/>
    <x v="0"/>
    <x v="1"/>
    <x v="0"/>
    <x v="1"/>
    <n v="3000"/>
    <x v="0"/>
    <x v="0"/>
    <x v="0"/>
    <n v="69000"/>
    <n v="69000"/>
    <n v="3000"/>
    <n v="0"/>
    <x v="0"/>
    <x v="0"/>
    <x v="0"/>
    <s v="BUNKER - BUNKER OIL"/>
    <x v="0"/>
    <n v="23"/>
    <s v="DR24005"/>
    <x v="0"/>
    <x v="0"/>
    <x v="0"/>
    <x v="0"/>
    <x v="0"/>
    <x v="1"/>
    <x v="0"/>
    <x v="1"/>
    <x v="1"/>
    <x v="1"/>
    <x v="0"/>
    <s v="BUNKER"/>
  </r>
  <r>
    <n v="9836"/>
    <x v="102"/>
    <x v="0"/>
    <x v="106"/>
    <d v="2023-04-11T00:00:00"/>
    <x v="0"/>
    <x v="0"/>
    <x v="0"/>
    <n v="120000"/>
    <x v="0"/>
    <n v="120000"/>
    <n v="107142.85709999999"/>
    <n v="12857.142900000001"/>
    <x v="0"/>
    <x v="0"/>
    <x v="1"/>
    <x v="0"/>
    <x v="0"/>
    <x v="1"/>
    <n v="0"/>
    <n v="120000"/>
    <x v="0"/>
    <x v="1"/>
    <x v="0"/>
    <x v="1"/>
    <n v="4000"/>
    <x v="0"/>
    <x v="0"/>
    <x v="0"/>
    <n v="120000"/>
    <n v="120000"/>
    <n v="4000"/>
    <n v="0"/>
    <x v="0"/>
    <x v="0"/>
    <x v="0"/>
    <s v="BUNKER - BUNKER OIL"/>
    <x v="0"/>
    <n v="30"/>
    <s v="DR041123"/>
    <x v="0"/>
    <x v="0"/>
    <x v="0"/>
    <x v="0"/>
    <x v="0"/>
    <x v="1"/>
    <x v="0"/>
    <x v="1"/>
    <x v="1"/>
    <x v="1"/>
    <x v="0"/>
    <s v="BUNKER"/>
  </r>
  <r>
    <n v="9835"/>
    <x v="108"/>
    <x v="0"/>
    <x v="107"/>
    <d v="2023-07-21T00:00:00"/>
    <x v="0"/>
    <x v="2"/>
    <x v="0"/>
    <n v="65565.5"/>
    <x v="0"/>
    <n v="65565.5"/>
    <n v="58540.625"/>
    <n v="7024.875"/>
    <x v="0"/>
    <x v="0"/>
    <x v="2"/>
    <x v="0"/>
    <x v="0"/>
    <x v="1"/>
    <n v="0"/>
    <n v="65565.5"/>
    <x v="0"/>
    <x v="1"/>
    <x v="0"/>
    <x v="27"/>
    <n v="10010"/>
    <x v="1"/>
    <x v="0"/>
    <x v="0"/>
    <n v="65565.5"/>
    <n v="65565.5"/>
    <n v="10010"/>
    <n v="0"/>
    <x v="0"/>
    <x v="0"/>
    <x v="2"/>
    <s v="BTL1LP - 1LITER BOTTLE PALM [SWAK] (MBC)"/>
    <x v="0"/>
    <n v="6.55"/>
    <s v="DR5009"/>
    <x v="0"/>
    <x v="0"/>
    <x v="0"/>
    <x v="0"/>
    <x v="0"/>
    <x v="27"/>
    <x v="0"/>
    <x v="27"/>
    <x v="3"/>
    <x v="3"/>
    <x v="0"/>
    <s v="BTL1LP"/>
  </r>
  <r>
    <n v="9834"/>
    <x v="106"/>
    <x v="0"/>
    <x v="108"/>
    <d v="2023-07-14T00:00:00"/>
    <x v="0"/>
    <x v="0"/>
    <x v="0"/>
    <n v="261000"/>
    <x v="0"/>
    <n v="261000"/>
    <n v="233035.71429999999"/>
    <n v="27964.2857"/>
    <x v="0"/>
    <x v="0"/>
    <x v="17"/>
    <x v="0"/>
    <x v="0"/>
    <x v="1"/>
    <n v="0"/>
    <n v="261000"/>
    <x v="0"/>
    <x v="1"/>
    <x v="0"/>
    <x v="7"/>
    <n v="7500000"/>
    <x v="2"/>
    <x v="0"/>
    <x v="0"/>
    <n v="261000"/>
    <n v="261000"/>
    <n v="7500000"/>
    <n v="0"/>
    <x v="0"/>
    <x v="0"/>
    <x v="0"/>
    <s v="CORN - CORNSTARCH"/>
    <x v="0"/>
    <n v="3.4799999999999998E-2"/>
    <s v="SI7349"/>
    <x v="0"/>
    <x v="0"/>
    <x v="0"/>
    <x v="0"/>
    <x v="0"/>
    <x v="7"/>
    <x v="0"/>
    <x v="7"/>
    <x v="4"/>
    <x v="4"/>
    <x v="0"/>
    <s v="CORN"/>
  </r>
  <r>
    <n v="9833"/>
    <x v="108"/>
    <x v="0"/>
    <x v="109"/>
    <d v="2023-07-13T00:00:00"/>
    <x v="0"/>
    <x v="0"/>
    <x v="0"/>
    <n v="980"/>
    <x v="0"/>
    <n v="980"/>
    <n v="875"/>
    <n v="105"/>
    <x v="0"/>
    <x v="0"/>
    <x v="4"/>
    <x v="0"/>
    <x v="0"/>
    <x v="1"/>
    <n v="0"/>
    <n v="980"/>
    <x v="0"/>
    <x v="1"/>
    <x v="0"/>
    <x v="7"/>
    <n v="25000"/>
    <x v="2"/>
    <x v="0"/>
    <x v="0"/>
    <n v="980"/>
    <n v="980"/>
    <n v="25000"/>
    <n v="0"/>
    <x v="0"/>
    <x v="0"/>
    <x v="0"/>
    <s v="CORN - CORNSTARCH"/>
    <x v="0"/>
    <n v="3.9199999999999999E-2"/>
    <s v="DR07132023"/>
    <x v="0"/>
    <x v="0"/>
    <x v="0"/>
    <x v="0"/>
    <x v="0"/>
    <x v="7"/>
    <x v="0"/>
    <x v="7"/>
    <x v="4"/>
    <x v="4"/>
    <x v="0"/>
    <s v="CORN"/>
  </r>
  <r>
    <n v="9832"/>
    <x v="109"/>
    <x v="0"/>
    <x v="110"/>
    <d v="2023-07-12T00:00:00"/>
    <x v="0"/>
    <x v="0"/>
    <x v="0"/>
    <n v="6860"/>
    <x v="0"/>
    <n v="6860"/>
    <n v="6125"/>
    <n v="735"/>
    <x v="0"/>
    <x v="0"/>
    <x v="4"/>
    <x v="0"/>
    <x v="0"/>
    <x v="1"/>
    <n v="0"/>
    <n v="6860"/>
    <x v="0"/>
    <x v="1"/>
    <x v="0"/>
    <x v="7"/>
    <n v="175000"/>
    <x v="2"/>
    <x v="0"/>
    <x v="0"/>
    <n v="6860"/>
    <n v="6860"/>
    <n v="175000"/>
    <n v="0"/>
    <x v="0"/>
    <x v="0"/>
    <x v="0"/>
    <s v="CORN - CORNSTARCH"/>
    <x v="0"/>
    <n v="3.9199999999999999E-2"/>
    <s v="DR07122023"/>
    <x v="0"/>
    <x v="0"/>
    <x v="0"/>
    <x v="0"/>
    <x v="0"/>
    <x v="7"/>
    <x v="0"/>
    <x v="7"/>
    <x v="4"/>
    <x v="4"/>
    <x v="0"/>
    <s v="CORN"/>
  </r>
  <r>
    <n v="9831"/>
    <x v="110"/>
    <x v="0"/>
    <x v="111"/>
    <d v="2023-07-11T00:00:00"/>
    <x v="0"/>
    <x v="0"/>
    <x v="0"/>
    <n v="7840"/>
    <x v="0"/>
    <n v="7840"/>
    <n v="7000"/>
    <n v="840"/>
    <x v="0"/>
    <x v="0"/>
    <x v="30"/>
    <x v="0"/>
    <x v="0"/>
    <x v="1"/>
    <n v="0"/>
    <n v="7840"/>
    <x v="0"/>
    <x v="1"/>
    <x v="0"/>
    <x v="7"/>
    <n v="200000"/>
    <x v="2"/>
    <x v="0"/>
    <x v="0"/>
    <n v="7840"/>
    <n v="7840"/>
    <n v="200000"/>
    <n v="0"/>
    <x v="0"/>
    <x v="0"/>
    <x v="0"/>
    <s v="CORN - CORNSTARCH"/>
    <x v="0"/>
    <n v="3.9199999999999999E-2"/>
    <s v="SI15159"/>
    <x v="0"/>
    <x v="0"/>
    <x v="0"/>
    <x v="0"/>
    <x v="0"/>
    <x v="7"/>
    <x v="0"/>
    <x v="7"/>
    <x v="4"/>
    <x v="4"/>
    <x v="0"/>
    <s v="CORN"/>
  </r>
  <r>
    <n v="9830"/>
    <x v="109"/>
    <x v="0"/>
    <x v="111"/>
    <d v="2023-07-11T00:00:00"/>
    <x v="0"/>
    <x v="2"/>
    <x v="0"/>
    <n v="65565.5"/>
    <x v="0"/>
    <n v="65565.5"/>
    <n v="58540.625"/>
    <n v="7024.875"/>
    <x v="0"/>
    <x v="0"/>
    <x v="2"/>
    <x v="0"/>
    <x v="0"/>
    <x v="1"/>
    <n v="0"/>
    <n v="65565.5"/>
    <x v="0"/>
    <x v="1"/>
    <x v="0"/>
    <x v="27"/>
    <n v="10010"/>
    <x v="1"/>
    <x v="0"/>
    <x v="0"/>
    <n v="65565.5"/>
    <n v="65565.5"/>
    <n v="10010"/>
    <n v="0"/>
    <x v="0"/>
    <x v="0"/>
    <x v="2"/>
    <s v="BTL1LP - 1LITER BOTTLE PALM [SWAK] (MBC)"/>
    <x v="0"/>
    <n v="6.55"/>
    <s v="DR4900"/>
    <x v="0"/>
    <x v="0"/>
    <x v="0"/>
    <x v="0"/>
    <x v="0"/>
    <x v="27"/>
    <x v="0"/>
    <x v="27"/>
    <x v="3"/>
    <x v="3"/>
    <x v="0"/>
    <s v="BTL1LP"/>
  </r>
  <r>
    <n v="9829"/>
    <x v="111"/>
    <x v="0"/>
    <x v="111"/>
    <d v="2023-07-11T00:00:00"/>
    <x v="0"/>
    <x v="0"/>
    <x v="1"/>
    <n v="1932981.4110000001"/>
    <x v="0"/>
    <n v="1932981.4110000001"/>
    <n v="1725876.2598000001"/>
    <n v="207105.15119999999"/>
    <x v="0"/>
    <x v="0"/>
    <x v="31"/>
    <x v="1"/>
    <x v="0"/>
    <x v="1"/>
    <n v="90.831000000000003"/>
    <n v="1932890.58"/>
    <x v="0"/>
    <x v="1"/>
    <x v="0"/>
    <x v="32"/>
    <n v="24023"/>
    <x v="0"/>
    <x v="0"/>
    <x v="0"/>
    <n v="1932981.4110000001"/>
    <n v="1932981.4110000001"/>
    <n v="24023"/>
    <n v="0"/>
    <x v="0"/>
    <x v="0"/>
    <x v="0"/>
    <s v="CAN - RBD CANOLA OIL"/>
    <x v="0"/>
    <n v="80.463780999999997"/>
    <s v="DR070623"/>
    <x v="0"/>
    <x v="0"/>
    <x v="1"/>
    <x v="0"/>
    <x v="0"/>
    <x v="32"/>
    <x v="0"/>
    <x v="32"/>
    <x v="0"/>
    <x v="0"/>
    <x v="0"/>
    <s v="CAN"/>
  </r>
  <r>
    <n v="9828"/>
    <x v="112"/>
    <x v="0"/>
    <x v="112"/>
    <d v="2023-06-28T00:00:00"/>
    <x v="0"/>
    <x v="0"/>
    <x v="0"/>
    <n v="92500"/>
    <x v="0"/>
    <n v="92500"/>
    <n v="82589.285699999993"/>
    <n v="9910.7142999999996"/>
    <x v="0"/>
    <x v="0"/>
    <x v="5"/>
    <x v="0"/>
    <x v="0"/>
    <x v="1"/>
    <n v="0"/>
    <n v="92500"/>
    <x v="0"/>
    <x v="1"/>
    <x v="0"/>
    <x v="12"/>
    <n v="2500000"/>
    <x v="2"/>
    <x v="0"/>
    <x v="0"/>
    <n v="92500"/>
    <n v="92500"/>
    <n v="2500000"/>
    <n v="0"/>
    <x v="0"/>
    <x v="0"/>
    <x v="0"/>
    <s v="FLOUR - FLOUR (HARINA)"/>
    <x v="0"/>
    <n v="3.6999999999999998E-2"/>
    <s v="DR4130035437"/>
    <x v="0"/>
    <x v="0"/>
    <x v="0"/>
    <x v="0"/>
    <x v="0"/>
    <x v="12"/>
    <x v="0"/>
    <x v="12"/>
    <x v="4"/>
    <x v="4"/>
    <x v="0"/>
    <s v="FLOUR"/>
  </r>
  <r>
    <n v="9826"/>
    <x v="92"/>
    <x v="0"/>
    <x v="113"/>
    <d v="2023-06-26T00:00:00"/>
    <x v="0"/>
    <x v="6"/>
    <x v="0"/>
    <n v="97440"/>
    <x v="0"/>
    <n v="97440"/>
    <n v="87000"/>
    <n v="10440"/>
    <x v="0"/>
    <x v="0"/>
    <x v="2"/>
    <x v="0"/>
    <x v="0"/>
    <x v="1"/>
    <n v="0"/>
    <n v="97440"/>
    <x v="0"/>
    <x v="1"/>
    <x v="0"/>
    <x v="52"/>
    <n v="3000"/>
    <x v="1"/>
    <x v="0"/>
    <x v="0"/>
    <n v="97440"/>
    <n v="97440"/>
    <n v="3000"/>
    <n v="0"/>
    <x v="0"/>
    <x v="0"/>
    <x v="6"/>
    <s v="BTL4L - 4LITERS BOTTLE GODZILLA (BPSI)"/>
    <x v="0"/>
    <n v="32.479999999999997"/>
    <s v="SI099219"/>
    <x v="0"/>
    <x v="0"/>
    <x v="0"/>
    <x v="0"/>
    <x v="0"/>
    <x v="52"/>
    <x v="0"/>
    <x v="52"/>
    <x v="3"/>
    <x v="3"/>
    <x v="0"/>
    <s v="BTL4L"/>
  </r>
  <r>
    <n v="9825"/>
    <x v="58"/>
    <x v="0"/>
    <x v="114"/>
    <d v="2023-06-17T00:00:00"/>
    <x v="0"/>
    <x v="1"/>
    <x v="0"/>
    <n v="92250"/>
    <x v="0"/>
    <n v="92250"/>
    <n v="82366.071400000001"/>
    <n v="9883.9285999999993"/>
    <x v="0"/>
    <x v="0"/>
    <x v="2"/>
    <x v="0"/>
    <x v="0"/>
    <x v="1"/>
    <n v="0"/>
    <n v="92250"/>
    <x v="0"/>
    <x v="1"/>
    <x v="0"/>
    <x v="16"/>
    <n v="3000"/>
    <x v="1"/>
    <x v="0"/>
    <x v="0"/>
    <n v="92250"/>
    <n v="92250"/>
    <n v="3000"/>
    <n v="0"/>
    <x v="0"/>
    <x v="0"/>
    <x v="1"/>
    <s v="300GBOX - 300G BOX CANTON (SPC)"/>
    <x v="0"/>
    <n v="30.75"/>
    <s v="SI505033"/>
    <x v="0"/>
    <x v="0"/>
    <x v="0"/>
    <x v="0"/>
    <x v="0"/>
    <x v="16"/>
    <x v="0"/>
    <x v="16"/>
    <x v="2"/>
    <x v="2"/>
    <x v="0"/>
    <s v="300GBOX"/>
  </r>
  <r>
    <n v="9824"/>
    <x v="58"/>
    <x v="0"/>
    <x v="114"/>
    <d v="2023-06-17T00:00:00"/>
    <x v="0"/>
    <x v="7"/>
    <x v="0"/>
    <n v="140560"/>
    <x v="0"/>
    <n v="140560"/>
    <n v="125500"/>
    <n v="15060"/>
    <x v="0"/>
    <x v="0"/>
    <x v="2"/>
    <x v="0"/>
    <x v="0"/>
    <x v="1"/>
    <n v="140560"/>
    <n v="0"/>
    <x v="0"/>
    <x v="1"/>
    <x v="0"/>
    <x v="53"/>
    <n v="200800"/>
    <x v="1"/>
    <x v="0"/>
    <x v="0"/>
    <n v="140560"/>
    <n v="140560"/>
    <n v="200800"/>
    <n v="0"/>
    <x v="0"/>
    <x v="0"/>
    <x v="7"/>
    <s v="LBL1PMZL - 1LITER LABEL PALM MZL (MPI)"/>
    <x v="0"/>
    <n v="0.7"/>
    <s v="DR20234999"/>
    <x v="0"/>
    <x v="0"/>
    <x v="0"/>
    <x v="0"/>
    <x v="0"/>
    <x v="53"/>
    <x v="0"/>
    <x v="53"/>
    <x v="9"/>
    <x v="9"/>
    <x v="0"/>
    <s v="LBL1PMZL"/>
  </r>
  <r>
    <n v="9823"/>
    <x v="103"/>
    <x v="0"/>
    <x v="115"/>
    <d v="2023-06-15T00:00:00"/>
    <x v="0"/>
    <x v="7"/>
    <x v="0"/>
    <n v="257063.32560000001"/>
    <x v="0"/>
    <n v="257063.32560000001"/>
    <n v="229520.82639999999"/>
    <n v="27542.499199999998"/>
    <x v="0"/>
    <x v="0"/>
    <x v="2"/>
    <x v="0"/>
    <x v="0"/>
    <x v="1"/>
    <n v="0"/>
    <n v="257063.32560000001"/>
    <x v="0"/>
    <x v="1"/>
    <x v="0"/>
    <x v="54"/>
    <n v="229357"/>
    <x v="1"/>
    <x v="0"/>
    <x v="0"/>
    <n v="257063.32560000001"/>
    <n v="257063.32560000001"/>
    <n v="229357"/>
    <n v="0"/>
    <x v="0"/>
    <x v="0"/>
    <x v="7"/>
    <s v="PCKG4.67G - PACKAGING CANTON 80G (MPI)"/>
    <x v="0"/>
    <n v="1.1208"/>
    <s v="DR20235000"/>
    <x v="0"/>
    <x v="0"/>
    <x v="0"/>
    <x v="0"/>
    <x v="0"/>
    <x v="54"/>
    <x v="0"/>
    <x v="54"/>
    <x v="10"/>
    <x v="10"/>
    <x v="0"/>
    <s v="PCKG4.67G"/>
  </r>
  <r>
    <n v="9822"/>
    <x v="113"/>
    <x v="0"/>
    <x v="116"/>
    <d v="2023-05-26T00:00:00"/>
    <x v="0"/>
    <x v="0"/>
    <x v="0"/>
    <n v="1440"/>
    <x v="0"/>
    <n v="1440"/>
    <n v="1285.7143000000001"/>
    <n v="154.28569999999999"/>
    <x v="0"/>
    <x v="0"/>
    <x v="32"/>
    <x v="0"/>
    <x v="0"/>
    <x v="0"/>
    <n v="0"/>
    <n v="1440"/>
    <x v="0"/>
    <x v="1"/>
    <x v="0"/>
    <x v="18"/>
    <n v="30"/>
    <x v="1"/>
    <x v="0"/>
    <x v="0"/>
    <n v="1440"/>
    <n v="1440"/>
    <n v="30"/>
    <n v="0"/>
    <x v="0"/>
    <x v="0"/>
    <x v="0"/>
    <s v="PCKGTAPE - PACKAGING TAPE CLEAR"/>
    <x v="0"/>
    <n v="48"/>
    <s v="SI254648"/>
    <x v="0"/>
    <x v="0"/>
    <x v="0"/>
    <x v="0"/>
    <x v="0"/>
    <x v="18"/>
    <x v="0"/>
    <x v="18"/>
    <x v="5"/>
    <x v="5"/>
    <x v="0"/>
    <s v="PCKGTAPE"/>
  </r>
  <r>
    <n v="9820"/>
    <x v="103"/>
    <x v="0"/>
    <x v="117"/>
    <d v="2023-05-29T00:00:00"/>
    <x v="0"/>
    <x v="1"/>
    <x v="2"/>
    <n v="28800"/>
    <x v="0"/>
    <n v="28800"/>
    <n v="25714.2857"/>
    <n v="3085.7143000000001"/>
    <x v="0"/>
    <x v="0"/>
    <x v="2"/>
    <x v="2"/>
    <x v="0"/>
    <x v="0"/>
    <n v="0"/>
    <n v="28800"/>
    <x v="0"/>
    <x v="1"/>
    <x v="0"/>
    <x v="4"/>
    <n v="1500"/>
    <x v="1"/>
    <x v="0"/>
    <x v="0"/>
    <n v="9600"/>
    <n v="9600"/>
    <n v="1500"/>
    <n v="0"/>
    <x v="0"/>
    <x v="0"/>
    <x v="1"/>
    <s v="BOX1GCRACKED - 1G BOX PAMINTA CRACKED (SPC)"/>
    <x v="0"/>
    <n v="6.4"/>
    <s v="SI12345"/>
    <x v="0"/>
    <x v="0"/>
    <x v="2"/>
    <x v="0"/>
    <x v="0"/>
    <x v="4"/>
    <x v="0"/>
    <x v="4"/>
    <x v="2"/>
    <x v="2"/>
    <x v="0"/>
    <s v="BOX1GCRACKED"/>
  </r>
  <r>
    <n v="9820"/>
    <x v="103"/>
    <x v="0"/>
    <x v="117"/>
    <d v="2023-05-29T00:00:00"/>
    <x v="0"/>
    <x v="1"/>
    <x v="2"/>
    <n v="28800"/>
    <x v="0"/>
    <n v="28800"/>
    <n v="25714.2857"/>
    <n v="3085.7143000000001"/>
    <x v="0"/>
    <x v="0"/>
    <x v="2"/>
    <x v="2"/>
    <x v="0"/>
    <x v="0"/>
    <n v="0"/>
    <n v="28800"/>
    <x v="0"/>
    <x v="1"/>
    <x v="0"/>
    <x v="2"/>
    <n v="1500"/>
    <x v="1"/>
    <x v="0"/>
    <x v="0"/>
    <n v="9600"/>
    <n v="9600"/>
    <n v="1500"/>
    <n v="0"/>
    <x v="0"/>
    <x v="0"/>
    <x v="1"/>
    <s v="BOX1GFINE - 1G BOX PAMINTA FINE (SPC)"/>
    <x v="0"/>
    <n v="6.4"/>
    <s v="SI12345"/>
    <x v="0"/>
    <x v="0"/>
    <x v="2"/>
    <x v="0"/>
    <x v="0"/>
    <x v="2"/>
    <x v="0"/>
    <x v="2"/>
    <x v="2"/>
    <x v="2"/>
    <x v="0"/>
    <s v="BOX1GFINE"/>
  </r>
  <r>
    <n v="9820"/>
    <x v="103"/>
    <x v="0"/>
    <x v="117"/>
    <d v="2023-05-29T00:00:00"/>
    <x v="0"/>
    <x v="1"/>
    <x v="2"/>
    <n v="28800"/>
    <x v="0"/>
    <n v="28800"/>
    <n v="25714.2857"/>
    <n v="3085.7143000000001"/>
    <x v="0"/>
    <x v="0"/>
    <x v="2"/>
    <x v="2"/>
    <x v="0"/>
    <x v="0"/>
    <n v="0"/>
    <n v="28800"/>
    <x v="0"/>
    <x v="1"/>
    <x v="0"/>
    <x v="3"/>
    <n v="1500"/>
    <x v="1"/>
    <x v="0"/>
    <x v="0"/>
    <n v="9600"/>
    <n v="9600"/>
    <n v="1500"/>
    <n v="0"/>
    <x v="0"/>
    <x v="0"/>
    <x v="1"/>
    <s v="BOX1GWHOLE - 1G BOX PAMINTA WHOLE (SPC)"/>
    <x v="0"/>
    <n v="6.4"/>
    <s v="SI12345"/>
    <x v="0"/>
    <x v="0"/>
    <x v="2"/>
    <x v="0"/>
    <x v="0"/>
    <x v="3"/>
    <x v="0"/>
    <x v="3"/>
    <x v="2"/>
    <x v="2"/>
    <x v="0"/>
    <s v="BOX1GWHOLE"/>
  </r>
  <r>
    <n v="9819"/>
    <x v="114"/>
    <x v="0"/>
    <x v="118"/>
    <d v="2023-05-28T00:00:00"/>
    <x v="0"/>
    <x v="0"/>
    <x v="0"/>
    <n v="13500"/>
    <x v="0"/>
    <n v="13500"/>
    <n v="12053.571400000001"/>
    <n v="1446.4286"/>
    <x v="0"/>
    <x v="0"/>
    <x v="33"/>
    <x v="0"/>
    <x v="0"/>
    <x v="0"/>
    <n v="0"/>
    <n v="13500"/>
    <x v="0"/>
    <x v="1"/>
    <x v="0"/>
    <x v="18"/>
    <n v="500"/>
    <x v="1"/>
    <x v="0"/>
    <x v="0"/>
    <n v="13500"/>
    <n v="13500"/>
    <n v="500"/>
    <n v="0"/>
    <x v="0"/>
    <x v="0"/>
    <x v="0"/>
    <s v="PCKGTAPE - PACKAGING TAPE CLEAR"/>
    <x v="0"/>
    <n v="27"/>
    <s v="DR42992"/>
    <x v="0"/>
    <x v="0"/>
    <x v="0"/>
    <x v="0"/>
    <x v="0"/>
    <x v="18"/>
    <x v="0"/>
    <x v="18"/>
    <x v="5"/>
    <x v="5"/>
    <x v="0"/>
    <s v="PCKGTAPE"/>
  </r>
  <r>
    <n v="9818"/>
    <x v="8"/>
    <x v="0"/>
    <x v="118"/>
    <d v="2023-05-28T00:00:00"/>
    <x v="0"/>
    <x v="5"/>
    <x v="2"/>
    <n v="16848"/>
    <x v="0"/>
    <n v="16848"/>
    <n v="15042.857099999999"/>
    <n v="1805.1429000000001"/>
    <x v="0"/>
    <x v="0"/>
    <x v="2"/>
    <x v="2"/>
    <x v="0"/>
    <x v="0"/>
    <n v="0"/>
    <n v="16848"/>
    <x v="0"/>
    <x v="1"/>
    <x v="0"/>
    <x v="30"/>
    <n v="624"/>
    <x v="1"/>
    <x v="0"/>
    <x v="0"/>
    <n v="16848"/>
    <n v="16848"/>
    <n v="624"/>
    <n v="0"/>
    <x v="0"/>
    <x v="0"/>
    <x v="5"/>
    <s v="BOX2LP - 2LITERS BOX PALM (EXT)"/>
    <x v="0"/>
    <n v="27"/>
    <s v="DR42992"/>
    <x v="0"/>
    <x v="0"/>
    <x v="2"/>
    <x v="0"/>
    <x v="0"/>
    <x v="30"/>
    <x v="0"/>
    <x v="30"/>
    <x v="2"/>
    <x v="2"/>
    <x v="0"/>
    <s v="BOX2LP"/>
  </r>
  <r>
    <n v="9817"/>
    <x v="115"/>
    <x v="0"/>
    <x v="119"/>
    <d v="2023-05-25T00:00:00"/>
    <x v="0"/>
    <x v="0"/>
    <x v="0"/>
    <n v="118080"/>
    <x v="0"/>
    <n v="118080"/>
    <n v="105428.5714"/>
    <n v="12651.428599999999"/>
    <x v="0"/>
    <x v="0"/>
    <x v="23"/>
    <x v="0"/>
    <x v="0"/>
    <x v="0"/>
    <n v="0"/>
    <n v="118080"/>
    <x v="0"/>
    <x v="1"/>
    <x v="0"/>
    <x v="36"/>
    <n v="80000"/>
    <x v="2"/>
    <x v="0"/>
    <x v="0"/>
    <n v="24480"/>
    <n v="24480"/>
    <n v="80000"/>
    <n v="0"/>
    <x v="0"/>
    <x v="0"/>
    <x v="0"/>
    <s v="PORERENE - PORERENE (PAPA PORON)"/>
    <x v="0"/>
    <n v="0.30599999999999999"/>
    <s v="DR47101872"/>
    <x v="0"/>
    <x v="0"/>
    <x v="0"/>
    <x v="0"/>
    <x v="0"/>
    <x v="36"/>
    <x v="0"/>
    <x v="36"/>
    <x v="4"/>
    <x v="4"/>
    <x v="0"/>
    <s v="PORERENE"/>
  </r>
  <r>
    <n v="9817"/>
    <x v="115"/>
    <x v="0"/>
    <x v="119"/>
    <d v="2023-05-25T00:00:00"/>
    <x v="0"/>
    <x v="0"/>
    <x v="0"/>
    <n v="118080"/>
    <x v="0"/>
    <n v="118080"/>
    <n v="105428.5714"/>
    <n v="12651.428599999999"/>
    <x v="0"/>
    <x v="0"/>
    <x v="23"/>
    <x v="0"/>
    <x v="0"/>
    <x v="0"/>
    <n v="0"/>
    <n v="118080"/>
    <x v="0"/>
    <x v="1"/>
    <x v="0"/>
    <x v="34"/>
    <n v="100000"/>
    <x v="2"/>
    <x v="0"/>
    <x v="0"/>
    <n v="50400"/>
    <n v="50400"/>
    <n v="100000"/>
    <n v="0"/>
    <x v="0"/>
    <x v="0"/>
    <x v="0"/>
    <s v="CMC - CELLULOSE (CMC)"/>
    <x v="0"/>
    <n v="0.504"/>
    <s v="DR47101872"/>
    <x v="0"/>
    <x v="0"/>
    <x v="0"/>
    <x v="0"/>
    <x v="0"/>
    <x v="34"/>
    <x v="0"/>
    <x v="34"/>
    <x v="4"/>
    <x v="4"/>
    <x v="0"/>
    <s v="CMC"/>
  </r>
  <r>
    <n v="9817"/>
    <x v="115"/>
    <x v="0"/>
    <x v="119"/>
    <d v="2023-05-25T00:00:00"/>
    <x v="0"/>
    <x v="0"/>
    <x v="0"/>
    <n v="118080"/>
    <x v="0"/>
    <n v="118080"/>
    <n v="105428.5714"/>
    <n v="12651.428599999999"/>
    <x v="0"/>
    <x v="0"/>
    <x v="23"/>
    <x v="0"/>
    <x v="0"/>
    <x v="0"/>
    <n v="0"/>
    <n v="118080"/>
    <x v="0"/>
    <x v="1"/>
    <x v="0"/>
    <x v="35"/>
    <n v="80000"/>
    <x v="2"/>
    <x v="0"/>
    <x v="0"/>
    <n v="43200"/>
    <n v="43200"/>
    <n v="80000"/>
    <n v="0"/>
    <x v="0"/>
    <x v="0"/>
    <x v="0"/>
    <s v="NENKYO - NENKYO (MAMA NEN)"/>
    <x v="0"/>
    <n v="0.54"/>
    <s v="DR47101872"/>
    <x v="0"/>
    <x v="0"/>
    <x v="0"/>
    <x v="0"/>
    <x v="0"/>
    <x v="35"/>
    <x v="0"/>
    <x v="35"/>
    <x v="4"/>
    <x v="4"/>
    <x v="0"/>
    <s v="NENKYO"/>
  </r>
  <r>
    <n v="9816"/>
    <x v="116"/>
    <x v="0"/>
    <x v="119"/>
    <d v="2023-05-25T00:00:00"/>
    <x v="0"/>
    <x v="0"/>
    <x v="0"/>
    <n v="480"/>
    <x v="0"/>
    <n v="480"/>
    <n v="428.57139999999998"/>
    <n v="51.428600000000003"/>
    <x v="0"/>
    <x v="0"/>
    <x v="32"/>
    <x v="0"/>
    <x v="0"/>
    <x v="0"/>
    <n v="0"/>
    <n v="480"/>
    <x v="0"/>
    <x v="1"/>
    <x v="0"/>
    <x v="18"/>
    <n v="10"/>
    <x v="1"/>
    <x v="0"/>
    <x v="0"/>
    <n v="480"/>
    <n v="480"/>
    <n v="10"/>
    <n v="0"/>
    <x v="0"/>
    <x v="0"/>
    <x v="0"/>
    <s v="PCKGTAPE - PACKAGING TAPE CLEAR"/>
    <x v="0"/>
    <n v="48"/>
    <s v="SI791308"/>
    <x v="0"/>
    <x v="0"/>
    <x v="0"/>
    <x v="0"/>
    <x v="0"/>
    <x v="18"/>
    <x v="0"/>
    <x v="18"/>
    <x v="5"/>
    <x v="5"/>
    <x v="0"/>
    <s v="PCKGTAPE"/>
  </r>
  <r>
    <n v="9815"/>
    <x v="117"/>
    <x v="0"/>
    <x v="120"/>
    <d v="2023-05-22T00:00:00"/>
    <x v="0"/>
    <x v="0"/>
    <x v="0"/>
    <n v="480"/>
    <x v="0"/>
    <n v="480"/>
    <n v="428.57139999999998"/>
    <n v="51.428600000000003"/>
    <x v="0"/>
    <x v="0"/>
    <x v="32"/>
    <x v="0"/>
    <x v="0"/>
    <x v="0"/>
    <n v="0"/>
    <n v="480"/>
    <x v="0"/>
    <x v="1"/>
    <x v="0"/>
    <x v="18"/>
    <n v="10"/>
    <x v="1"/>
    <x v="0"/>
    <x v="0"/>
    <n v="480"/>
    <n v="480"/>
    <n v="10"/>
    <n v="0"/>
    <x v="0"/>
    <x v="0"/>
    <x v="0"/>
    <s v="PCKGTAPE - PACKAGING TAPE CLEAR"/>
    <x v="0"/>
    <n v="48"/>
    <s v="SI239062"/>
    <x v="0"/>
    <x v="0"/>
    <x v="0"/>
    <x v="0"/>
    <x v="0"/>
    <x v="18"/>
    <x v="0"/>
    <x v="18"/>
    <x v="5"/>
    <x v="5"/>
    <x v="0"/>
    <s v="PCKGTAPE"/>
  </r>
  <r>
    <n v="9814"/>
    <x v="118"/>
    <x v="0"/>
    <x v="121"/>
    <d v="2023-05-18T00:00:00"/>
    <x v="0"/>
    <x v="0"/>
    <x v="0"/>
    <n v="672"/>
    <x v="0"/>
    <n v="672"/>
    <n v="600"/>
    <n v="72"/>
    <x v="0"/>
    <x v="0"/>
    <x v="32"/>
    <x v="0"/>
    <x v="0"/>
    <x v="0"/>
    <n v="0"/>
    <n v="672"/>
    <x v="0"/>
    <x v="1"/>
    <x v="0"/>
    <x v="18"/>
    <n v="14"/>
    <x v="1"/>
    <x v="0"/>
    <x v="0"/>
    <n v="672"/>
    <n v="672"/>
    <n v="14"/>
    <n v="0"/>
    <x v="0"/>
    <x v="0"/>
    <x v="0"/>
    <s v="PCKGTAPE - PACKAGING TAPE CLEAR"/>
    <x v="0"/>
    <n v="48"/>
    <s v="SI238573"/>
    <x v="0"/>
    <x v="0"/>
    <x v="0"/>
    <x v="0"/>
    <x v="0"/>
    <x v="18"/>
    <x v="0"/>
    <x v="18"/>
    <x v="5"/>
    <x v="5"/>
    <x v="0"/>
    <s v="PCKGTAPE"/>
  </r>
  <r>
    <n v="9810"/>
    <x v="104"/>
    <x v="0"/>
    <x v="122"/>
    <d v="2023-05-19T00:00:00"/>
    <x v="0"/>
    <x v="1"/>
    <x v="2"/>
    <n v="31800"/>
    <x v="0"/>
    <n v="31800"/>
    <n v="28392.857100000001"/>
    <n v="3407.1428999999998"/>
    <x v="0"/>
    <x v="0"/>
    <x v="2"/>
    <x v="2"/>
    <x v="0"/>
    <x v="0"/>
    <n v="0"/>
    <n v="31800"/>
    <x v="0"/>
    <x v="1"/>
    <x v="0"/>
    <x v="55"/>
    <n v="2000"/>
    <x v="1"/>
    <x v="0"/>
    <x v="0"/>
    <n v="31800"/>
    <n v="31800"/>
    <n v="2000"/>
    <n v="0"/>
    <x v="0"/>
    <x v="0"/>
    <x v="1"/>
    <s v="BOX1LC-SPC - 1LITER BOX CANOLEIN (SPC)"/>
    <x v="0"/>
    <n v="15.9"/>
    <s v="DR429461"/>
    <x v="0"/>
    <x v="0"/>
    <x v="2"/>
    <x v="0"/>
    <x v="2"/>
    <x v="55"/>
    <x v="1"/>
    <x v="39"/>
    <x v="2"/>
    <x v="2"/>
    <x v="0"/>
    <s v="BOX1LC-SPC"/>
  </r>
  <r>
    <n v="9809"/>
    <x v="119"/>
    <x v="0"/>
    <x v="123"/>
    <d v="2023-04-29T00:00:00"/>
    <x v="0"/>
    <x v="0"/>
    <x v="0"/>
    <n v="21000"/>
    <x v="0"/>
    <n v="21000"/>
    <n v="18750"/>
    <n v="2250"/>
    <x v="0"/>
    <x v="0"/>
    <x v="34"/>
    <x v="0"/>
    <x v="0"/>
    <x v="0"/>
    <n v="0"/>
    <n v="21000"/>
    <x v="0"/>
    <x v="1"/>
    <x v="0"/>
    <x v="37"/>
    <n v="100000"/>
    <x v="2"/>
    <x v="0"/>
    <x v="0"/>
    <n v="21000"/>
    <n v="21000"/>
    <n v="100000"/>
    <n v="0"/>
    <x v="0"/>
    <x v="0"/>
    <x v="0"/>
    <s v="GINISA - GINISA MIX (ADDITIVES)"/>
    <x v="0"/>
    <n v="0.21"/>
    <s v="SI12335"/>
    <x v="0"/>
    <x v="0"/>
    <x v="0"/>
    <x v="0"/>
    <x v="2"/>
    <x v="37"/>
    <x v="0"/>
    <x v="37"/>
    <x v="4"/>
    <x v="4"/>
    <x v="0"/>
    <s v="GINISA"/>
  </r>
  <r>
    <n v="9808"/>
    <x v="110"/>
    <x v="0"/>
    <x v="124"/>
    <d v="2023-04-18T00:00:00"/>
    <x v="0"/>
    <x v="2"/>
    <x v="0"/>
    <n v="125582.5"/>
    <x v="0"/>
    <n v="125582.5"/>
    <n v="112127.23209999999"/>
    <n v="13455.267900000001"/>
    <x v="0"/>
    <x v="0"/>
    <x v="2"/>
    <x v="0"/>
    <x v="0"/>
    <x v="1"/>
    <n v="0"/>
    <n v="125582.5"/>
    <x v="0"/>
    <x v="1"/>
    <x v="0"/>
    <x v="47"/>
    <n v="5000"/>
    <x v="1"/>
    <x v="0"/>
    <x v="0"/>
    <n v="78750"/>
    <n v="78750"/>
    <n v="5000"/>
    <n v="0"/>
    <x v="0"/>
    <x v="0"/>
    <x v="2"/>
    <s v="BTL2LP - 2LITERS BOTTLE PALM [NUTRI] (MBC)"/>
    <x v="0"/>
    <n v="15.75"/>
    <s v="SI4496"/>
    <x v="0"/>
    <x v="0"/>
    <x v="0"/>
    <x v="0"/>
    <x v="2"/>
    <x v="47"/>
    <x v="0"/>
    <x v="47"/>
    <x v="3"/>
    <x v="3"/>
    <x v="0"/>
    <s v="BTL2LP"/>
  </r>
  <r>
    <n v="9808"/>
    <x v="110"/>
    <x v="0"/>
    <x v="124"/>
    <d v="2023-04-18T00:00:00"/>
    <x v="0"/>
    <x v="2"/>
    <x v="0"/>
    <n v="125582.5"/>
    <x v="0"/>
    <n v="125582.5"/>
    <n v="112127.23209999999"/>
    <n v="13455.267900000001"/>
    <x v="0"/>
    <x v="0"/>
    <x v="2"/>
    <x v="0"/>
    <x v="0"/>
    <x v="1"/>
    <n v="0"/>
    <n v="125582.5"/>
    <x v="0"/>
    <x v="1"/>
    <x v="0"/>
    <x v="27"/>
    <n v="7150"/>
    <x v="1"/>
    <x v="0"/>
    <x v="0"/>
    <n v="46832.5"/>
    <n v="46832.5"/>
    <n v="7150"/>
    <n v="0"/>
    <x v="0"/>
    <x v="0"/>
    <x v="2"/>
    <s v="BTL1LP - 1LITER BOTTLE PALM [SWAK] (MBC)"/>
    <x v="0"/>
    <n v="6.55"/>
    <s v="SI4496"/>
    <x v="0"/>
    <x v="0"/>
    <x v="0"/>
    <x v="0"/>
    <x v="2"/>
    <x v="27"/>
    <x v="0"/>
    <x v="27"/>
    <x v="3"/>
    <x v="3"/>
    <x v="0"/>
    <s v="BTL1LP"/>
  </r>
  <r>
    <n v="9807"/>
    <x v="120"/>
    <x v="0"/>
    <x v="125"/>
    <d v="2023-04-03T00:00:00"/>
    <x v="0"/>
    <x v="0"/>
    <x v="0"/>
    <n v="9335.7000000000007"/>
    <x v="0"/>
    <n v="9335.7000000000007"/>
    <n v="8335.4464000000007"/>
    <n v="1000.2536"/>
    <x v="0"/>
    <x v="0"/>
    <x v="35"/>
    <x v="0"/>
    <x v="0"/>
    <x v="0"/>
    <n v="0"/>
    <n v="9335.7000000000007"/>
    <x v="0"/>
    <x v="1"/>
    <x v="0"/>
    <x v="37"/>
    <n v="33000"/>
    <x v="2"/>
    <x v="0"/>
    <x v="0"/>
    <n v="9335.7000000000007"/>
    <n v="9335.7000000000007"/>
    <n v="33000"/>
    <n v="0"/>
    <x v="0"/>
    <x v="0"/>
    <x v="0"/>
    <s v="GINISA - GINISA MIX (ADDITIVES)"/>
    <x v="0"/>
    <n v="0.28289999999999998"/>
    <s v="SI3832021-42902"/>
    <x v="0"/>
    <x v="0"/>
    <x v="0"/>
    <x v="0"/>
    <x v="0"/>
    <x v="37"/>
    <x v="0"/>
    <x v="37"/>
    <x v="4"/>
    <x v="4"/>
    <x v="0"/>
    <s v="GINISA"/>
  </r>
  <r>
    <n v="9805"/>
    <x v="121"/>
    <x v="0"/>
    <x v="126"/>
    <d v="2023-03-17T00:00:00"/>
    <x v="0"/>
    <x v="8"/>
    <x v="0"/>
    <n v="46750"/>
    <x v="0"/>
    <n v="46750"/>
    <n v="41741.071400000001"/>
    <n v="5008.9286000000002"/>
    <x v="0"/>
    <x v="0"/>
    <x v="2"/>
    <x v="0"/>
    <x v="0"/>
    <x v="1"/>
    <n v="0"/>
    <n v="46750"/>
    <x v="0"/>
    <x v="1"/>
    <x v="0"/>
    <x v="12"/>
    <n v="1250000"/>
    <x v="2"/>
    <x v="0"/>
    <x v="0"/>
    <n v="46750"/>
    <n v="46750"/>
    <n v="1250000"/>
    <n v="0"/>
    <x v="0"/>
    <x v="0"/>
    <x v="8"/>
    <s v="FLOUR - FLOUR (HARINA)"/>
    <x v="0"/>
    <n v="3.7400000000000003E-2"/>
    <s v="DR03162023"/>
    <x v="0"/>
    <x v="0"/>
    <x v="0"/>
    <x v="0"/>
    <x v="2"/>
    <x v="12"/>
    <x v="0"/>
    <x v="12"/>
    <x v="4"/>
    <x v="4"/>
    <x v="0"/>
    <s v="FLOUR"/>
  </r>
  <r>
    <n v="9802"/>
    <x v="122"/>
    <x v="0"/>
    <x v="127"/>
    <d v="2022-12-14T00:00:00"/>
    <x v="0"/>
    <x v="0"/>
    <x v="1"/>
    <n v="6999.9930000000004"/>
    <x v="0"/>
    <n v="6999.9930000000004"/>
    <n v="6249.9937"/>
    <n v="749.99919999999997"/>
    <x v="0"/>
    <x v="0"/>
    <x v="36"/>
    <x v="1"/>
    <x v="0"/>
    <x v="1"/>
    <n v="0"/>
    <n v="6999.9930000000004"/>
    <x v="0"/>
    <x v="1"/>
    <x v="0"/>
    <x v="24"/>
    <n v="77"/>
    <x v="0"/>
    <x v="0"/>
    <x v="0"/>
    <n v="6999.9930000000004"/>
    <n v="6999.9930000000004"/>
    <n v="77"/>
    <n v="0"/>
    <x v="0"/>
    <x v="0"/>
    <x v="0"/>
    <s v="COCO - RBD COCONUT OIL"/>
    <x v="0"/>
    <n v="90.909000000000006"/>
    <s v="DR12142022"/>
    <x v="0"/>
    <x v="0"/>
    <x v="1"/>
    <x v="0"/>
    <x v="2"/>
    <x v="24"/>
    <x v="0"/>
    <x v="24"/>
    <x v="0"/>
    <x v="0"/>
    <x v="0"/>
    <s v="COCO"/>
  </r>
  <r>
    <n v="9800"/>
    <x v="111"/>
    <x v="0"/>
    <x v="128"/>
    <d v="2023-03-01T00:00:00"/>
    <x v="0"/>
    <x v="2"/>
    <x v="0"/>
    <n v="120995"/>
    <x v="0"/>
    <n v="120995"/>
    <n v="108031.25"/>
    <n v="12963.75"/>
    <x v="0"/>
    <x v="0"/>
    <x v="2"/>
    <x v="0"/>
    <x v="0"/>
    <x v="1"/>
    <n v="0"/>
    <n v="120995"/>
    <x v="0"/>
    <x v="1"/>
    <x v="0"/>
    <x v="13"/>
    <n v="10080"/>
    <x v="1"/>
    <x v="0"/>
    <x v="0"/>
    <n v="36792"/>
    <n v="36792"/>
    <n v="10080"/>
    <n v="0"/>
    <x v="0"/>
    <x v="0"/>
    <x v="2"/>
    <s v="BTL500MLP - 500ML BOTTLE PALM [SWAK] (MBC)"/>
    <x v="0"/>
    <n v="3.65"/>
    <s v="SI4301"/>
    <x v="0"/>
    <x v="0"/>
    <x v="0"/>
    <x v="0"/>
    <x v="2"/>
    <x v="13"/>
    <x v="0"/>
    <x v="13"/>
    <x v="3"/>
    <x v="3"/>
    <x v="0"/>
    <s v="BTL500MLP"/>
  </r>
  <r>
    <n v="9800"/>
    <x v="111"/>
    <x v="0"/>
    <x v="128"/>
    <d v="2023-03-01T00:00:00"/>
    <x v="0"/>
    <x v="2"/>
    <x v="0"/>
    <n v="120995"/>
    <x v="0"/>
    <n v="120995"/>
    <n v="108031.25"/>
    <n v="12963.75"/>
    <x v="0"/>
    <x v="0"/>
    <x v="2"/>
    <x v="0"/>
    <x v="0"/>
    <x v="1"/>
    <n v="0"/>
    <n v="120995"/>
    <x v="0"/>
    <x v="1"/>
    <x v="0"/>
    <x v="14"/>
    <n v="10080"/>
    <x v="1"/>
    <x v="0"/>
    <x v="0"/>
    <n v="33768"/>
    <n v="33768"/>
    <n v="10080"/>
    <n v="0"/>
    <x v="0"/>
    <x v="0"/>
    <x v="2"/>
    <s v="BTL350MLP - 350ML BOTTLE PALM [SWAK] (MBC)"/>
    <x v="0"/>
    <n v="3.35"/>
    <s v="SI4301"/>
    <x v="0"/>
    <x v="0"/>
    <x v="0"/>
    <x v="0"/>
    <x v="2"/>
    <x v="14"/>
    <x v="0"/>
    <x v="14"/>
    <x v="3"/>
    <x v="3"/>
    <x v="0"/>
    <s v="BTL350MLP"/>
  </r>
  <r>
    <n v="9800"/>
    <x v="111"/>
    <x v="0"/>
    <x v="128"/>
    <d v="2023-03-01T00:00:00"/>
    <x v="0"/>
    <x v="2"/>
    <x v="0"/>
    <n v="120995"/>
    <x v="0"/>
    <n v="120995"/>
    <n v="108031.25"/>
    <n v="12963.75"/>
    <x v="0"/>
    <x v="0"/>
    <x v="2"/>
    <x v="0"/>
    <x v="0"/>
    <x v="1"/>
    <n v="0"/>
    <n v="120995"/>
    <x v="0"/>
    <x v="1"/>
    <x v="0"/>
    <x v="27"/>
    <n v="7700"/>
    <x v="1"/>
    <x v="0"/>
    <x v="0"/>
    <n v="50435"/>
    <n v="50435"/>
    <n v="7700"/>
    <n v="0"/>
    <x v="0"/>
    <x v="0"/>
    <x v="2"/>
    <s v="BTL1LP - 1LITER BOTTLE PALM [SWAK] (MBC)"/>
    <x v="0"/>
    <n v="6.55"/>
    <s v="SI4301"/>
    <x v="0"/>
    <x v="0"/>
    <x v="0"/>
    <x v="0"/>
    <x v="2"/>
    <x v="27"/>
    <x v="0"/>
    <x v="27"/>
    <x v="3"/>
    <x v="3"/>
    <x v="0"/>
    <s v="BTL1LP"/>
  </r>
  <r>
    <n v="9799"/>
    <x v="91"/>
    <x v="0"/>
    <x v="129"/>
    <d v="2023-02-08T00:00:00"/>
    <x v="0"/>
    <x v="9"/>
    <x v="0"/>
    <n v="25600"/>
    <x v="0"/>
    <n v="25600"/>
    <n v="22857.142899999999"/>
    <n v="2742.8571000000002"/>
    <x v="0"/>
    <x v="0"/>
    <x v="2"/>
    <x v="0"/>
    <x v="0"/>
    <x v="1"/>
    <n v="25600"/>
    <n v="0"/>
    <x v="0"/>
    <x v="1"/>
    <x v="0"/>
    <x v="17"/>
    <n v="640"/>
    <x v="1"/>
    <x v="0"/>
    <x v="0"/>
    <n v="25600"/>
    <n v="25600"/>
    <n v="640"/>
    <n v="0"/>
    <x v="0"/>
    <x v="0"/>
    <x v="9"/>
    <s v="DBLSDTP30M - DOUBLE SIDED TAPE 3/4''x30M (CONNAN)"/>
    <x v="0"/>
    <n v="40"/>
    <s v="DR3732"/>
    <x v="0"/>
    <x v="0"/>
    <x v="0"/>
    <x v="0"/>
    <x v="2"/>
    <x v="17"/>
    <x v="0"/>
    <x v="17"/>
    <x v="5"/>
    <x v="5"/>
    <x v="0"/>
    <s v="DBLSDTP30M"/>
  </r>
  <r>
    <n v="9798"/>
    <x v="105"/>
    <x v="0"/>
    <x v="130"/>
    <d v="2023-02-11T00:00:00"/>
    <x v="0"/>
    <x v="1"/>
    <x v="0"/>
    <n v="96000"/>
    <x v="0"/>
    <n v="96000"/>
    <n v="85714.285699999993"/>
    <n v="10285.7143"/>
    <x v="0"/>
    <x v="0"/>
    <x v="2"/>
    <x v="0"/>
    <x v="0"/>
    <x v="1"/>
    <n v="0"/>
    <n v="96000"/>
    <x v="0"/>
    <x v="1"/>
    <x v="0"/>
    <x v="56"/>
    <n v="3000"/>
    <x v="1"/>
    <x v="0"/>
    <x v="0"/>
    <n v="96000"/>
    <n v="96000"/>
    <n v="3000"/>
    <n v="0"/>
    <x v="0"/>
    <x v="0"/>
    <x v="1"/>
    <s v="BOX1LPSPC - 1LITER BOX PALM (SPC)"/>
    <x v="0"/>
    <n v="32"/>
    <s v="SI498942"/>
    <x v="0"/>
    <x v="0"/>
    <x v="0"/>
    <x v="0"/>
    <x v="2"/>
    <x v="56"/>
    <x v="1"/>
    <x v="29"/>
    <x v="2"/>
    <x v="2"/>
    <x v="0"/>
    <s v="BOX1LPSPC"/>
  </r>
  <r>
    <n v="9796"/>
    <x v="121"/>
    <x v="0"/>
    <x v="129"/>
    <d v="2023-02-08T00:00:00"/>
    <x v="0"/>
    <x v="0"/>
    <x v="1"/>
    <n v="1210770.6155999999"/>
    <x v="0"/>
    <n v="1210770.6155999999"/>
    <n v="1081045.1924999999"/>
    <n v="129725.4231"/>
    <x v="0"/>
    <x v="0"/>
    <x v="29"/>
    <x v="1"/>
    <x v="0"/>
    <x v="1"/>
    <n v="0"/>
    <n v="1210770.6155999999"/>
    <x v="0"/>
    <x v="1"/>
    <x v="0"/>
    <x v="24"/>
    <n v="22932"/>
    <x v="0"/>
    <x v="0"/>
    <x v="0"/>
    <n v="1210770.6155999999"/>
    <n v="1210770.6155999999"/>
    <n v="22932"/>
    <n v="0"/>
    <x v="0"/>
    <x v="0"/>
    <x v="0"/>
    <s v="COCO - RBD COCONUT OIL"/>
    <x v="0"/>
    <n v="52.798299999999998"/>
    <s v="DR2771"/>
    <x v="0"/>
    <x v="0"/>
    <x v="1"/>
    <x v="0"/>
    <x v="0"/>
    <x v="24"/>
    <x v="0"/>
    <x v="24"/>
    <x v="0"/>
    <x v="0"/>
    <x v="0"/>
    <s v="COCO"/>
  </r>
  <r>
    <n v="9795"/>
    <x v="123"/>
    <x v="0"/>
    <x v="129"/>
    <d v="2023-02-08T00:00:00"/>
    <x v="0"/>
    <x v="0"/>
    <x v="1"/>
    <n v="657599.97450000001"/>
    <x v="0"/>
    <n v="657599.97450000001"/>
    <n v="587142.83440000005"/>
    <n v="70457.140100000004"/>
    <x v="0"/>
    <x v="0"/>
    <x v="37"/>
    <x v="1"/>
    <x v="0"/>
    <x v="1"/>
    <n v="0"/>
    <n v="657599.97450000001"/>
    <x v="0"/>
    <x v="1"/>
    <x v="0"/>
    <x v="51"/>
    <n v="10909"/>
    <x v="0"/>
    <x v="0"/>
    <x v="0"/>
    <n v="657599.97450000001"/>
    <n v="657599.97450000001"/>
    <n v="10909"/>
    <n v="0"/>
    <x v="0"/>
    <x v="0"/>
    <x v="0"/>
    <s v="PALM - RBD PALM OLEIN (LOCAL)"/>
    <x v="0"/>
    <n v="60.280500000000004"/>
    <s v="DR469345"/>
    <x v="0"/>
    <x v="0"/>
    <x v="1"/>
    <x v="0"/>
    <x v="0"/>
    <x v="51"/>
    <x v="0"/>
    <x v="51"/>
    <x v="0"/>
    <x v="0"/>
    <x v="0"/>
    <s v="PALM"/>
  </r>
  <r>
    <n v="9794"/>
    <x v="124"/>
    <x v="0"/>
    <x v="131"/>
    <d v="2023-02-04T00:00:00"/>
    <x v="0"/>
    <x v="0"/>
    <x v="1"/>
    <n v="1954496.9687999999"/>
    <x v="0"/>
    <n v="1954496.9687999999"/>
    <n v="1745086.5793000001"/>
    <n v="209410.38949999999"/>
    <x v="0"/>
    <x v="0"/>
    <x v="19"/>
    <x v="1"/>
    <x v="0"/>
    <x v="1"/>
    <n v="-1954903.5112000001"/>
    <n v="3909400.48"/>
    <x v="0"/>
    <x v="1"/>
    <x v="0"/>
    <x v="31"/>
    <n v="23864"/>
    <x v="0"/>
    <x v="0"/>
    <x v="0"/>
    <n v="1954496.9687999999"/>
    <n v="1954496.9687999999"/>
    <n v="23864"/>
    <n v="0"/>
    <x v="0"/>
    <x v="0"/>
    <x v="0"/>
    <s v="SOYA - RBD SOYA BEAN OIL"/>
    <x v="0"/>
    <n v="81.901482099999996"/>
    <s v="DR1623"/>
    <x v="0"/>
    <x v="0"/>
    <x v="1"/>
    <x v="0"/>
    <x v="0"/>
    <x v="31"/>
    <x v="0"/>
    <x v="31"/>
    <x v="0"/>
    <x v="0"/>
    <x v="0"/>
    <s v="SOYA"/>
  </r>
  <r>
    <n v="9792"/>
    <x v="2"/>
    <x v="0"/>
    <x v="132"/>
    <d v="2022-12-21T00:00:00"/>
    <x v="0"/>
    <x v="8"/>
    <x v="0"/>
    <n v="2710"/>
    <x v="0"/>
    <n v="2710"/>
    <n v="2419.6428999999998"/>
    <n v="290.3571"/>
    <x v="0"/>
    <x v="0"/>
    <x v="2"/>
    <x v="0"/>
    <x v="0"/>
    <x v="1"/>
    <n v="0"/>
    <n v="2710"/>
    <x v="0"/>
    <x v="1"/>
    <x v="0"/>
    <x v="6"/>
    <n v="125000"/>
    <x v="2"/>
    <x v="0"/>
    <x v="0"/>
    <n v="1650"/>
    <n v="1650"/>
    <n v="125000"/>
    <n v="0"/>
    <x v="0"/>
    <x v="0"/>
    <x v="8"/>
    <s v="SALT - SALT IODIZED (SALINE)"/>
    <x v="0"/>
    <n v="1.32E-2"/>
    <s v="DR12212022"/>
    <x v="0"/>
    <x v="0"/>
    <x v="0"/>
    <x v="0"/>
    <x v="2"/>
    <x v="6"/>
    <x v="0"/>
    <x v="6"/>
    <x v="4"/>
    <x v="4"/>
    <x v="0"/>
    <s v="SALT"/>
  </r>
  <r>
    <n v="9791"/>
    <x v="3"/>
    <x v="0"/>
    <x v="133"/>
    <d v="2023-01-11T00:00:00"/>
    <x v="0"/>
    <x v="8"/>
    <x v="0"/>
    <n v="95100"/>
    <x v="0"/>
    <n v="95100"/>
    <n v="84910.714300000007"/>
    <n v="10189.2857"/>
    <x v="0"/>
    <x v="0"/>
    <x v="2"/>
    <x v="0"/>
    <x v="0"/>
    <x v="1"/>
    <n v="0"/>
    <n v="95100"/>
    <x v="0"/>
    <x v="1"/>
    <x v="0"/>
    <x v="12"/>
    <n v="2500000"/>
    <x v="2"/>
    <x v="0"/>
    <x v="0"/>
    <n v="93500"/>
    <n v="93500"/>
    <n v="2500000"/>
    <n v="0"/>
    <x v="0"/>
    <x v="0"/>
    <x v="8"/>
    <s v="FLOUR - FLOUR (HARINA)"/>
    <x v="0"/>
    <n v="3.7400000000000003E-2"/>
    <s v="DR01112023"/>
    <x v="0"/>
    <x v="0"/>
    <x v="0"/>
    <x v="0"/>
    <x v="2"/>
    <x v="12"/>
    <x v="0"/>
    <x v="12"/>
    <x v="4"/>
    <x v="4"/>
    <x v="0"/>
    <s v="FLOUR"/>
  </r>
  <r>
    <n v="9791"/>
    <x v="3"/>
    <x v="0"/>
    <x v="133"/>
    <d v="2023-01-11T00:00:00"/>
    <x v="0"/>
    <x v="8"/>
    <x v="0"/>
    <n v="95100"/>
    <x v="0"/>
    <n v="95100"/>
    <n v="84910.714300000007"/>
    <n v="10189.2857"/>
    <x v="0"/>
    <x v="0"/>
    <x v="2"/>
    <x v="0"/>
    <x v="0"/>
    <x v="1"/>
    <n v="0"/>
    <n v="95100"/>
    <x v="0"/>
    <x v="1"/>
    <x v="0"/>
    <x v="6"/>
    <n v="125000"/>
    <x v="2"/>
    <x v="0"/>
    <x v="0"/>
    <n v="1600"/>
    <n v="1600"/>
    <n v="125000"/>
    <n v="0"/>
    <x v="0"/>
    <x v="0"/>
    <x v="8"/>
    <s v="SALT - SALT IODIZED (SALINE)"/>
    <x v="0"/>
    <n v="1.2800000000000001E-2"/>
    <s v="DR01112023"/>
    <x v="0"/>
    <x v="0"/>
    <x v="0"/>
    <x v="0"/>
    <x v="2"/>
    <x v="6"/>
    <x v="0"/>
    <x v="6"/>
    <x v="4"/>
    <x v="4"/>
    <x v="0"/>
    <s v="SALT"/>
  </r>
  <r>
    <n v="9789"/>
    <x v="21"/>
    <x v="0"/>
    <x v="134"/>
    <d v="2022-12-30T00:00:00"/>
    <x v="0"/>
    <x v="8"/>
    <x v="0"/>
    <n v="93500"/>
    <x v="0"/>
    <n v="93500"/>
    <n v="83482.142900000006"/>
    <n v="10017.857099999999"/>
    <x v="0"/>
    <x v="0"/>
    <x v="2"/>
    <x v="0"/>
    <x v="0"/>
    <x v="1"/>
    <n v="0"/>
    <n v="93500"/>
    <x v="0"/>
    <x v="1"/>
    <x v="0"/>
    <x v="12"/>
    <n v="2500000"/>
    <x v="2"/>
    <x v="0"/>
    <x v="0"/>
    <n v="93500"/>
    <n v="93500"/>
    <n v="2500000"/>
    <n v="0"/>
    <x v="0"/>
    <x v="0"/>
    <x v="8"/>
    <s v="FLOUR - FLOUR (HARINA)"/>
    <x v="0"/>
    <n v="3.7400000000000003E-2"/>
    <s v="DR12012022"/>
    <x v="0"/>
    <x v="0"/>
    <x v="0"/>
    <x v="0"/>
    <x v="2"/>
    <x v="12"/>
    <x v="0"/>
    <x v="12"/>
    <x v="4"/>
    <x v="4"/>
    <x v="0"/>
    <s v="FLOUR"/>
  </r>
  <r>
    <n v="9788"/>
    <x v="125"/>
    <x v="0"/>
    <x v="135"/>
    <d v="2022-12-17T00:00:00"/>
    <x v="0"/>
    <x v="0"/>
    <x v="1"/>
    <n v="261800"/>
    <x v="0"/>
    <n v="261800"/>
    <n v="233750"/>
    <n v="28050"/>
    <x v="0"/>
    <x v="0"/>
    <x v="29"/>
    <x v="1"/>
    <x v="0"/>
    <x v="1"/>
    <n v="0"/>
    <n v="261800"/>
    <x v="0"/>
    <x v="1"/>
    <x v="0"/>
    <x v="24"/>
    <n v="4375"/>
    <x v="0"/>
    <x v="0"/>
    <x v="0"/>
    <n v="261800"/>
    <n v="261800"/>
    <n v="4375"/>
    <n v="0"/>
    <x v="0"/>
    <x v="0"/>
    <x v="0"/>
    <s v="COCO - RBD COCONUT OIL"/>
    <x v="0"/>
    <n v="59.84"/>
    <s v="DR1663"/>
    <x v="0"/>
    <x v="0"/>
    <x v="1"/>
    <x v="0"/>
    <x v="0"/>
    <x v="24"/>
    <x v="0"/>
    <x v="24"/>
    <x v="0"/>
    <x v="0"/>
    <x v="0"/>
    <s v="COCO"/>
  </r>
  <r>
    <n v="9786"/>
    <x v="34"/>
    <x v="0"/>
    <x v="132"/>
    <d v="2022-12-21T00:00:00"/>
    <x v="0"/>
    <x v="8"/>
    <x v="0"/>
    <n v="0"/>
    <x v="0"/>
    <n v="0"/>
    <n v="0"/>
    <n v="0"/>
    <x v="0"/>
    <x v="0"/>
    <x v="2"/>
    <x v="0"/>
    <x v="0"/>
    <x v="1"/>
    <n v="0"/>
    <n v="0"/>
    <x v="0"/>
    <x v="1"/>
    <x v="0"/>
    <x v="6"/>
    <n v="125000"/>
    <x v="2"/>
    <x v="0"/>
    <x v="0"/>
    <n v="0"/>
    <n v="0"/>
    <n v="125000"/>
    <n v="0"/>
    <x v="0"/>
    <x v="0"/>
    <x v="8"/>
    <s v="SALT - SALT IODIZED (SALINE)"/>
    <x v="0"/>
    <n v="0"/>
    <s v="DR12212022"/>
    <x v="0"/>
    <x v="0"/>
    <x v="0"/>
    <x v="0"/>
    <x v="2"/>
    <x v="6"/>
    <x v="0"/>
    <x v="6"/>
    <x v="4"/>
    <x v="4"/>
    <x v="0"/>
    <s v="SALT"/>
  </r>
  <r>
    <n v="9785"/>
    <x v="57"/>
    <x v="0"/>
    <x v="132"/>
    <d v="2022-12-21T00:00:00"/>
    <x v="0"/>
    <x v="8"/>
    <x v="0"/>
    <n v="93500"/>
    <x v="0"/>
    <n v="93500"/>
    <n v="83482.142900000006"/>
    <n v="10017.857099999999"/>
    <x v="0"/>
    <x v="0"/>
    <x v="2"/>
    <x v="0"/>
    <x v="0"/>
    <x v="1"/>
    <n v="0"/>
    <n v="93500"/>
    <x v="0"/>
    <x v="1"/>
    <x v="0"/>
    <x v="12"/>
    <n v="2500000"/>
    <x v="2"/>
    <x v="0"/>
    <x v="0"/>
    <n v="93500"/>
    <n v="93500"/>
    <n v="2500000"/>
    <n v="0"/>
    <x v="0"/>
    <x v="0"/>
    <x v="8"/>
    <s v="FLOUR - FLOUR (HARINA)"/>
    <x v="0"/>
    <n v="3.7400000000000003E-2"/>
    <s v="DR12212022"/>
    <x v="0"/>
    <x v="0"/>
    <x v="0"/>
    <x v="0"/>
    <x v="2"/>
    <x v="12"/>
    <x v="0"/>
    <x v="12"/>
    <x v="4"/>
    <x v="4"/>
    <x v="0"/>
    <s v="FLOUR"/>
  </r>
  <r>
    <n v="9784"/>
    <x v="58"/>
    <x v="0"/>
    <x v="136"/>
    <d v="2022-12-16T00:00:00"/>
    <x v="0"/>
    <x v="8"/>
    <x v="0"/>
    <n v="2960"/>
    <x v="0"/>
    <n v="2960"/>
    <n v="2642.8571000000002"/>
    <n v="317.1429"/>
    <x v="0"/>
    <x v="0"/>
    <x v="2"/>
    <x v="0"/>
    <x v="0"/>
    <x v="1"/>
    <n v="2640"/>
    <n v="320"/>
    <x v="0"/>
    <x v="1"/>
    <x v="0"/>
    <x v="6"/>
    <n v="25000"/>
    <x v="2"/>
    <x v="0"/>
    <x v="0"/>
    <n v="320"/>
    <n v="320"/>
    <n v="25000"/>
    <n v="0"/>
    <x v="0"/>
    <x v="0"/>
    <x v="8"/>
    <s v="SALT - SALT IODIZED (SALINE)"/>
    <x v="0"/>
    <n v="1.2800000000000001E-2"/>
    <s v="DR12162022"/>
    <x v="0"/>
    <x v="0"/>
    <x v="0"/>
    <x v="0"/>
    <x v="2"/>
    <x v="6"/>
    <x v="0"/>
    <x v="6"/>
    <x v="4"/>
    <x v="4"/>
    <x v="0"/>
    <s v="SALT"/>
  </r>
  <r>
    <n v="9784"/>
    <x v="58"/>
    <x v="0"/>
    <x v="136"/>
    <d v="2022-12-16T00:00:00"/>
    <x v="0"/>
    <x v="8"/>
    <x v="0"/>
    <n v="2960"/>
    <x v="0"/>
    <n v="2960"/>
    <n v="2642.8571000000002"/>
    <n v="317.1429"/>
    <x v="0"/>
    <x v="0"/>
    <x v="2"/>
    <x v="0"/>
    <x v="0"/>
    <x v="1"/>
    <n v="2640"/>
    <n v="320"/>
    <x v="0"/>
    <x v="1"/>
    <x v="0"/>
    <x v="57"/>
    <n v="12000"/>
    <x v="2"/>
    <x v="0"/>
    <x v="0"/>
    <n v="2640"/>
    <n v="2640"/>
    <n v="12000"/>
    <n v="0"/>
    <x v="0"/>
    <x v="0"/>
    <x v="8"/>
    <s v="EGG - EGG YELLOW (COLORING)"/>
    <x v="0"/>
    <n v="0.22"/>
    <s v="DR12162022"/>
    <x v="0"/>
    <x v="0"/>
    <x v="0"/>
    <x v="0"/>
    <x v="2"/>
    <x v="57"/>
    <x v="0"/>
    <x v="55"/>
    <x v="4"/>
    <x v="4"/>
    <x v="0"/>
    <s v="EGG"/>
  </r>
  <r>
    <n v="9783"/>
    <x v="103"/>
    <x v="0"/>
    <x v="136"/>
    <d v="2022-12-16T00:00:00"/>
    <x v="0"/>
    <x v="8"/>
    <x v="0"/>
    <n v="93500"/>
    <x v="0"/>
    <n v="93500"/>
    <n v="83482.142900000006"/>
    <n v="10017.857099999999"/>
    <x v="0"/>
    <x v="0"/>
    <x v="2"/>
    <x v="0"/>
    <x v="0"/>
    <x v="1"/>
    <n v="0"/>
    <n v="93500"/>
    <x v="0"/>
    <x v="1"/>
    <x v="0"/>
    <x v="12"/>
    <n v="2500000"/>
    <x v="2"/>
    <x v="0"/>
    <x v="0"/>
    <n v="93500"/>
    <n v="93500"/>
    <n v="2500000"/>
    <n v="0"/>
    <x v="0"/>
    <x v="0"/>
    <x v="8"/>
    <s v="FLOUR - FLOUR (HARINA)"/>
    <x v="0"/>
    <n v="3.7400000000000003E-2"/>
    <s v="DR12162022"/>
    <x v="0"/>
    <x v="0"/>
    <x v="0"/>
    <x v="0"/>
    <x v="2"/>
    <x v="12"/>
    <x v="0"/>
    <x v="12"/>
    <x v="4"/>
    <x v="4"/>
    <x v="0"/>
    <s v="FLOUR"/>
  </r>
  <r>
    <n v="9782"/>
    <x v="2"/>
    <x v="0"/>
    <x v="137"/>
    <d v="2022-12-15T00:00:00"/>
    <x v="0"/>
    <x v="0"/>
    <x v="1"/>
    <n v="7065.6534000000001"/>
    <x v="0"/>
    <n v="7065.6534000000001"/>
    <n v="6308.6190999999999"/>
    <n v="757.03430000000003"/>
    <x v="0"/>
    <x v="0"/>
    <x v="36"/>
    <x v="1"/>
    <x v="0"/>
    <x v="1"/>
    <n v="7065.6534000000001"/>
    <n v="0"/>
    <x v="0"/>
    <x v="1"/>
    <x v="0"/>
    <x v="24"/>
    <n v="78"/>
    <x v="0"/>
    <x v="0"/>
    <x v="0"/>
    <n v="7065.6534000000001"/>
    <n v="7065.6534000000001"/>
    <n v="78"/>
    <n v="0"/>
    <x v="0"/>
    <x v="0"/>
    <x v="0"/>
    <s v="COCO - RBD COCONUT OIL"/>
    <x v="0"/>
    <n v="90.585300000000004"/>
    <s v="DR12142022"/>
    <x v="0"/>
    <x v="0"/>
    <x v="1"/>
    <x v="0"/>
    <x v="2"/>
    <x v="24"/>
    <x v="0"/>
    <x v="24"/>
    <x v="0"/>
    <x v="0"/>
    <x v="0"/>
    <s v="COCO"/>
  </r>
  <r>
    <n v="9781"/>
    <x v="104"/>
    <x v="0"/>
    <x v="127"/>
    <d v="2022-12-14T00:00:00"/>
    <x v="0"/>
    <x v="8"/>
    <x v="0"/>
    <n v="46750"/>
    <x v="0"/>
    <n v="46750"/>
    <n v="41741.071400000001"/>
    <n v="5008.9286000000002"/>
    <x v="0"/>
    <x v="0"/>
    <x v="2"/>
    <x v="0"/>
    <x v="0"/>
    <x v="1"/>
    <n v="0"/>
    <n v="46750"/>
    <x v="0"/>
    <x v="1"/>
    <x v="0"/>
    <x v="12"/>
    <n v="1250000"/>
    <x v="2"/>
    <x v="0"/>
    <x v="0"/>
    <n v="46750"/>
    <n v="46750"/>
    <n v="1250000"/>
    <n v="0"/>
    <x v="0"/>
    <x v="0"/>
    <x v="8"/>
    <s v="FLOUR - FLOUR (HARINA)"/>
    <x v="0"/>
    <n v="3.7400000000000003E-2"/>
    <s v="DR12142022"/>
    <x v="0"/>
    <x v="0"/>
    <x v="0"/>
    <x v="0"/>
    <x v="2"/>
    <x v="12"/>
    <x v="0"/>
    <x v="12"/>
    <x v="4"/>
    <x v="4"/>
    <x v="0"/>
    <s v="FLOUR"/>
  </r>
  <r>
    <n v="9779"/>
    <x v="3"/>
    <x v="0"/>
    <x v="138"/>
    <d v="2022-12-09T00:00:00"/>
    <x v="0"/>
    <x v="0"/>
    <x v="1"/>
    <n v="2719499.6779999998"/>
    <x v="0"/>
    <n v="2719499.6779999998"/>
    <n v="2428124.7124999999"/>
    <n v="291374.96549999999"/>
    <x v="0"/>
    <x v="0"/>
    <x v="37"/>
    <x v="1"/>
    <x v="0"/>
    <x v="1"/>
    <n v="0"/>
    <n v="2719499.6779999998"/>
    <x v="0"/>
    <x v="1"/>
    <x v="0"/>
    <x v="51"/>
    <n v="41762"/>
    <x v="0"/>
    <x v="0"/>
    <x v="0"/>
    <n v="2719499.6779999998"/>
    <n v="2719499.6779999998"/>
    <n v="41762"/>
    <n v="0"/>
    <x v="0"/>
    <x v="0"/>
    <x v="0"/>
    <s v="PALM - RBD PALM OLEIN (LOCAL)"/>
    <x v="0"/>
    <n v="65.119"/>
    <s v="DR729"/>
    <x v="0"/>
    <x v="0"/>
    <x v="1"/>
    <x v="0"/>
    <x v="2"/>
    <x v="51"/>
    <x v="0"/>
    <x v="51"/>
    <x v="0"/>
    <x v="0"/>
    <x v="0"/>
    <s v="PALM"/>
  </r>
  <r>
    <n v="9778"/>
    <x v="8"/>
    <x v="0"/>
    <x v="139"/>
    <d v="2022-12-08T00:00:00"/>
    <x v="0"/>
    <x v="8"/>
    <x v="0"/>
    <n v="29920"/>
    <x v="0"/>
    <n v="29920"/>
    <n v="26714.2857"/>
    <n v="3205.7143000000001"/>
    <x v="0"/>
    <x v="0"/>
    <x v="2"/>
    <x v="0"/>
    <x v="0"/>
    <x v="0"/>
    <n v="0"/>
    <n v="29920"/>
    <x v="0"/>
    <x v="1"/>
    <x v="0"/>
    <x v="12"/>
    <n v="800000"/>
    <x v="2"/>
    <x v="0"/>
    <x v="0"/>
    <n v="29920"/>
    <n v="29920"/>
    <n v="800000"/>
    <n v="0"/>
    <x v="0"/>
    <x v="0"/>
    <x v="8"/>
    <s v="FLOUR - FLOUR (HARINA)"/>
    <x v="0"/>
    <n v="3.7400000000000003E-2"/>
    <s v="DR12082022"/>
    <x v="0"/>
    <x v="0"/>
    <x v="0"/>
    <x v="0"/>
    <x v="2"/>
    <x v="12"/>
    <x v="0"/>
    <x v="12"/>
    <x v="4"/>
    <x v="4"/>
    <x v="0"/>
    <s v="FLOUR"/>
  </r>
  <r>
    <n v="9777"/>
    <x v="11"/>
    <x v="0"/>
    <x v="140"/>
    <d v="2022-12-10T00:00:00"/>
    <x v="0"/>
    <x v="8"/>
    <x v="0"/>
    <n v="44880"/>
    <x v="0"/>
    <n v="44880"/>
    <n v="40071.428599999999"/>
    <n v="4808.5713999999998"/>
    <x v="0"/>
    <x v="0"/>
    <x v="2"/>
    <x v="0"/>
    <x v="0"/>
    <x v="1"/>
    <n v="0"/>
    <n v="44880"/>
    <x v="0"/>
    <x v="1"/>
    <x v="0"/>
    <x v="12"/>
    <n v="1200000"/>
    <x v="2"/>
    <x v="0"/>
    <x v="0"/>
    <n v="44880"/>
    <n v="44880"/>
    <n v="1200000"/>
    <n v="0"/>
    <x v="0"/>
    <x v="0"/>
    <x v="8"/>
    <s v="FLOUR - FLOUR (HARINA)"/>
    <x v="0"/>
    <n v="3.7400000000000003E-2"/>
    <s v="DR12102022"/>
    <x v="0"/>
    <x v="0"/>
    <x v="0"/>
    <x v="0"/>
    <x v="2"/>
    <x v="12"/>
    <x v="0"/>
    <x v="12"/>
    <x v="4"/>
    <x v="4"/>
    <x v="0"/>
    <s v="FLOUR"/>
  </r>
  <r>
    <n v="9776"/>
    <x v="112"/>
    <x v="0"/>
    <x v="141"/>
    <d v="2022-12-12T00:00:00"/>
    <x v="0"/>
    <x v="2"/>
    <x v="0"/>
    <n v="140772.5"/>
    <x v="0"/>
    <n v="140772.5"/>
    <n v="125689.73209999999"/>
    <n v="15082.767900000001"/>
    <x v="0"/>
    <x v="0"/>
    <x v="2"/>
    <x v="0"/>
    <x v="0"/>
    <x v="1"/>
    <n v="0"/>
    <n v="140772.5"/>
    <x v="0"/>
    <x v="1"/>
    <x v="0"/>
    <x v="14"/>
    <n v="13650"/>
    <x v="1"/>
    <x v="0"/>
    <x v="0"/>
    <n v="45727.5"/>
    <n v="45727.5"/>
    <n v="13650"/>
    <n v="0"/>
    <x v="0"/>
    <x v="0"/>
    <x v="2"/>
    <s v="BTL350MLP - 350ML BOTTLE PALM [SWAK] (MBC)"/>
    <x v="0"/>
    <n v="3.35"/>
    <s v="SI3965"/>
    <x v="0"/>
    <x v="0"/>
    <x v="0"/>
    <x v="0"/>
    <x v="2"/>
    <x v="14"/>
    <x v="0"/>
    <x v="14"/>
    <x v="3"/>
    <x v="3"/>
    <x v="0"/>
    <s v="BTL350MLP"/>
  </r>
  <r>
    <n v="9776"/>
    <x v="112"/>
    <x v="0"/>
    <x v="141"/>
    <d v="2022-12-12T00:00:00"/>
    <x v="0"/>
    <x v="2"/>
    <x v="0"/>
    <n v="140772.5"/>
    <x v="0"/>
    <n v="140772.5"/>
    <n v="125689.73209999999"/>
    <n v="15082.767900000001"/>
    <x v="0"/>
    <x v="0"/>
    <x v="2"/>
    <x v="0"/>
    <x v="0"/>
    <x v="1"/>
    <n v="0"/>
    <n v="140772.5"/>
    <x v="0"/>
    <x v="1"/>
    <x v="0"/>
    <x v="47"/>
    <n v="3260"/>
    <x v="1"/>
    <x v="0"/>
    <x v="0"/>
    <n v="51345"/>
    <n v="51345"/>
    <n v="3260"/>
    <n v="0"/>
    <x v="0"/>
    <x v="0"/>
    <x v="2"/>
    <s v="BTL2LP - 2LITERS BOTTLE PALM [NUTRI] (MBC)"/>
    <x v="0"/>
    <n v="15.75"/>
    <s v="SI3965"/>
    <x v="0"/>
    <x v="0"/>
    <x v="0"/>
    <x v="0"/>
    <x v="2"/>
    <x v="47"/>
    <x v="0"/>
    <x v="47"/>
    <x v="3"/>
    <x v="3"/>
    <x v="0"/>
    <s v="BTL2LP"/>
  </r>
  <r>
    <n v="9776"/>
    <x v="112"/>
    <x v="0"/>
    <x v="141"/>
    <d v="2022-12-12T00:00:00"/>
    <x v="0"/>
    <x v="2"/>
    <x v="0"/>
    <n v="140772.5"/>
    <x v="0"/>
    <n v="140772.5"/>
    <n v="125689.73209999999"/>
    <n v="15082.767900000001"/>
    <x v="0"/>
    <x v="0"/>
    <x v="2"/>
    <x v="0"/>
    <x v="0"/>
    <x v="1"/>
    <n v="0"/>
    <n v="140772.5"/>
    <x v="0"/>
    <x v="1"/>
    <x v="0"/>
    <x v="48"/>
    <n v="2300"/>
    <x v="1"/>
    <x v="0"/>
    <x v="0"/>
    <n v="43700"/>
    <n v="43700"/>
    <n v="2300"/>
    <n v="0"/>
    <x v="0"/>
    <x v="0"/>
    <x v="2"/>
    <s v="BTL2LS - 2LITERS BOTTLE SOYA [ROUND] YELLOW (MBC)"/>
    <x v="0"/>
    <n v="19"/>
    <s v="SI3965"/>
    <x v="0"/>
    <x v="0"/>
    <x v="0"/>
    <x v="0"/>
    <x v="2"/>
    <x v="48"/>
    <x v="0"/>
    <x v="48"/>
    <x v="3"/>
    <x v="3"/>
    <x v="0"/>
    <s v="BTL2LS"/>
  </r>
  <r>
    <n v="9775"/>
    <x v="33"/>
    <x v="0"/>
    <x v="142"/>
    <d v="2022-12-05T00:00:00"/>
    <x v="0"/>
    <x v="8"/>
    <x v="0"/>
    <n v="2640"/>
    <x v="0"/>
    <n v="2640"/>
    <n v="2357.1428999999998"/>
    <n v="282.8571"/>
    <x v="0"/>
    <x v="0"/>
    <x v="2"/>
    <x v="0"/>
    <x v="0"/>
    <x v="1"/>
    <n v="0"/>
    <n v="2640"/>
    <x v="0"/>
    <x v="1"/>
    <x v="0"/>
    <x v="57"/>
    <n v="12000"/>
    <x v="2"/>
    <x v="0"/>
    <x v="0"/>
    <n v="2640"/>
    <n v="2640"/>
    <n v="12000"/>
    <n v="0"/>
    <x v="0"/>
    <x v="0"/>
    <x v="8"/>
    <s v="EGG - EGG YELLOW (COLORING)"/>
    <x v="0"/>
    <n v="0.22"/>
    <s v="DR11162022"/>
    <x v="0"/>
    <x v="0"/>
    <x v="0"/>
    <x v="0"/>
    <x v="2"/>
    <x v="57"/>
    <x v="0"/>
    <x v="55"/>
    <x v="4"/>
    <x v="4"/>
    <x v="0"/>
    <s v="EGG"/>
  </r>
  <r>
    <n v="9773"/>
    <x v="119"/>
    <x v="0"/>
    <x v="143"/>
    <d v="2022-12-02T00:00:00"/>
    <x v="0"/>
    <x v="2"/>
    <x v="0"/>
    <n v="141433"/>
    <x v="0"/>
    <n v="141433"/>
    <n v="126279.46430000001"/>
    <n v="15153.5357"/>
    <x v="0"/>
    <x v="0"/>
    <x v="2"/>
    <x v="0"/>
    <x v="0"/>
    <x v="1"/>
    <n v="0"/>
    <n v="141433"/>
    <x v="0"/>
    <x v="1"/>
    <x v="0"/>
    <x v="14"/>
    <n v="6720"/>
    <x v="1"/>
    <x v="0"/>
    <x v="0"/>
    <n v="22512"/>
    <n v="22512"/>
    <n v="6720"/>
    <n v="3.35"/>
    <x v="0"/>
    <x v="0"/>
    <x v="2"/>
    <s v="BTL350MLP - 350ML BOTTLE PALM [SWAK] (MBC)"/>
    <x v="0"/>
    <n v="3.35"/>
    <s v="SI3924"/>
    <x v="0"/>
    <x v="0"/>
    <x v="0"/>
    <x v="0"/>
    <x v="2"/>
    <x v="14"/>
    <x v="0"/>
    <x v="14"/>
    <x v="3"/>
    <x v="3"/>
    <x v="0"/>
    <s v="BTL350MLP"/>
  </r>
  <r>
    <n v="9773"/>
    <x v="119"/>
    <x v="0"/>
    <x v="143"/>
    <d v="2022-12-02T00:00:00"/>
    <x v="0"/>
    <x v="2"/>
    <x v="0"/>
    <n v="141433"/>
    <x v="0"/>
    <n v="141433"/>
    <n v="126279.46430000001"/>
    <n v="15153.5357"/>
    <x v="0"/>
    <x v="0"/>
    <x v="2"/>
    <x v="0"/>
    <x v="0"/>
    <x v="1"/>
    <n v="0"/>
    <n v="141433"/>
    <x v="0"/>
    <x v="1"/>
    <x v="0"/>
    <x v="47"/>
    <n v="1920"/>
    <x v="1"/>
    <x v="0"/>
    <x v="0"/>
    <n v="30240"/>
    <n v="30240"/>
    <n v="1920"/>
    <n v="15.75"/>
    <x v="0"/>
    <x v="0"/>
    <x v="2"/>
    <s v="BTL2LP - 2LITERS BOTTLE PALM [NUTRI] (MBC)"/>
    <x v="0"/>
    <n v="15.75"/>
    <s v="SI3924"/>
    <x v="0"/>
    <x v="0"/>
    <x v="0"/>
    <x v="0"/>
    <x v="2"/>
    <x v="47"/>
    <x v="0"/>
    <x v="47"/>
    <x v="3"/>
    <x v="3"/>
    <x v="0"/>
    <s v="BTL2LP"/>
  </r>
  <r>
    <n v="9773"/>
    <x v="119"/>
    <x v="0"/>
    <x v="143"/>
    <d v="2022-12-02T00:00:00"/>
    <x v="0"/>
    <x v="2"/>
    <x v="0"/>
    <n v="141433"/>
    <x v="0"/>
    <n v="141433"/>
    <n v="126279.46430000001"/>
    <n v="15153.5357"/>
    <x v="0"/>
    <x v="0"/>
    <x v="2"/>
    <x v="0"/>
    <x v="0"/>
    <x v="1"/>
    <n v="0"/>
    <n v="141433"/>
    <x v="0"/>
    <x v="1"/>
    <x v="0"/>
    <x v="48"/>
    <n v="2600"/>
    <x v="1"/>
    <x v="0"/>
    <x v="0"/>
    <n v="49400"/>
    <n v="49400"/>
    <n v="2600"/>
    <n v="19"/>
    <x v="0"/>
    <x v="0"/>
    <x v="2"/>
    <s v="BTL2LS - 2LITERS BOTTLE SOYA [ROUND] YELLOW (MBC)"/>
    <x v="0"/>
    <n v="19"/>
    <s v="SI3924"/>
    <x v="0"/>
    <x v="0"/>
    <x v="0"/>
    <x v="0"/>
    <x v="2"/>
    <x v="48"/>
    <x v="0"/>
    <x v="48"/>
    <x v="3"/>
    <x v="3"/>
    <x v="0"/>
    <s v="BTL2LS"/>
  </r>
  <r>
    <n v="9773"/>
    <x v="119"/>
    <x v="0"/>
    <x v="143"/>
    <d v="2022-12-02T00:00:00"/>
    <x v="0"/>
    <x v="2"/>
    <x v="0"/>
    <n v="141433"/>
    <x v="0"/>
    <n v="141433"/>
    <n v="126279.46430000001"/>
    <n v="15153.5357"/>
    <x v="0"/>
    <x v="0"/>
    <x v="2"/>
    <x v="0"/>
    <x v="0"/>
    <x v="1"/>
    <n v="0"/>
    <n v="141433"/>
    <x v="0"/>
    <x v="1"/>
    <x v="0"/>
    <x v="28"/>
    <n v="1309"/>
    <x v="1"/>
    <x v="0"/>
    <x v="0"/>
    <n v="24871"/>
    <n v="24871"/>
    <n v="1309"/>
    <n v="19"/>
    <x v="0"/>
    <x v="0"/>
    <x v="2"/>
    <s v="BTL2LC - 2LITERS BOTTLE CANOLEIN [ROUND] GREEN (MBC)"/>
    <x v="0"/>
    <n v="19"/>
    <s v="SI3924"/>
    <x v="0"/>
    <x v="0"/>
    <x v="0"/>
    <x v="0"/>
    <x v="2"/>
    <x v="28"/>
    <x v="0"/>
    <x v="28"/>
    <x v="3"/>
    <x v="3"/>
    <x v="0"/>
    <s v="BTL2LC"/>
  </r>
  <r>
    <n v="9773"/>
    <x v="119"/>
    <x v="0"/>
    <x v="143"/>
    <d v="2022-12-02T00:00:00"/>
    <x v="0"/>
    <x v="2"/>
    <x v="0"/>
    <n v="141433"/>
    <x v="0"/>
    <n v="141433"/>
    <n v="126279.46430000001"/>
    <n v="15153.5357"/>
    <x v="0"/>
    <x v="0"/>
    <x v="2"/>
    <x v="0"/>
    <x v="0"/>
    <x v="1"/>
    <n v="0"/>
    <n v="141433"/>
    <x v="0"/>
    <x v="1"/>
    <x v="0"/>
    <x v="27"/>
    <n v="2200"/>
    <x v="1"/>
    <x v="0"/>
    <x v="0"/>
    <n v="14410"/>
    <n v="14410"/>
    <n v="2200"/>
    <n v="0"/>
    <x v="0"/>
    <x v="0"/>
    <x v="2"/>
    <s v="BTL1LP - 1LITER BOTTLE PALM [SWAK] (MBC)"/>
    <x v="0"/>
    <n v="6.55"/>
    <s v="SI3924"/>
    <x v="0"/>
    <x v="0"/>
    <x v="0"/>
    <x v="0"/>
    <x v="2"/>
    <x v="27"/>
    <x v="0"/>
    <x v="27"/>
    <x v="3"/>
    <x v="3"/>
    <x v="0"/>
    <s v="BTL1LP"/>
  </r>
  <r>
    <n v="9772"/>
    <x v="4"/>
    <x v="0"/>
    <x v="134"/>
    <d v="2022-12-01T00:00:00"/>
    <x v="0"/>
    <x v="0"/>
    <x v="1"/>
    <n v="2066478.4213"/>
    <x v="0"/>
    <n v="2066478.4213"/>
    <n v="1845070.0190000001"/>
    <n v="221408.40229999999"/>
    <x v="0"/>
    <x v="0"/>
    <x v="19"/>
    <x v="1"/>
    <x v="0"/>
    <x v="1"/>
    <n v="-2055788.9387000001"/>
    <n v="4122267.36"/>
    <x v="0"/>
    <x v="1"/>
    <x v="0"/>
    <x v="31"/>
    <n v="23864"/>
    <x v="0"/>
    <x v="0"/>
    <x v="0"/>
    <n v="2066478.4213"/>
    <n v="2066478.4213"/>
    <n v="23864"/>
    <n v="118"/>
    <x v="0"/>
    <x v="0"/>
    <x v="0"/>
    <s v="SOYA - RBD SOYA BEAN OIL"/>
    <x v="0"/>
    <n v="86.593966699999996"/>
    <s v="DR1538"/>
    <x v="0"/>
    <x v="0"/>
    <x v="1"/>
    <x v="0"/>
    <x v="0"/>
    <x v="31"/>
    <x v="0"/>
    <x v="31"/>
    <x v="0"/>
    <x v="0"/>
    <x v="0"/>
    <s v="SOYA"/>
  </r>
  <r>
    <n v="9768"/>
    <x v="8"/>
    <x v="0"/>
    <x v="144"/>
    <d v="2022-11-25T00:00:00"/>
    <x v="0"/>
    <x v="7"/>
    <x v="0"/>
    <n v="7480"/>
    <x v="0"/>
    <n v="7480"/>
    <n v="6678.5713999999998"/>
    <n v="801.42859999999996"/>
    <x v="0"/>
    <x v="0"/>
    <x v="2"/>
    <x v="0"/>
    <x v="0"/>
    <x v="1"/>
    <n v="0"/>
    <n v="7480"/>
    <x v="0"/>
    <x v="1"/>
    <x v="0"/>
    <x v="58"/>
    <n v="13600"/>
    <x v="1"/>
    <x v="0"/>
    <x v="0"/>
    <n v="7480"/>
    <n v="7480"/>
    <n v="13600"/>
    <n v="0.55000000000000004"/>
    <x v="0"/>
    <x v="0"/>
    <x v="7"/>
    <s v="LBL1LP - 1LITER LABEL PALM (MPI)"/>
    <x v="0"/>
    <n v="0.55000000000000004"/>
    <s v="DR20229454"/>
    <x v="0"/>
    <x v="0"/>
    <x v="0"/>
    <x v="0"/>
    <x v="2"/>
    <x v="58"/>
    <x v="0"/>
    <x v="56"/>
    <x v="9"/>
    <x v="9"/>
    <x v="0"/>
    <s v="LBL1LP"/>
  </r>
  <r>
    <n v="9767"/>
    <x v="33"/>
    <x v="0"/>
    <x v="145"/>
    <d v="2022-11-25T00:00:00"/>
    <x v="0"/>
    <x v="5"/>
    <x v="0"/>
    <n v="179534.5"/>
    <x v="0"/>
    <n v="179534.5"/>
    <n v="160298.66070000001"/>
    <n v="19235.8393"/>
    <x v="0"/>
    <x v="0"/>
    <x v="2"/>
    <x v="0"/>
    <x v="0"/>
    <x v="1"/>
    <n v="0"/>
    <n v="179534.5"/>
    <x v="0"/>
    <x v="1"/>
    <x v="0"/>
    <x v="29"/>
    <n v="3376"/>
    <x v="1"/>
    <x v="0"/>
    <x v="0"/>
    <n v="114784"/>
    <n v="114784"/>
    <n v="3376"/>
    <n v="0"/>
    <x v="0"/>
    <x v="0"/>
    <x v="5"/>
    <s v="BOX1LPEXT - 1LITER BOX PALM (EXT)"/>
    <x v="0"/>
    <n v="34"/>
    <s v="DR40569"/>
    <x v="0"/>
    <x v="0"/>
    <x v="0"/>
    <x v="0"/>
    <x v="2"/>
    <x v="29"/>
    <x v="1"/>
    <x v="29"/>
    <x v="2"/>
    <x v="2"/>
    <x v="0"/>
    <s v="BOX1LPEXT"/>
  </r>
  <r>
    <n v="9767"/>
    <x v="33"/>
    <x v="0"/>
    <x v="145"/>
    <d v="2022-11-25T00:00:00"/>
    <x v="0"/>
    <x v="5"/>
    <x v="0"/>
    <n v="179534.5"/>
    <x v="0"/>
    <n v="179534.5"/>
    <n v="160298.66070000001"/>
    <n v="19235.8393"/>
    <x v="0"/>
    <x v="0"/>
    <x v="2"/>
    <x v="0"/>
    <x v="0"/>
    <x v="1"/>
    <n v="0"/>
    <n v="179534.5"/>
    <x v="0"/>
    <x v="1"/>
    <x v="0"/>
    <x v="59"/>
    <n v="1083"/>
    <x v="1"/>
    <x v="0"/>
    <x v="0"/>
    <n v="29782.5"/>
    <n v="29782.5"/>
    <n v="1083"/>
    <n v="0"/>
    <x v="0"/>
    <x v="0"/>
    <x v="5"/>
    <s v="BOX2LCS - 2LITERS BOX CANOLEIN (EXT)"/>
    <x v="0"/>
    <n v="27.5"/>
    <s v="DR40569"/>
    <x v="0"/>
    <x v="0"/>
    <x v="0"/>
    <x v="0"/>
    <x v="2"/>
    <x v="59"/>
    <x v="1"/>
    <x v="41"/>
    <x v="2"/>
    <x v="2"/>
    <x v="0"/>
    <s v="BOX2LCS"/>
  </r>
  <r>
    <n v="9767"/>
    <x v="33"/>
    <x v="0"/>
    <x v="145"/>
    <d v="2022-11-25T00:00:00"/>
    <x v="0"/>
    <x v="5"/>
    <x v="0"/>
    <n v="179534.5"/>
    <x v="0"/>
    <n v="179534.5"/>
    <n v="160298.66070000001"/>
    <n v="19235.8393"/>
    <x v="0"/>
    <x v="0"/>
    <x v="2"/>
    <x v="0"/>
    <x v="0"/>
    <x v="1"/>
    <n v="0"/>
    <n v="179534.5"/>
    <x v="0"/>
    <x v="1"/>
    <x v="0"/>
    <x v="30"/>
    <n v="1128"/>
    <x v="1"/>
    <x v="0"/>
    <x v="0"/>
    <n v="34968"/>
    <n v="34968"/>
    <n v="1128"/>
    <n v="0"/>
    <x v="0"/>
    <x v="0"/>
    <x v="5"/>
    <s v="BOX2LP - 2LITERS BOX PALM (EXT)"/>
    <x v="0"/>
    <n v="31"/>
    <s v="DR40569"/>
    <x v="0"/>
    <x v="0"/>
    <x v="0"/>
    <x v="0"/>
    <x v="2"/>
    <x v="30"/>
    <x v="0"/>
    <x v="30"/>
    <x v="2"/>
    <x v="2"/>
    <x v="0"/>
    <s v="BOX2LP"/>
  </r>
  <r>
    <n v="9761"/>
    <x v="90"/>
    <x v="0"/>
    <x v="146"/>
    <d v="2022-11-21T00:00:00"/>
    <x v="0"/>
    <x v="8"/>
    <x v="0"/>
    <n v="21000"/>
    <x v="0"/>
    <n v="21000"/>
    <n v="18750"/>
    <n v="2250"/>
    <x v="0"/>
    <x v="0"/>
    <x v="2"/>
    <x v="0"/>
    <x v="0"/>
    <x v="1"/>
    <n v="0"/>
    <n v="21000"/>
    <x v="0"/>
    <x v="1"/>
    <x v="0"/>
    <x v="18"/>
    <n v="600"/>
    <x v="1"/>
    <x v="0"/>
    <x v="0"/>
    <n v="21000"/>
    <n v="21000"/>
    <n v="600"/>
    <n v="0"/>
    <x v="0"/>
    <x v="0"/>
    <x v="8"/>
    <s v="PCKGTAPE - PACKAGING TAPE CLEAR"/>
    <x v="0"/>
    <n v="35"/>
    <s v="SI11212022"/>
    <x v="0"/>
    <x v="0"/>
    <x v="0"/>
    <x v="0"/>
    <x v="2"/>
    <x v="18"/>
    <x v="0"/>
    <x v="18"/>
    <x v="5"/>
    <x v="5"/>
    <x v="0"/>
    <s v="PCKGTAPE"/>
  </r>
  <r>
    <n v="9760"/>
    <x v="91"/>
    <x v="0"/>
    <x v="145"/>
    <d v="2022-11-23T00:00:00"/>
    <x v="0"/>
    <x v="8"/>
    <x v="0"/>
    <n v="74800"/>
    <x v="0"/>
    <n v="74800"/>
    <n v="66785.714300000007"/>
    <n v="8014.2857000000004"/>
    <x v="0"/>
    <x v="0"/>
    <x v="2"/>
    <x v="0"/>
    <x v="0"/>
    <x v="1"/>
    <n v="0"/>
    <n v="74800"/>
    <x v="0"/>
    <x v="1"/>
    <x v="0"/>
    <x v="12"/>
    <n v="2000000"/>
    <x v="2"/>
    <x v="0"/>
    <x v="0"/>
    <n v="74800"/>
    <n v="74800"/>
    <n v="2000000"/>
    <n v="3.7400000000000003E-2"/>
    <x v="0"/>
    <x v="0"/>
    <x v="8"/>
    <s v="FLOUR - FLOUR (HARINA)"/>
    <x v="0"/>
    <n v="3.7400000000000003E-2"/>
    <s v="SI11232022"/>
    <x v="0"/>
    <x v="0"/>
    <x v="0"/>
    <x v="0"/>
    <x v="2"/>
    <x v="12"/>
    <x v="0"/>
    <x v="12"/>
    <x v="4"/>
    <x v="4"/>
    <x v="0"/>
    <s v="FLOUR"/>
  </r>
  <r>
    <n v="9759"/>
    <x v="92"/>
    <x v="0"/>
    <x v="147"/>
    <d v="2022-11-14T00:00:00"/>
    <x v="0"/>
    <x v="8"/>
    <x v="0"/>
    <n v="7699"/>
    <x v="0"/>
    <n v="7699"/>
    <n v="6874.1071000000002"/>
    <n v="824.89290000000005"/>
    <x v="0"/>
    <x v="0"/>
    <x v="2"/>
    <x v="0"/>
    <x v="0"/>
    <x v="1"/>
    <n v="0"/>
    <n v="7699"/>
    <x v="0"/>
    <x v="1"/>
    <x v="0"/>
    <x v="6"/>
    <n v="125000"/>
    <x v="2"/>
    <x v="0"/>
    <x v="0"/>
    <n v="1650"/>
    <n v="1650"/>
    <n v="125000"/>
    <n v="1.32E-2"/>
    <x v="0"/>
    <x v="0"/>
    <x v="8"/>
    <s v="SALT - SALT IODIZED (SALINE)"/>
    <x v="0"/>
    <n v="1.32E-2"/>
    <s v="DR11142022"/>
    <x v="0"/>
    <x v="0"/>
    <x v="0"/>
    <x v="0"/>
    <x v="2"/>
    <x v="6"/>
    <x v="0"/>
    <x v="6"/>
    <x v="4"/>
    <x v="4"/>
    <x v="0"/>
    <s v="SALT"/>
  </r>
  <r>
    <n v="9759"/>
    <x v="92"/>
    <x v="0"/>
    <x v="147"/>
    <d v="2022-11-14T00:00:00"/>
    <x v="0"/>
    <x v="8"/>
    <x v="0"/>
    <n v="7699"/>
    <x v="0"/>
    <n v="7699"/>
    <n v="6874.1071000000002"/>
    <n v="824.89290000000005"/>
    <x v="0"/>
    <x v="0"/>
    <x v="2"/>
    <x v="0"/>
    <x v="0"/>
    <x v="1"/>
    <n v="0"/>
    <n v="7699"/>
    <x v="0"/>
    <x v="1"/>
    <x v="0"/>
    <x v="11"/>
    <n v="115000"/>
    <x v="2"/>
    <x v="0"/>
    <x v="0"/>
    <n v="6049"/>
    <n v="6049"/>
    <n v="115000"/>
    <n v="5.2600000000000001E-2"/>
    <x v="0"/>
    <x v="0"/>
    <x v="8"/>
    <s v="LYE - LYE WATER (BAKED BS)"/>
    <x v="0"/>
    <n v="5.2600000000000001E-2"/>
    <s v="DR11142022"/>
    <x v="0"/>
    <x v="0"/>
    <x v="0"/>
    <x v="0"/>
    <x v="2"/>
    <x v="11"/>
    <x v="0"/>
    <x v="11"/>
    <x v="4"/>
    <x v="4"/>
    <x v="0"/>
    <s v="LYE"/>
  </r>
  <r>
    <n v="9757"/>
    <x v="11"/>
    <x v="0"/>
    <x v="148"/>
    <d v="2021-12-10T00:00:00"/>
    <x v="0"/>
    <x v="7"/>
    <x v="0"/>
    <n v="751050"/>
    <x v="0"/>
    <n v="751050"/>
    <n v="670580.35710000002"/>
    <n v="80469.642900000006"/>
    <x v="0"/>
    <x v="0"/>
    <x v="2"/>
    <x v="0"/>
    <x v="0"/>
    <x v="1"/>
    <n v="0"/>
    <n v="751050"/>
    <x v="0"/>
    <x v="1"/>
    <x v="0"/>
    <x v="60"/>
    <n v="3338"/>
    <x v="3"/>
    <x v="1"/>
    <x v="0"/>
    <n v="751050"/>
    <n v="751050"/>
    <n v="3338000"/>
    <n v="0.24"/>
    <x v="0"/>
    <x v="0"/>
    <x v="7"/>
    <s v="PCKGC9G - PACKAGING CANTON 300G (MPI)"/>
    <x v="0"/>
    <n v="225"/>
    <s v="DR20219992"/>
    <x v="0"/>
    <x v="0"/>
    <x v="0"/>
    <x v="0"/>
    <x v="0"/>
    <x v="60"/>
    <x v="0"/>
    <x v="57"/>
    <x v="10"/>
    <x v="10"/>
    <x v="0"/>
    <s v="PCKGC9G"/>
  </r>
  <r>
    <n v="9756"/>
    <x v="120"/>
    <x v="0"/>
    <x v="149"/>
    <d v="2022-11-22T00:00:00"/>
    <x v="0"/>
    <x v="2"/>
    <x v="0"/>
    <n v="87708.5"/>
    <x v="0"/>
    <n v="87708.5"/>
    <n v="78311.160699999993"/>
    <n v="9397.3392999999996"/>
    <x v="0"/>
    <x v="0"/>
    <x v="2"/>
    <x v="0"/>
    <x v="0"/>
    <x v="1"/>
    <n v="0"/>
    <n v="87708.5"/>
    <x v="0"/>
    <x v="1"/>
    <x v="0"/>
    <x v="15"/>
    <n v="10560"/>
    <x v="1"/>
    <x v="0"/>
    <x v="0"/>
    <n v="69696"/>
    <n v="69696"/>
    <n v="10560"/>
    <n v="6.6"/>
    <x v="0"/>
    <x v="0"/>
    <x v="2"/>
    <s v="BTL1LCS - 1LITER BOTTLE CANSOY [NUTRI] (MBC)"/>
    <x v="0"/>
    <n v="6.6"/>
    <s v="SI3884"/>
    <x v="0"/>
    <x v="0"/>
    <x v="0"/>
    <x v="0"/>
    <x v="2"/>
    <x v="15"/>
    <x v="0"/>
    <x v="15"/>
    <x v="3"/>
    <x v="3"/>
    <x v="0"/>
    <s v="BTL1LCS"/>
  </r>
  <r>
    <n v="9756"/>
    <x v="120"/>
    <x v="0"/>
    <x v="149"/>
    <d v="2022-11-22T00:00:00"/>
    <x v="0"/>
    <x v="2"/>
    <x v="0"/>
    <n v="87708.5"/>
    <x v="0"/>
    <n v="87708.5"/>
    <n v="78311.160699999993"/>
    <n v="9397.3392999999996"/>
    <x v="0"/>
    <x v="0"/>
    <x v="2"/>
    <x v="0"/>
    <x v="0"/>
    <x v="1"/>
    <n v="0"/>
    <n v="87708.5"/>
    <x v="0"/>
    <x v="1"/>
    <x v="0"/>
    <x v="27"/>
    <n v="2750"/>
    <x v="1"/>
    <x v="0"/>
    <x v="0"/>
    <n v="18012.5"/>
    <n v="18012.5"/>
    <n v="2750"/>
    <n v="6.55"/>
    <x v="0"/>
    <x v="0"/>
    <x v="2"/>
    <s v="BTL1LP - 1LITER BOTTLE PALM [SWAK] (MBC)"/>
    <x v="0"/>
    <n v="6.55"/>
    <s v="SI3884"/>
    <x v="0"/>
    <x v="0"/>
    <x v="0"/>
    <x v="0"/>
    <x v="2"/>
    <x v="27"/>
    <x v="0"/>
    <x v="27"/>
    <x v="3"/>
    <x v="3"/>
    <x v="0"/>
    <s v="BTL1LP"/>
  </r>
  <r>
    <n v="9755"/>
    <x v="93"/>
    <x v="0"/>
    <x v="150"/>
    <d v="2022-11-11T00:00:00"/>
    <x v="0"/>
    <x v="8"/>
    <x v="0"/>
    <n v="74800"/>
    <x v="0"/>
    <n v="74800"/>
    <n v="66785.714300000007"/>
    <n v="8014.2857000000004"/>
    <x v="0"/>
    <x v="0"/>
    <x v="2"/>
    <x v="0"/>
    <x v="0"/>
    <x v="1"/>
    <n v="0"/>
    <n v="74800"/>
    <x v="0"/>
    <x v="1"/>
    <x v="0"/>
    <x v="12"/>
    <n v="2000000"/>
    <x v="2"/>
    <x v="0"/>
    <x v="0"/>
    <n v="74800"/>
    <n v="74800"/>
    <n v="2000000"/>
    <n v="3.7400000000000003E-2"/>
    <x v="0"/>
    <x v="0"/>
    <x v="8"/>
    <s v="FLOUR - FLOUR (HARINA)"/>
    <x v="0"/>
    <n v="3.7400000000000003E-2"/>
    <s v="DR11112022"/>
    <x v="0"/>
    <x v="0"/>
    <x v="0"/>
    <x v="0"/>
    <x v="2"/>
    <x v="12"/>
    <x v="0"/>
    <x v="12"/>
    <x v="4"/>
    <x v="4"/>
    <x v="0"/>
    <s v="FLOUR"/>
  </r>
  <r>
    <n v="9752"/>
    <x v="113"/>
    <x v="0"/>
    <x v="151"/>
    <d v="2022-11-10T00:00:00"/>
    <x v="0"/>
    <x v="2"/>
    <x v="0"/>
    <n v="111350"/>
    <x v="0"/>
    <n v="111350"/>
    <n v="99419.642900000006"/>
    <n v="11930.357099999999"/>
    <x v="0"/>
    <x v="0"/>
    <x v="2"/>
    <x v="0"/>
    <x v="0"/>
    <x v="1"/>
    <n v="0"/>
    <n v="111350"/>
    <x v="0"/>
    <x v="1"/>
    <x v="0"/>
    <x v="27"/>
    <n v="7980"/>
    <x v="1"/>
    <x v="0"/>
    <x v="0"/>
    <n v="52269"/>
    <n v="52269"/>
    <n v="7980"/>
    <n v="6.55"/>
    <x v="0"/>
    <x v="0"/>
    <x v="2"/>
    <s v="BTL1LP - 1LITER BOTTLE PALM [SWAK] (MBC)"/>
    <x v="0"/>
    <n v="6.55"/>
    <s v="SI3838"/>
    <x v="0"/>
    <x v="0"/>
    <x v="0"/>
    <x v="0"/>
    <x v="2"/>
    <x v="27"/>
    <x v="0"/>
    <x v="27"/>
    <x v="3"/>
    <x v="3"/>
    <x v="0"/>
    <s v="BTL1LP"/>
  </r>
  <r>
    <n v="9752"/>
    <x v="113"/>
    <x v="0"/>
    <x v="151"/>
    <d v="2022-11-10T00:00:00"/>
    <x v="0"/>
    <x v="2"/>
    <x v="0"/>
    <n v="111350"/>
    <x v="0"/>
    <n v="111350"/>
    <n v="99419.642900000006"/>
    <n v="11930.357099999999"/>
    <x v="0"/>
    <x v="0"/>
    <x v="2"/>
    <x v="0"/>
    <x v="0"/>
    <x v="1"/>
    <n v="0"/>
    <n v="111350"/>
    <x v="0"/>
    <x v="1"/>
    <x v="0"/>
    <x v="27"/>
    <n v="9020"/>
    <x v="1"/>
    <x v="0"/>
    <x v="0"/>
    <n v="59081"/>
    <n v="59081"/>
    <n v="9020"/>
    <n v="6.55"/>
    <x v="0"/>
    <x v="0"/>
    <x v="2"/>
    <s v="BTL1LP - 1LITER BOTTLE PALM [SWAK] (MBC)"/>
    <x v="0"/>
    <n v="6.55"/>
    <s v="SI3838"/>
    <x v="0"/>
    <x v="0"/>
    <x v="0"/>
    <x v="0"/>
    <x v="2"/>
    <x v="27"/>
    <x v="0"/>
    <x v="27"/>
    <x v="3"/>
    <x v="3"/>
    <x v="0"/>
    <s v="BTL1LP"/>
  </r>
  <r>
    <n v="9751"/>
    <x v="114"/>
    <x v="0"/>
    <x v="151"/>
    <d v="2022-11-10T00:00:00"/>
    <x v="0"/>
    <x v="2"/>
    <x v="0"/>
    <n v="108900"/>
    <x v="0"/>
    <n v="108900"/>
    <n v="97232.142900000006"/>
    <n v="11667.857099999999"/>
    <x v="0"/>
    <x v="0"/>
    <x v="2"/>
    <x v="0"/>
    <x v="0"/>
    <x v="1"/>
    <n v="0"/>
    <n v="108900"/>
    <x v="0"/>
    <x v="1"/>
    <x v="0"/>
    <x v="15"/>
    <n v="16500"/>
    <x v="1"/>
    <x v="0"/>
    <x v="0"/>
    <n v="108900"/>
    <n v="108900"/>
    <n v="16500"/>
    <n v="6.6"/>
    <x v="0"/>
    <x v="0"/>
    <x v="2"/>
    <s v="BTL1LCS - 1LITER BOTTLE CANSOY [NUTRI] (MBC)"/>
    <x v="0"/>
    <n v="6.6"/>
    <s v="SI3839"/>
    <x v="0"/>
    <x v="0"/>
    <x v="0"/>
    <x v="0"/>
    <x v="2"/>
    <x v="15"/>
    <x v="0"/>
    <x v="15"/>
    <x v="3"/>
    <x v="3"/>
    <x v="0"/>
    <s v="BTL1LCS"/>
  </r>
  <r>
    <n v="9750"/>
    <x v="107"/>
    <x v="0"/>
    <x v="152"/>
    <d v="2022-11-09T00:00:00"/>
    <x v="0"/>
    <x v="8"/>
    <x v="0"/>
    <n v="56100"/>
    <x v="0"/>
    <n v="56100"/>
    <n v="50089.2857"/>
    <n v="6010.7142999999996"/>
    <x v="0"/>
    <x v="0"/>
    <x v="2"/>
    <x v="0"/>
    <x v="0"/>
    <x v="1"/>
    <n v="0"/>
    <n v="56100"/>
    <x v="0"/>
    <x v="1"/>
    <x v="0"/>
    <x v="12"/>
    <n v="1500000"/>
    <x v="2"/>
    <x v="0"/>
    <x v="0"/>
    <n v="56100"/>
    <n v="56100"/>
    <n v="1500000"/>
    <n v="3.7400000000000003E-2"/>
    <x v="0"/>
    <x v="0"/>
    <x v="8"/>
    <s v="FLOUR - FLOUR (HARINA)"/>
    <x v="0"/>
    <n v="3.7400000000000003E-2"/>
    <s v="SI12345"/>
    <x v="0"/>
    <x v="0"/>
    <x v="0"/>
    <x v="0"/>
    <x v="2"/>
    <x v="12"/>
    <x v="0"/>
    <x v="12"/>
    <x v="4"/>
    <x v="4"/>
    <x v="0"/>
    <s v="FLOUR"/>
  </r>
  <r>
    <n v="9747"/>
    <x v="33"/>
    <x v="0"/>
    <x v="153"/>
    <d v="2022-11-03T00:00:00"/>
    <x v="0"/>
    <x v="7"/>
    <x v="0"/>
    <n v="820302"/>
    <x v="0"/>
    <n v="820302"/>
    <n v="732412.5"/>
    <n v="87889.5"/>
    <x v="0"/>
    <x v="0"/>
    <x v="2"/>
    <x v="0"/>
    <x v="0"/>
    <x v="1"/>
    <n v="0"/>
    <n v="820302"/>
    <x v="0"/>
    <x v="1"/>
    <x v="0"/>
    <x v="61"/>
    <n v="204800"/>
    <x v="1"/>
    <x v="0"/>
    <x v="0"/>
    <n v="215040"/>
    <n v="215040"/>
    <n v="204800"/>
    <n v="0"/>
    <x v="0"/>
    <x v="0"/>
    <x v="7"/>
    <s v="LBL2LC - 2LITERS LABEL CANOLEIN (MPI)"/>
    <x v="0"/>
    <n v="1.05"/>
    <s v="DR20228989"/>
    <x v="0"/>
    <x v="0"/>
    <x v="0"/>
    <x v="0"/>
    <x v="0"/>
    <x v="61"/>
    <x v="0"/>
    <x v="58"/>
    <x v="9"/>
    <x v="9"/>
    <x v="0"/>
    <s v="LBL2LC"/>
  </r>
  <r>
    <n v="9747"/>
    <x v="33"/>
    <x v="0"/>
    <x v="153"/>
    <d v="2022-11-03T00:00:00"/>
    <x v="0"/>
    <x v="7"/>
    <x v="0"/>
    <n v="820302"/>
    <x v="0"/>
    <n v="820302"/>
    <n v="732412.5"/>
    <n v="87889.5"/>
    <x v="0"/>
    <x v="0"/>
    <x v="2"/>
    <x v="0"/>
    <x v="0"/>
    <x v="1"/>
    <n v="0"/>
    <n v="820302"/>
    <x v="0"/>
    <x v="1"/>
    <x v="0"/>
    <x v="62"/>
    <n v="204000"/>
    <x v="1"/>
    <x v="0"/>
    <x v="0"/>
    <n v="208080"/>
    <n v="208080"/>
    <n v="204000"/>
    <n v="0"/>
    <x v="0"/>
    <x v="0"/>
    <x v="7"/>
    <s v="LBL2LP - 2LITERS LABEL PALM (MPI)"/>
    <x v="0"/>
    <n v="1.02"/>
    <s v="DR20228989"/>
    <x v="0"/>
    <x v="0"/>
    <x v="0"/>
    <x v="0"/>
    <x v="0"/>
    <x v="62"/>
    <x v="0"/>
    <x v="59"/>
    <x v="9"/>
    <x v="9"/>
    <x v="0"/>
    <s v="LBL2LP"/>
  </r>
  <r>
    <n v="9747"/>
    <x v="33"/>
    <x v="0"/>
    <x v="153"/>
    <d v="2022-11-03T00:00:00"/>
    <x v="0"/>
    <x v="7"/>
    <x v="0"/>
    <n v="820302"/>
    <x v="0"/>
    <n v="820302"/>
    <n v="732412.5"/>
    <n v="87889.5"/>
    <x v="0"/>
    <x v="0"/>
    <x v="2"/>
    <x v="0"/>
    <x v="0"/>
    <x v="1"/>
    <n v="0"/>
    <n v="820302"/>
    <x v="0"/>
    <x v="1"/>
    <x v="0"/>
    <x v="63"/>
    <n v="105400"/>
    <x v="1"/>
    <x v="0"/>
    <x v="0"/>
    <n v="110670"/>
    <n v="110670"/>
    <n v="105400"/>
    <n v="0"/>
    <x v="0"/>
    <x v="0"/>
    <x v="7"/>
    <s v="LBL2LS - 2LITERS LABEL SOYA (MPI)"/>
    <x v="0"/>
    <n v="1.05"/>
    <s v="DR20228989"/>
    <x v="0"/>
    <x v="0"/>
    <x v="0"/>
    <x v="0"/>
    <x v="0"/>
    <x v="63"/>
    <x v="0"/>
    <x v="60"/>
    <x v="9"/>
    <x v="9"/>
    <x v="0"/>
    <s v="LBL2LS"/>
  </r>
  <r>
    <n v="9747"/>
    <x v="33"/>
    <x v="0"/>
    <x v="153"/>
    <d v="2022-11-03T00:00:00"/>
    <x v="0"/>
    <x v="7"/>
    <x v="0"/>
    <n v="820302"/>
    <x v="0"/>
    <n v="820302"/>
    <n v="732412.5"/>
    <n v="87889.5"/>
    <x v="0"/>
    <x v="0"/>
    <x v="2"/>
    <x v="0"/>
    <x v="0"/>
    <x v="1"/>
    <n v="0"/>
    <n v="820302"/>
    <x v="0"/>
    <x v="1"/>
    <x v="0"/>
    <x v="64"/>
    <n v="214600"/>
    <x v="1"/>
    <x v="0"/>
    <x v="0"/>
    <n v="154512"/>
    <n v="154512"/>
    <n v="214600"/>
    <n v="0"/>
    <x v="0"/>
    <x v="0"/>
    <x v="7"/>
    <s v="LBL1LC - 1LITER LABEL CANOLEIN (MPI)"/>
    <x v="0"/>
    <n v="0.72"/>
    <s v="DR20228989"/>
    <x v="0"/>
    <x v="0"/>
    <x v="0"/>
    <x v="0"/>
    <x v="0"/>
    <x v="64"/>
    <x v="0"/>
    <x v="61"/>
    <x v="9"/>
    <x v="9"/>
    <x v="0"/>
    <s v="LBL1LC"/>
  </r>
  <r>
    <n v="9747"/>
    <x v="33"/>
    <x v="0"/>
    <x v="153"/>
    <d v="2022-11-03T00:00:00"/>
    <x v="0"/>
    <x v="7"/>
    <x v="0"/>
    <n v="820302"/>
    <x v="0"/>
    <n v="820302"/>
    <n v="732412.5"/>
    <n v="87889.5"/>
    <x v="0"/>
    <x v="0"/>
    <x v="2"/>
    <x v="0"/>
    <x v="0"/>
    <x v="1"/>
    <n v="0"/>
    <n v="820302"/>
    <x v="0"/>
    <x v="1"/>
    <x v="0"/>
    <x v="58"/>
    <n v="240000"/>
    <x v="1"/>
    <x v="0"/>
    <x v="0"/>
    <n v="132000"/>
    <n v="132000"/>
    <n v="240000"/>
    <n v="0.55000000000000004"/>
    <x v="0"/>
    <x v="0"/>
    <x v="7"/>
    <s v="LBL1LP - 1LITER LABEL PALM (MPI)"/>
    <x v="0"/>
    <n v="0.55000000000000004"/>
    <s v="DR20228989"/>
    <x v="0"/>
    <x v="0"/>
    <x v="0"/>
    <x v="0"/>
    <x v="0"/>
    <x v="58"/>
    <x v="0"/>
    <x v="56"/>
    <x v="9"/>
    <x v="9"/>
    <x v="0"/>
    <s v="LBL1LP"/>
  </r>
  <r>
    <n v="9745"/>
    <x v="49"/>
    <x v="0"/>
    <x v="154"/>
    <d v="2022-10-17T00:00:00"/>
    <x v="0"/>
    <x v="7"/>
    <x v="0"/>
    <n v="126616.17"/>
    <x v="0"/>
    <n v="126616.17"/>
    <n v="113050.15180000001"/>
    <n v="13566.0182"/>
    <x v="0"/>
    <x v="0"/>
    <x v="2"/>
    <x v="0"/>
    <x v="0"/>
    <x v="1"/>
    <n v="0"/>
    <n v="126616.17"/>
    <x v="0"/>
    <x v="1"/>
    <x v="0"/>
    <x v="58"/>
    <n v="97125"/>
    <x v="1"/>
    <x v="0"/>
    <x v="0"/>
    <n v="28166.25"/>
    <n v="28166.25"/>
    <n v="97125"/>
    <n v="0.55000000000000004"/>
    <x v="0"/>
    <x v="0"/>
    <x v="7"/>
    <s v="LBL1LP - 1LITER LABEL PALM (MPI)"/>
    <x v="0"/>
    <n v="0.28999999999999998"/>
    <s v="DR20228550"/>
    <x v="0"/>
    <x v="0"/>
    <x v="0"/>
    <x v="0"/>
    <x v="2"/>
    <x v="58"/>
    <x v="0"/>
    <x v="56"/>
    <x v="9"/>
    <x v="9"/>
    <x v="0"/>
    <s v="LBL1LP"/>
  </r>
  <r>
    <n v="9745"/>
    <x v="49"/>
    <x v="0"/>
    <x v="154"/>
    <d v="2022-10-17T00:00:00"/>
    <x v="0"/>
    <x v="7"/>
    <x v="0"/>
    <n v="126616.17"/>
    <x v="0"/>
    <n v="126616.17"/>
    <n v="113050.15180000001"/>
    <n v="13566.0182"/>
    <x v="0"/>
    <x v="0"/>
    <x v="2"/>
    <x v="0"/>
    <x v="0"/>
    <x v="1"/>
    <n v="0"/>
    <n v="126616.17"/>
    <x v="0"/>
    <x v="1"/>
    <x v="0"/>
    <x v="65"/>
    <n v="310272"/>
    <x v="1"/>
    <x v="0"/>
    <x v="0"/>
    <n v="49643.519999999997"/>
    <n v="49643.519999999997"/>
    <n v="310272"/>
    <n v="0.45"/>
    <x v="0"/>
    <x v="0"/>
    <x v="7"/>
    <s v="LBL500MLP - 500ML LABEL PALM (MPI)"/>
    <x v="0"/>
    <n v="0.16"/>
    <s v="DR20228550"/>
    <x v="0"/>
    <x v="0"/>
    <x v="0"/>
    <x v="0"/>
    <x v="2"/>
    <x v="65"/>
    <x v="0"/>
    <x v="62"/>
    <x v="9"/>
    <x v="9"/>
    <x v="0"/>
    <s v="LBL500MLP"/>
  </r>
  <r>
    <n v="9745"/>
    <x v="49"/>
    <x v="0"/>
    <x v="154"/>
    <d v="2022-10-17T00:00:00"/>
    <x v="0"/>
    <x v="7"/>
    <x v="0"/>
    <n v="126616.17"/>
    <x v="0"/>
    <n v="126616.17"/>
    <n v="113050.15180000001"/>
    <n v="13566.0182"/>
    <x v="0"/>
    <x v="0"/>
    <x v="2"/>
    <x v="0"/>
    <x v="0"/>
    <x v="1"/>
    <n v="0"/>
    <n v="126616.17"/>
    <x v="0"/>
    <x v="1"/>
    <x v="0"/>
    <x v="66"/>
    <n v="305040"/>
    <x v="1"/>
    <x v="0"/>
    <x v="0"/>
    <n v="48806.400000000001"/>
    <n v="48806.400000000001"/>
    <n v="305040"/>
    <n v="0.3"/>
    <x v="0"/>
    <x v="0"/>
    <x v="7"/>
    <s v="LBL350MLP - 350ML LABEL PALM (MPI)"/>
    <x v="0"/>
    <n v="0.16"/>
    <s v="DR20228550"/>
    <x v="0"/>
    <x v="0"/>
    <x v="0"/>
    <x v="0"/>
    <x v="2"/>
    <x v="66"/>
    <x v="0"/>
    <x v="63"/>
    <x v="9"/>
    <x v="9"/>
    <x v="0"/>
    <s v="LBL350MLP"/>
  </r>
  <r>
    <n v="9744"/>
    <x v="116"/>
    <x v="0"/>
    <x v="155"/>
    <d v="2022-10-26T00:00:00"/>
    <x v="0"/>
    <x v="2"/>
    <x v="0"/>
    <n v="107079"/>
    <x v="0"/>
    <n v="107079"/>
    <n v="95606.25"/>
    <n v="11472.75"/>
    <x v="0"/>
    <x v="0"/>
    <x v="2"/>
    <x v="0"/>
    <x v="0"/>
    <x v="1"/>
    <n v="0"/>
    <n v="107079"/>
    <x v="0"/>
    <x v="1"/>
    <x v="0"/>
    <x v="15"/>
    <n v="10010"/>
    <x v="1"/>
    <x v="0"/>
    <x v="0"/>
    <n v="66066"/>
    <n v="66066"/>
    <n v="10010"/>
    <n v="6.6"/>
    <x v="0"/>
    <x v="0"/>
    <x v="2"/>
    <s v="BTL1LCS - 1LITER BOTTLE CANSOY [NUTRI] (MBC)"/>
    <x v="0"/>
    <n v="6.6"/>
    <s v="SI3789"/>
    <x v="0"/>
    <x v="0"/>
    <x v="0"/>
    <x v="0"/>
    <x v="2"/>
    <x v="15"/>
    <x v="0"/>
    <x v="15"/>
    <x v="3"/>
    <x v="3"/>
    <x v="0"/>
    <s v="BTL1LCS"/>
  </r>
  <r>
    <n v="9744"/>
    <x v="116"/>
    <x v="0"/>
    <x v="155"/>
    <d v="2022-10-26T00:00:00"/>
    <x v="0"/>
    <x v="2"/>
    <x v="0"/>
    <n v="107079"/>
    <x v="0"/>
    <n v="107079"/>
    <n v="95606.25"/>
    <n v="11472.75"/>
    <x v="0"/>
    <x v="0"/>
    <x v="2"/>
    <x v="0"/>
    <x v="0"/>
    <x v="1"/>
    <n v="0"/>
    <n v="107079"/>
    <x v="0"/>
    <x v="1"/>
    <x v="0"/>
    <x v="14"/>
    <n v="1260"/>
    <x v="1"/>
    <x v="0"/>
    <x v="0"/>
    <n v="4221"/>
    <n v="4221"/>
    <n v="1260"/>
    <n v="3.35"/>
    <x v="0"/>
    <x v="0"/>
    <x v="2"/>
    <s v="BTL350MLP - 350ML BOTTLE PALM [SWAK] (MBC)"/>
    <x v="0"/>
    <n v="3.35"/>
    <s v="SI3789"/>
    <x v="0"/>
    <x v="0"/>
    <x v="0"/>
    <x v="0"/>
    <x v="2"/>
    <x v="14"/>
    <x v="0"/>
    <x v="14"/>
    <x v="3"/>
    <x v="3"/>
    <x v="0"/>
    <s v="BTL350MLP"/>
  </r>
  <r>
    <n v="9744"/>
    <x v="116"/>
    <x v="0"/>
    <x v="155"/>
    <d v="2022-10-26T00:00:00"/>
    <x v="0"/>
    <x v="2"/>
    <x v="0"/>
    <n v="107079"/>
    <x v="0"/>
    <n v="107079"/>
    <n v="95606.25"/>
    <n v="11472.75"/>
    <x v="0"/>
    <x v="0"/>
    <x v="2"/>
    <x v="0"/>
    <x v="0"/>
    <x v="1"/>
    <n v="0"/>
    <n v="107079"/>
    <x v="0"/>
    <x v="1"/>
    <x v="0"/>
    <x v="13"/>
    <n v="10080"/>
    <x v="1"/>
    <x v="0"/>
    <x v="0"/>
    <n v="36792"/>
    <n v="36792"/>
    <n v="10080"/>
    <n v="3.65"/>
    <x v="0"/>
    <x v="0"/>
    <x v="2"/>
    <s v="BTL500MLP - 500ML BOTTLE PALM [SWAK] (MBC)"/>
    <x v="0"/>
    <n v="3.65"/>
    <s v="SI3789"/>
    <x v="0"/>
    <x v="0"/>
    <x v="0"/>
    <x v="0"/>
    <x v="2"/>
    <x v="13"/>
    <x v="0"/>
    <x v="13"/>
    <x v="3"/>
    <x v="3"/>
    <x v="0"/>
    <s v="BTL500MLP"/>
  </r>
  <r>
    <n v="9740"/>
    <x v="117"/>
    <x v="0"/>
    <x v="156"/>
    <d v="2022-10-12T00:00:00"/>
    <x v="0"/>
    <x v="2"/>
    <x v="0"/>
    <n v="124771.5"/>
    <x v="0"/>
    <n v="124771.5"/>
    <n v="111403.125"/>
    <n v="13368.375"/>
    <x v="0"/>
    <x v="0"/>
    <x v="2"/>
    <x v="0"/>
    <x v="0"/>
    <x v="1"/>
    <n v="0"/>
    <n v="124771.5"/>
    <x v="0"/>
    <x v="1"/>
    <x v="0"/>
    <x v="27"/>
    <n v="6930"/>
    <x v="1"/>
    <x v="0"/>
    <x v="0"/>
    <n v="45391.5"/>
    <n v="45391.5"/>
    <n v="6930"/>
    <n v="6.55"/>
    <x v="0"/>
    <x v="0"/>
    <x v="2"/>
    <s v="BTL1LP - 1LITER BOTTLE PALM [SWAK] (MBC)"/>
    <x v="0"/>
    <n v="6.55"/>
    <s v="DR3772"/>
    <x v="0"/>
    <x v="0"/>
    <x v="0"/>
    <x v="0"/>
    <x v="2"/>
    <x v="27"/>
    <x v="0"/>
    <x v="27"/>
    <x v="3"/>
    <x v="3"/>
    <x v="0"/>
    <s v="BTL1LP"/>
  </r>
  <r>
    <n v="9740"/>
    <x v="117"/>
    <x v="0"/>
    <x v="156"/>
    <d v="2022-10-12T00:00:00"/>
    <x v="0"/>
    <x v="2"/>
    <x v="0"/>
    <n v="124771.5"/>
    <x v="0"/>
    <n v="124771.5"/>
    <n v="111403.125"/>
    <n v="13368.375"/>
    <x v="0"/>
    <x v="0"/>
    <x v="2"/>
    <x v="0"/>
    <x v="0"/>
    <x v="1"/>
    <n v="0"/>
    <n v="124771.5"/>
    <x v="0"/>
    <x v="1"/>
    <x v="0"/>
    <x v="47"/>
    <n v="5040"/>
    <x v="1"/>
    <x v="0"/>
    <x v="0"/>
    <n v="79380"/>
    <n v="79380"/>
    <n v="5040"/>
    <n v="15.75"/>
    <x v="0"/>
    <x v="0"/>
    <x v="2"/>
    <s v="BTL2LP - 2LITERS BOTTLE PALM [NUTRI] (MBC)"/>
    <x v="0"/>
    <n v="15.75"/>
    <s v="DR3772"/>
    <x v="0"/>
    <x v="0"/>
    <x v="0"/>
    <x v="0"/>
    <x v="2"/>
    <x v="47"/>
    <x v="0"/>
    <x v="47"/>
    <x v="3"/>
    <x v="3"/>
    <x v="0"/>
    <s v="BTL2LP"/>
  </r>
  <r>
    <n v="9739"/>
    <x v="118"/>
    <x v="0"/>
    <x v="157"/>
    <d v="2022-10-18T00:00:00"/>
    <x v="0"/>
    <x v="2"/>
    <x v="0"/>
    <n v="108075"/>
    <x v="0"/>
    <n v="108075"/>
    <n v="96495.535699999993"/>
    <n v="11579.4643"/>
    <x v="0"/>
    <x v="0"/>
    <x v="2"/>
    <x v="0"/>
    <x v="0"/>
    <x v="1"/>
    <n v="0"/>
    <n v="108075"/>
    <x v="0"/>
    <x v="1"/>
    <x v="0"/>
    <x v="27"/>
    <n v="16500"/>
    <x v="1"/>
    <x v="0"/>
    <x v="0"/>
    <n v="108075"/>
    <n v="108075"/>
    <n v="16500"/>
    <n v="6.55"/>
    <x v="0"/>
    <x v="0"/>
    <x v="2"/>
    <s v="BTL1LP - 1LITER BOTTLE PALM [SWAK] (MBC)"/>
    <x v="0"/>
    <n v="6.55"/>
    <s v="DR3757"/>
    <x v="0"/>
    <x v="0"/>
    <x v="0"/>
    <x v="0"/>
    <x v="2"/>
    <x v="27"/>
    <x v="0"/>
    <x v="27"/>
    <x v="3"/>
    <x v="3"/>
    <x v="0"/>
    <s v="BTL1LP"/>
  </r>
  <r>
    <n v="9738"/>
    <x v="34"/>
    <x v="0"/>
    <x v="158"/>
    <d v="2022-10-22T00:00:00"/>
    <x v="0"/>
    <x v="0"/>
    <x v="1"/>
    <n v="250250.88"/>
    <x v="0"/>
    <n v="250250.88"/>
    <n v="223438.28570000001"/>
    <n v="26812.594300000001"/>
    <x v="0"/>
    <x v="0"/>
    <x v="29"/>
    <x v="1"/>
    <x v="0"/>
    <x v="1"/>
    <n v="0"/>
    <n v="250250.88"/>
    <x v="0"/>
    <x v="1"/>
    <x v="0"/>
    <x v="24"/>
    <n v="4182"/>
    <x v="0"/>
    <x v="0"/>
    <x v="0"/>
    <n v="250250.88"/>
    <n v="250250.88"/>
    <n v="4182"/>
    <n v="0"/>
    <x v="0"/>
    <x v="0"/>
    <x v="0"/>
    <s v="COCO - RBD COCONUT OIL"/>
    <x v="0"/>
    <n v="59.84"/>
    <s v="DR1631"/>
    <x v="0"/>
    <x v="0"/>
    <x v="1"/>
    <x v="0"/>
    <x v="0"/>
    <x v="24"/>
    <x v="0"/>
    <x v="24"/>
    <x v="0"/>
    <x v="0"/>
    <x v="0"/>
    <s v="COCO"/>
  </r>
  <r>
    <n v="9737"/>
    <x v="57"/>
    <x v="0"/>
    <x v="158"/>
    <d v="2022-10-20T00:00:00"/>
    <x v="0"/>
    <x v="0"/>
    <x v="1"/>
    <n v="2494299.8280000002"/>
    <x v="0"/>
    <n v="2494299.8280000002"/>
    <n v="2227053.4178999998"/>
    <n v="267246.41009999998"/>
    <x v="0"/>
    <x v="0"/>
    <x v="37"/>
    <x v="1"/>
    <x v="0"/>
    <x v="1"/>
    <n v="0"/>
    <n v="2494299.8280000002"/>
    <x v="0"/>
    <x v="1"/>
    <x v="0"/>
    <x v="51"/>
    <n v="40206"/>
    <x v="0"/>
    <x v="0"/>
    <x v="0"/>
    <n v="2494299.8280000002"/>
    <n v="2494299.8280000002"/>
    <n v="40206"/>
    <n v="98.4"/>
    <x v="0"/>
    <x v="0"/>
    <x v="0"/>
    <s v="PALM - RBD PALM OLEIN (LOCAL)"/>
    <x v="0"/>
    <n v="62.037999999999997"/>
    <s v="DR278"/>
    <x v="0"/>
    <x v="0"/>
    <x v="1"/>
    <x v="0"/>
    <x v="0"/>
    <x v="51"/>
    <x v="0"/>
    <x v="51"/>
    <x v="0"/>
    <x v="0"/>
    <x v="0"/>
    <s v="PALM"/>
  </r>
  <r>
    <n v="9736"/>
    <x v="49"/>
    <x v="0"/>
    <x v="156"/>
    <d v="2022-10-12T00:00:00"/>
    <x v="0"/>
    <x v="1"/>
    <x v="0"/>
    <n v="91200"/>
    <x v="0"/>
    <n v="91200"/>
    <n v="81428.571400000001"/>
    <n v="9771.4285999999993"/>
    <x v="0"/>
    <x v="0"/>
    <x v="2"/>
    <x v="0"/>
    <x v="0"/>
    <x v="1"/>
    <n v="0"/>
    <n v="91200"/>
    <x v="0"/>
    <x v="1"/>
    <x v="0"/>
    <x v="56"/>
    <n v="2850"/>
    <x v="1"/>
    <x v="0"/>
    <x v="0"/>
    <n v="91200"/>
    <n v="91200"/>
    <n v="2850"/>
    <n v="35.86"/>
    <x v="0"/>
    <x v="0"/>
    <x v="1"/>
    <s v="BOX1LPSPC - 1LITER BOX PALM (SPC)"/>
    <x v="0"/>
    <n v="32"/>
    <s v="SI419849"/>
    <x v="0"/>
    <x v="0"/>
    <x v="0"/>
    <x v="0"/>
    <x v="2"/>
    <x v="56"/>
    <x v="1"/>
    <x v="29"/>
    <x v="2"/>
    <x v="2"/>
    <x v="0"/>
    <s v="BOX1LPSPC"/>
  </r>
  <r>
    <n v="9735"/>
    <x v="122"/>
    <x v="0"/>
    <x v="159"/>
    <d v="2022-10-13T00:00:00"/>
    <x v="0"/>
    <x v="2"/>
    <x v="0"/>
    <n v="120075"/>
    <x v="0"/>
    <n v="120075"/>
    <n v="107209.8214"/>
    <n v="12865.178599999999"/>
    <x v="0"/>
    <x v="0"/>
    <x v="2"/>
    <x v="0"/>
    <x v="0"/>
    <x v="1"/>
    <n v="0"/>
    <n v="120075"/>
    <x v="0"/>
    <x v="1"/>
    <x v="0"/>
    <x v="27"/>
    <n v="8580"/>
    <x v="1"/>
    <x v="0"/>
    <x v="0"/>
    <n v="56199"/>
    <n v="56199"/>
    <n v="8580"/>
    <n v="6.55"/>
    <x v="0"/>
    <x v="0"/>
    <x v="2"/>
    <s v="BTL1LP - 1LITER BOTTLE PALM [SWAK] (MBC)"/>
    <x v="0"/>
    <n v="6.55"/>
    <s v="SI3740"/>
    <x v="0"/>
    <x v="0"/>
    <x v="0"/>
    <x v="0"/>
    <x v="2"/>
    <x v="27"/>
    <x v="0"/>
    <x v="27"/>
    <x v="3"/>
    <x v="3"/>
    <x v="0"/>
    <s v="BTL1LP"/>
  </r>
  <r>
    <n v="9735"/>
    <x v="122"/>
    <x v="0"/>
    <x v="159"/>
    <d v="2022-10-13T00:00:00"/>
    <x v="0"/>
    <x v="2"/>
    <x v="0"/>
    <n v="120075"/>
    <x v="0"/>
    <n v="120075"/>
    <n v="107209.8214"/>
    <n v="12865.178599999999"/>
    <x v="0"/>
    <x v="0"/>
    <x v="2"/>
    <x v="0"/>
    <x v="0"/>
    <x v="1"/>
    <n v="0"/>
    <n v="120075"/>
    <x v="0"/>
    <x v="1"/>
    <x v="0"/>
    <x v="27"/>
    <n v="1920"/>
    <x v="1"/>
    <x v="0"/>
    <x v="0"/>
    <n v="12576"/>
    <n v="12576"/>
    <n v="1920"/>
    <n v="6.55"/>
    <x v="0"/>
    <x v="0"/>
    <x v="2"/>
    <s v="BTL1LP - 1LITER BOTTLE PALM [SWAK] (MBC)"/>
    <x v="0"/>
    <n v="6.55"/>
    <s v="SI3740"/>
    <x v="0"/>
    <x v="0"/>
    <x v="0"/>
    <x v="0"/>
    <x v="2"/>
    <x v="27"/>
    <x v="0"/>
    <x v="27"/>
    <x v="3"/>
    <x v="3"/>
    <x v="0"/>
    <s v="BTL1LP"/>
  </r>
  <r>
    <n v="9735"/>
    <x v="122"/>
    <x v="0"/>
    <x v="159"/>
    <d v="2022-10-13T00:00:00"/>
    <x v="0"/>
    <x v="2"/>
    <x v="0"/>
    <n v="120075"/>
    <x v="0"/>
    <n v="120075"/>
    <n v="107209.8214"/>
    <n v="12865.178599999999"/>
    <x v="0"/>
    <x v="0"/>
    <x v="2"/>
    <x v="0"/>
    <x v="0"/>
    <x v="1"/>
    <n v="0"/>
    <n v="120075"/>
    <x v="0"/>
    <x v="1"/>
    <x v="0"/>
    <x v="48"/>
    <n v="2700"/>
    <x v="1"/>
    <x v="0"/>
    <x v="0"/>
    <n v="51300"/>
    <n v="51300"/>
    <n v="2700"/>
    <n v="19"/>
    <x v="0"/>
    <x v="0"/>
    <x v="2"/>
    <s v="BTL2LS - 2LITERS BOTTLE SOYA [ROUND] YELLOW (MBC)"/>
    <x v="0"/>
    <n v="19"/>
    <s v="SI3740"/>
    <x v="0"/>
    <x v="0"/>
    <x v="0"/>
    <x v="0"/>
    <x v="2"/>
    <x v="48"/>
    <x v="0"/>
    <x v="48"/>
    <x v="3"/>
    <x v="3"/>
    <x v="0"/>
    <s v="BTL2LS"/>
  </r>
  <r>
    <n v="9734"/>
    <x v="58"/>
    <x v="0"/>
    <x v="159"/>
    <d v="2022-10-13T00:00:00"/>
    <x v="0"/>
    <x v="0"/>
    <x v="1"/>
    <n v="2335525.102"/>
    <x v="0"/>
    <n v="2335525.102"/>
    <n v="2085290.2696"/>
    <n v="250234.83240000001"/>
    <x v="0"/>
    <x v="0"/>
    <x v="19"/>
    <x v="1"/>
    <x v="0"/>
    <x v="1"/>
    <n v="-480426.89799999999"/>
    <n v="2815952"/>
    <x v="0"/>
    <x v="1"/>
    <x v="0"/>
    <x v="31"/>
    <n v="23864"/>
    <x v="0"/>
    <x v="0"/>
    <x v="0"/>
    <n v="2335525.102"/>
    <n v="2335525.102"/>
    <n v="23864"/>
    <n v="118"/>
    <x v="0"/>
    <x v="0"/>
    <x v="0"/>
    <s v="SOYA - RBD SOYA BEAN OIL"/>
    <x v="0"/>
    <n v="97.868132000000003"/>
    <s v="12345"/>
    <x v="0"/>
    <x v="0"/>
    <x v="1"/>
    <x v="0"/>
    <x v="0"/>
    <x v="31"/>
    <x v="0"/>
    <x v="31"/>
    <x v="0"/>
    <x v="0"/>
    <x v="0"/>
    <s v="SOYA"/>
  </r>
  <r>
    <n v="9733"/>
    <x v="49"/>
    <x v="0"/>
    <x v="160"/>
    <d v="2022-10-08T00:00:00"/>
    <x v="0"/>
    <x v="5"/>
    <x v="0"/>
    <n v="27744"/>
    <x v="0"/>
    <n v="27744"/>
    <n v="24771.428599999999"/>
    <n v="2972.5713999999998"/>
    <x v="0"/>
    <x v="0"/>
    <x v="2"/>
    <x v="0"/>
    <x v="0"/>
    <x v="0"/>
    <n v="0"/>
    <n v="27744"/>
    <x v="0"/>
    <x v="1"/>
    <x v="0"/>
    <x v="29"/>
    <n v="867"/>
    <x v="1"/>
    <x v="0"/>
    <x v="0"/>
    <n v="27744"/>
    <n v="27744"/>
    <n v="867"/>
    <n v="32"/>
    <x v="0"/>
    <x v="0"/>
    <x v="5"/>
    <s v="BOX1LPEXT - 1LITER BOX PALM (EXT)"/>
    <x v="0"/>
    <n v="32"/>
    <s v="SI39737"/>
    <x v="0"/>
    <x v="0"/>
    <x v="0"/>
    <x v="0"/>
    <x v="2"/>
    <x v="29"/>
    <x v="1"/>
    <x v="29"/>
    <x v="2"/>
    <x v="2"/>
    <x v="0"/>
    <s v="BOX1LPEXT"/>
  </r>
  <r>
    <n v="9732"/>
    <x v="107"/>
    <x v="0"/>
    <x v="161"/>
    <d v="2022-10-05T00:00:00"/>
    <x v="0"/>
    <x v="3"/>
    <x v="2"/>
    <n v="13140"/>
    <x v="0"/>
    <n v="13140"/>
    <n v="11732.142900000001"/>
    <n v="1407.8570999999999"/>
    <x v="0"/>
    <x v="0"/>
    <x v="2"/>
    <x v="2"/>
    <x v="0"/>
    <x v="0"/>
    <n v="-13140"/>
    <n v="26280"/>
    <x v="0"/>
    <x v="1"/>
    <x v="0"/>
    <x v="21"/>
    <n v="2920"/>
    <x v="1"/>
    <x v="0"/>
    <x v="0"/>
    <n v="4380"/>
    <n v="4380"/>
    <n v="2920"/>
    <n v="0"/>
    <x v="0"/>
    <x v="0"/>
    <x v="3"/>
    <s v="HDRWHL - HEADER PAMINTA WHOLE"/>
    <x v="0"/>
    <n v="1.5"/>
    <s v="DR11280"/>
    <x v="0"/>
    <x v="0"/>
    <x v="2"/>
    <x v="0"/>
    <x v="0"/>
    <x v="21"/>
    <x v="0"/>
    <x v="21"/>
    <x v="6"/>
    <x v="6"/>
    <x v="1"/>
    <s v="HDRWHL"/>
  </r>
  <r>
    <n v="9732"/>
    <x v="107"/>
    <x v="0"/>
    <x v="161"/>
    <d v="2022-10-05T00:00:00"/>
    <x v="0"/>
    <x v="3"/>
    <x v="2"/>
    <n v="13140"/>
    <x v="0"/>
    <n v="13140"/>
    <n v="11732.142900000001"/>
    <n v="1407.8570999999999"/>
    <x v="0"/>
    <x v="0"/>
    <x v="2"/>
    <x v="2"/>
    <x v="0"/>
    <x v="0"/>
    <n v="-13140"/>
    <n v="26280"/>
    <x v="0"/>
    <x v="1"/>
    <x v="0"/>
    <x v="20"/>
    <n v="2920"/>
    <x v="1"/>
    <x v="0"/>
    <x v="0"/>
    <n v="4380"/>
    <n v="4380"/>
    <n v="2920"/>
    <n v="0"/>
    <x v="0"/>
    <x v="0"/>
    <x v="3"/>
    <s v="HDRFINE - HEADER PAMINTA FINE"/>
    <x v="0"/>
    <n v="1.5"/>
    <s v="DR11280"/>
    <x v="0"/>
    <x v="0"/>
    <x v="2"/>
    <x v="0"/>
    <x v="0"/>
    <x v="20"/>
    <x v="0"/>
    <x v="20"/>
    <x v="6"/>
    <x v="6"/>
    <x v="1"/>
    <s v="HDRFINE"/>
  </r>
  <r>
    <n v="9732"/>
    <x v="107"/>
    <x v="0"/>
    <x v="161"/>
    <d v="2022-10-05T00:00:00"/>
    <x v="0"/>
    <x v="3"/>
    <x v="2"/>
    <n v="13140"/>
    <x v="0"/>
    <n v="13140"/>
    <n v="11732.142900000001"/>
    <n v="1407.8570999999999"/>
    <x v="0"/>
    <x v="0"/>
    <x v="2"/>
    <x v="2"/>
    <x v="0"/>
    <x v="0"/>
    <n v="-13140"/>
    <n v="26280"/>
    <x v="0"/>
    <x v="1"/>
    <x v="0"/>
    <x v="19"/>
    <n v="2920"/>
    <x v="1"/>
    <x v="0"/>
    <x v="0"/>
    <n v="4380"/>
    <n v="4380"/>
    <n v="2920"/>
    <n v="0"/>
    <x v="0"/>
    <x v="0"/>
    <x v="3"/>
    <s v="HDRCRCK - HEADER PAMINTA CRACKED"/>
    <x v="0"/>
    <n v="1.5"/>
    <s v="DR11280"/>
    <x v="0"/>
    <x v="0"/>
    <x v="2"/>
    <x v="0"/>
    <x v="0"/>
    <x v="19"/>
    <x v="0"/>
    <x v="19"/>
    <x v="6"/>
    <x v="6"/>
    <x v="1"/>
    <s v="HDRCRCK"/>
  </r>
  <r>
    <n v="9731"/>
    <x v="121"/>
    <x v="0"/>
    <x v="162"/>
    <d v="2022-10-01T00:00:00"/>
    <x v="0"/>
    <x v="2"/>
    <x v="0"/>
    <n v="133760"/>
    <x v="0"/>
    <n v="133760"/>
    <n v="119428.5714"/>
    <n v="14331.428599999999"/>
    <x v="0"/>
    <x v="0"/>
    <x v="2"/>
    <x v="0"/>
    <x v="0"/>
    <x v="1"/>
    <n v="0"/>
    <n v="133760"/>
    <x v="0"/>
    <x v="1"/>
    <x v="0"/>
    <x v="28"/>
    <n v="5040"/>
    <x v="1"/>
    <x v="0"/>
    <x v="0"/>
    <n v="95760"/>
    <n v="95760"/>
    <n v="5040"/>
    <n v="19"/>
    <x v="0"/>
    <x v="0"/>
    <x v="2"/>
    <s v="BTL2LC - 2LITERS BOTTLE CANOLEIN [ROUND] GREEN (MBC)"/>
    <x v="0"/>
    <n v="19"/>
    <s v="DR3696"/>
    <x v="0"/>
    <x v="0"/>
    <x v="0"/>
    <x v="0"/>
    <x v="0"/>
    <x v="28"/>
    <x v="0"/>
    <x v="28"/>
    <x v="3"/>
    <x v="3"/>
    <x v="0"/>
    <s v="BTL2LC"/>
  </r>
  <r>
    <n v="9731"/>
    <x v="121"/>
    <x v="0"/>
    <x v="162"/>
    <d v="2022-10-01T00:00:00"/>
    <x v="0"/>
    <x v="2"/>
    <x v="0"/>
    <n v="133760"/>
    <x v="0"/>
    <n v="133760"/>
    <n v="119428.5714"/>
    <n v="14331.428599999999"/>
    <x v="0"/>
    <x v="0"/>
    <x v="2"/>
    <x v="0"/>
    <x v="0"/>
    <x v="1"/>
    <n v="0"/>
    <n v="133760"/>
    <x v="0"/>
    <x v="1"/>
    <x v="0"/>
    <x v="48"/>
    <n v="2000"/>
    <x v="1"/>
    <x v="0"/>
    <x v="0"/>
    <n v="38000"/>
    <n v="38000"/>
    <n v="2000"/>
    <n v="19"/>
    <x v="0"/>
    <x v="0"/>
    <x v="2"/>
    <s v="BTL2LS - 2LITERS BOTTLE SOYA [ROUND] YELLOW (MBC)"/>
    <x v="0"/>
    <n v="19"/>
    <s v="DR3696"/>
    <x v="0"/>
    <x v="0"/>
    <x v="0"/>
    <x v="0"/>
    <x v="0"/>
    <x v="48"/>
    <x v="0"/>
    <x v="48"/>
    <x v="3"/>
    <x v="3"/>
    <x v="0"/>
    <s v="BTL2LS"/>
  </r>
  <r>
    <n v="9729"/>
    <x v="103"/>
    <x v="0"/>
    <x v="163"/>
    <d v="2022-10-04T00:00:00"/>
    <x v="0"/>
    <x v="0"/>
    <x v="1"/>
    <n v="1913957.4931999999"/>
    <x v="0"/>
    <n v="1913957.4931999999"/>
    <n v="1708890.6188999999"/>
    <n v="205066.8743"/>
    <x v="0"/>
    <x v="0"/>
    <x v="20"/>
    <x v="1"/>
    <x v="0"/>
    <x v="1"/>
    <n v="275641.33319999999"/>
    <n v="1638316.16"/>
    <x v="0"/>
    <x v="1"/>
    <x v="0"/>
    <x v="0"/>
    <n v="23512"/>
    <x v="0"/>
    <x v="0"/>
    <x v="0"/>
    <n v="1913957.4931999999"/>
    <n v="1913957.4931999999"/>
    <n v="23512"/>
    <n v="0"/>
    <x v="0"/>
    <x v="0"/>
    <x v="0"/>
    <s v="PALMF - RBD PALM OLEIN (FOREIGN)"/>
    <x v="0"/>
    <n v="81.403431999999995"/>
    <s v="0845"/>
    <x v="0"/>
    <x v="0"/>
    <x v="1"/>
    <x v="0"/>
    <x v="0"/>
    <x v="0"/>
    <x v="0"/>
    <x v="0"/>
    <x v="0"/>
    <x v="0"/>
    <x v="0"/>
    <s v="PALMF"/>
  </r>
  <r>
    <n v="9725"/>
    <x v="90"/>
    <x v="0"/>
    <x v="164"/>
    <d v="2022-09-21T00:00:00"/>
    <x v="0"/>
    <x v="5"/>
    <x v="0"/>
    <n v="73312"/>
    <x v="0"/>
    <n v="73312"/>
    <n v="65457.142899999999"/>
    <n v="7854.8571000000002"/>
    <x v="0"/>
    <x v="0"/>
    <x v="2"/>
    <x v="0"/>
    <x v="0"/>
    <x v="0"/>
    <n v="0"/>
    <n v="73312"/>
    <x v="0"/>
    <x v="1"/>
    <x v="0"/>
    <x v="29"/>
    <n v="2291"/>
    <x v="1"/>
    <x v="0"/>
    <x v="0"/>
    <n v="73312"/>
    <n v="73312"/>
    <n v="2291"/>
    <n v="32"/>
    <x v="0"/>
    <x v="0"/>
    <x v="5"/>
    <s v="BOX1LPEXT - 1LITER BOX PALM (EXT)"/>
    <x v="0"/>
    <n v="32"/>
    <s v="39265"/>
    <x v="0"/>
    <x v="0"/>
    <x v="0"/>
    <x v="0"/>
    <x v="2"/>
    <x v="29"/>
    <x v="1"/>
    <x v="29"/>
    <x v="2"/>
    <x v="2"/>
    <x v="0"/>
    <s v="BOX1LPEXT"/>
  </r>
  <r>
    <n v="9724"/>
    <x v="91"/>
    <x v="0"/>
    <x v="165"/>
    <d v="2022-09-21T00:00:00"/>
    <x v="0"/>
    <x v="5"/>
    <x v="0"/>
    <n v="77055"/>
    <x v="0"/>
    <n v="77055"/>
    <n v="68799.107099999994"/>
    <n v="8255.8929000000007"/>
    <x v="0"/>
    <x v="0"/>
    <x v="2"/>
    <x v="0"/>
    <x v="0"/>
    <x v="0"/>
    <n v="0"/>
    <n v="77055"/>
    <x v="0"/>
    <x v="1"/>
    <x v="0"/>
    <x v="67"/>
    <n v="2335"/>
    <x v="1"/>
    <x v="0"/>
    <x v="0"/>
    <n v="77055"/>
    <n v="77055"/>
    <n v="2335"/>
    <n v="0"/>
    <x v="0"/>
    <x v="0"/>
    <x v="5"/>
    <s v="BOX1LPTUP - 1LITER BOX PALM [TIE-UP] (EXT)"/>
    <x v="0"/>
    <n v="33"/>
    <s v="39380"/>
    <x v="0"/>
    <x v="0"/>
    <x v="0"/>
    <x v="0"/>
    <x v="2"/>
    <x v="67"/>
    <x v="1"/>
    <x v="64"/>
    <x v="2"/>
    <x v="2"/>
    <x v="0"/>
    <s v="BOX1LPTUP"/>
  </r>
  <r>
    <n v="9723"/>
    <x v="123"/>
    <x v="0"/>
    <x v="166"/>
    <d v="2022-09-22T00:00:00"/>
    <x v="0"/>
    <x v="2"/>
    <x v="0"/>
    <n v="102357.5"/>
    <x v="0"/>
    <n v="102357.5"/>
    <n v="91390.625"/>
    <n v="10966.875"/>
    <x v="0"/>
    <x v="0"/>
    <x v="2"/>
    <x v="0"/>
    <x v="0"/>
    <x v="0"/>
    <n v="0"/>
    <n v="102357.5"/>
    <x v="0"/>
    <x v="1"/>
    <x v="0"/>
    <x v="27"/>
    <n v="10010"/>
    <x v="1"/>
    <x v="0"/>
    <x v="0"/>
    <n v="65565.5"/>
    <n v="65565.5"/>
    <n v="10010"/>
    <n v="6.55"/>
    <x v="0"/>
    <x v="0"/>
    <x v="2"/>
    <s v="BTL1LP - 1LITER BOTTLE PALM [SWAK] (MBC)"/>
    <x v="0"/>
    <n v="6.55"/>
    <s v="3661"/>
    <x v="0"/>
    <x v="0"/>
    <x v="0"/>
    <x v="0"/>
    <x v="2"/>
    <x v="27"/>
    <x v="0"/>
    <x v="27"/>
    <x v="3"/>
    <x v="3"/>
    <x v="0"/>
    <s v="BTL1LP"/>
  </r>
  <r>
    <n v="9723"/>
    <x v="123"/>
    <x v="0"/>
    <x v="166"/>
    <d v="2022-09-22T00:00:00"/>
    <x v="0"/>
    <x v="2"/>
    <x v="0"/>
    <n v="102357.5"/>
    <x v="0"/>
    <n v="102357.5"/>
    <n v="91390.625"/>
    <n v="10966.875"/>
    <x v="0"/>
    <x v="0"/>
    <x v="2"/>
    <x v="0"/>
    <x v="0"/>
    <x v="0"/>
    <n v="0"/>
    <n v="102357.5"/>
    <x v="0"/>
    <x v="1"/>
    <x v="0"/>
    <x v="13"/>
    <n v="10080"/>
    <x v="1"/>
    <x v="0"/>
    <x v="0"/>
    <n v="36792"/>
    <n v="36792"/>
    <n v="10080"/>
    <n v="3.65"/>
    <x v="0"/>
    <x v="0"/>
    <x v="2"/>
    <s v="BTL500MLP - 500ML BOTTLE PALM [SWAK] (MBC)"/>
    <x v="0"/>
    <n v="3.65"/>
    <s v="3661"/>
    <x v="0"/>
    <x v="0"/>
    <x v="0"/>
    <x v="0"/>
    <x v="2"/>
    <x v="13"/>
    <x v="0"/>
    <x v="13"/>
    <x v="3"/>
    <x v="3"/>
    <x v="0"/>
    <s v="BTL500MLP"/>
  </r>
  <r>
    <n v="9722"/>
    <x v="124"/>
    <x v="0"/>
    <x v="167"/>
    <d v="2022-09-28T00:00:00"/>
    <x v="0"/>
    <x v="2"/>
    <x v="0"/>
    <n v="116007"/>
    <x v="0"/>
    <n v="116007"/>
    <n v="103577.6786"/>
    <n v="12429.321400000001"/>
    <x v="0"/>
    <x v="0"/>
    <x v="2"/>
    <x v="0"/>
    <x v="0"/>
    <x v="0"/>
    <n v="0"/>
    <n v="116007"/>
    <x v="0"/>
    <x v="1"/>
    <x v="0"/>
    <x v="27"/>
    <n v="13200"/>
    <x v="1"/>
    <x v="0"/>
    <x v="0"/>
    <n v="86460"/>
    <n v="86460"/>
    <n v="13200"/>
    <n v="6.55"/>
    <x v="0"/>
    <x v="0"/>
    <x v="2"/>
    <s v="BTL1LP - 1LITER BOTTLE PALM [SWAK] (MBC)"/>
    <x v="0"/>
    <n v="6.55"/>
    <s v="3683"/>
    <x v="0"/>
    <x v="0"/>
    <x v="0"/>
    <x v="0"/>
    <x v="2"/>
    <x v="27"/>
    <x v="0"/>
    <x v="27"/>
    <x v="3"/>
    <x v="3"/>
    <x v="0"/>
    <s v="BTL1LP"/>
  </r>
  <r>
    <n v="9722"/>
    <x v="124"/>
    <x v="0"/>
    <x v="167"/>
    <d v="2022-09-28T00:00:00"/>
    <x v="0"/>
    <x v="2"/>
    <x v="0"/>
    <n v="116007"/>
    <x v="0"/>
    <n v="116007"/>
    <n v="103577.6786"/>
    <n v="12429.321400000001"/>
    <x v="0"/>
    <x v="0"/>
    <x v="2"/>
    <x v="0"/>
    <x v="0"/>
    <x v="0"/>
    <n v="0"/>
    <n v="116007"/>
    <x v="0"/>
    <x v="1"/>
    <x v="0"/>
    <x v="14"/>
    <n v="8820"/>
    <x v="1"/>
    <x v="0"/>
    <x v="0"/>
    <n v="29547"/>
    <n v="29547"/>
    <n v="8820"/>
    <n v="3.35"/>
    <x v="0"/>
    <x v="0"/>
    <x v="2"/>
    <s v="BTL350MLP - 350ML BOTTLE PALM [SWAK] (MBC)"/>
    <x v="0"/>
    <n v="3.35"/>
    <s v="3683"/>
    <x v="0"/>
    <x v="0"/>
    <x v="0"/>
    <x v="0"/>
    <x v="2"/>
    <x v="14"/>
    <x v="0"/>
    <x v="14"/>
    <x v="3"/>
    <x v="3"/>
    <x v="0"/>
    <s v="BTL350MLP"/>
  </r>
  <r>
    <n v="9721"/>
    <x v="104"/>
    <x v="0"/>
    <x v="168"/>
    <d v="2022-09-24T00:00:00"/>
    <x v="0"/>
    <x v="0"/>
    <x v="1"/>
    <n v="2408670.4336999999"/>
    <x v="0"/>
    <n v="2408670.4336999999"/>
    <n v="2150598.6014999999"/>
    <n v="258071.8322"/>
    <x v="0"/>
    <x v="0"/>
    <x v="19"/>
    <x v="1"/>
    <x v="0"/>
    <x v="1"/>
    <n v="-860697.56629999995"/>
    <n v="3269368"/>
    <x v="0"/>
    <x v="1"/>
    <x v="0"/>
    <x v="31"/>
    <n v="23864"/>
    <x v="0"/>
    <x v="0"/>
    <x v="0"/>
    <n v="2408670.4336999999"/>
    <n v="2408670.4336999999"/>
    <n v="23864"/>
    <n v="118"/>
    <x v="0"/>
    <x v="0"/>
    <x v="0"/>
    <s v="SOYA - RBD SOYA BEAN OIL"/>
    <x v="0"/>
    <n v="100.933223"/>
    <s v="12345"/>
    <x v="0"/>
    <x v="0"/>
    <x v="1"/>
    <x v="0"/>
    <x v="0"/>
    <x v="31"/>
    <x v="0"/>
    <x v="31"/>
    <x v="0"/>
    <x v="0"/>
    <x v="0"/>
    <s v="SOYA"/>
  </r>
  <r>
    <n v="9719"/>
    <x v="105"/>
    <x v="0"/>
    <x v="165"/>
    <d v="2022-09-20T00:00:00"/>
    <x v="0"/>
    <x v="0"/>
    <x v="1"/>
    <n v="1641312"/>
    <x v="0"/>
    <n v="1641312"/>
    <n v="1465457.1429000001"/>
    <n v="175854.85709999999"/>
    <x v="0"/>
    <x v="0"/>
    <x v="38"/>
    <x v="1"/>
    <x v="0"/>
    <x v="1"/>
    <n v="1641312"/>
    <n v="0"/>
    <x v="0"/>
    <x v="1"/>
    <x v="0"/>
    <x v="51"/>
    <n v="16680"/>
    <x v="0"/>
    <x v="0"/>
    <x v="0"/>
    <n v="1641312"/>
    <n v="1641312"/>
    <n v="16680"/>
    <n v="98.4"/>
    <x v="0"/>
    <x v="0"/>
    <x v="0"/>
    <s v="PALM - RBD PALM OLEIN (LOCAL)"/>
    <x v="0"/>
    <n v="98.4"/>
    <s v="LT00011058"/>
    <x v="0"/>
    <x v="0"/>
    <x v="1"/>
    <x v="0"/>
    <x v="2"/>
    <x v="51"/>
    <x v="0"/>
    <x v="51"/>
    <x v="0"/>
    <x v="0"/>
    <x v="0"/>
    <s v="PALM"/>
  </r>
  <r>
    <n v="9717"/>
    <x v="125"/>
    <x v="0"/>
    <x v="169"/>
    <d v="2022-09-16T00:00:00"/>
    <x v="0"/>
    <x v="2"/>
    <x v="0"/>
    <n v="118209.5"/>
    <x v="0"/>
    <n v="118209.5"/>
    <n v="105544.1964"/>
    <n v="12665.303599999999"/>
    <x v="0"/>
    <x v="0"/>
    <x v="2"/>
    <x v="0"/>
    <x v="0"/>
    <x v="0"/>
    <n v="0"/>
    <n v="118209.5"/>
    <x v="0"/>
    <x v="1"/>
    <x v="0"/>
    <x v="27"/>
    <n v="10010"/>
    <x v="1"/>
    <x v="0"/>
    <x v="0"/>
    <n v="65565.5"/>
    <n v="65565.5"/>
    <n v="10010"/>
    <n v="6.55"/>
    <x v="0"/>
    <x v="0"/>
    <x v="2"/>
    <s v="BTL1LP - 1LITER BOTTLE PALM [SWAK] (MBC)"/>
    <x v="0"/>
    <n v="6.55"/>
    <s v="0003637"/>
    <x v="0"/>
    <x v="0"/>
    <x v="0"/>
    <x v="0"/>
    <x v="2"/>
    <x v="27"/>
    <x v="0"/>
    <x v="27"/>
    <x v="3"/>
    <x v="3"/>
    <x v="0"/>
    <s v="BTL1LP"/>
  </r>
  <r>
    <n v="9717"/>
    <x v="125"/>
    <x v="0"/>
    <x v="169"/>
    <d v="2022-09-16T00:00:00"/>
    <x v="0"/>
    <x v="2"/>
    <x v="0"/>
    <n v="118209.5"/>
    <x v="0"/>
    <n v="118209.5"/>
    <n v="105544.1964"/>
    <n v="12665.303599999999"/>
    <x v="0"/>
    <x v="0"/>
    <x v="2"/>
    <x v="0"/>
    <x v="0"/>
    <x v="0"/>
    <n v="0"/>
    <n v="118209.5"/>
    <x v="0"/>
    <x v="1"/>
    <x v="0"/>
    <x v="15"/>
    <n v="2860"/>
    <x v="1"/>
    <x v="0"/>
    <x v="0"/>
    <n v="18876"/>
    <n v="18876"/>
    <n v="2860"/>
    <n v="6.6"/>
    <x v="0"/>
    <x v="0"/>
    <x v="2"/>
    <s v="BTL1LCS - 1LITER BOTTLE CANSOY [NUTRI] (MBC)"/>
    <x v="0"/>
    <n v="6.6"/>
    <s v="0003637"/>
    <x v="0"/>
    <x v="0"/>
    <x v="0"/>
    <x v="0"/>
    <x v="2"/>
    <x v="15"/>
    <x v="0"/>
    <x v="15"/>
    <x v="3"/>
    <x v="3"/>
    <x v="0"/>
    <s v="BTL1LCS"/>
  </r>
  <r>
    <n v="9717"/>
    <x v="125"/>
    <x v="0"/>
    <x v="169"/>
    <d v="2022-09-16T00:00:00"/>
    <x v="0"/>
    <x v="2"/>
    <x v="0"/>
    <n v="118209.5"/>
    <x v="0"/>
    <n v="118209.5"/>
    <n v="105544.1964"/>
    <n v="12665.303599999999"/>
    <x v="0"/>
    <x v="0"/>
    <x v="2"/>
    <x v="0"/>
    <x v="0"/>
    <x v="0"/>
    <n v="0"/>
    <n v="118209.5"/>
    <x v="0"/>
    <x v="1"/>
    <x v="0"/>
    <x v="14"/>
    <n v="10080"/>
    <x v="1"/>
    <x v="0"/>
    <x v="0"/>
    <n v="33768"/>
    <n v="33768"/>
    <n v="10080"/>
    <n v="3.35"/>
    <x v="0"/>
    <x v="0"/>
    <x v="2"/>
    <s v="BTL350MLP - 350ML BOTTLE PALM [SWAK] (MBC)"/>
    <x v="0"/>
    <n v="3.35"/>
    <s v="0003637"/>
    <x v="0"/>
    <x v="0"/>
    <x v="0"/>
    <x v="0"/>
    <x v="2"/>
    <x v="14"/>
    <x v="0"/>
    <x v="14"/>
    <x v="3"/>
    <x v="3"/>
    <x v="0"/>
    <s v="BTL350MLP"/>
  </r>
  <r>
    <n v="9716"/>
    <x v="90"/>
    <x v="0"/>
    <x v="170"/>
    <d v="2022-09-09T00:00:00"/>
    <x v="0"/>
    <x v="0"/>
    <x v="1"/>
    <n v="640000"/>
    <x v="0"/>
    <n v="640000"/>
    <n v="571428.57140000002"/>
    <n v="68571.428599999999"/>
    <x v="0"/>
    <x v="0"/>
    <x v="39"/>
    <x v="1"/>
    <x v="0"/>
    <x v="1"/>
    <n v="0"/>
    <n v="640000"/>
    <x v="0"/>
    <x v="1"/>
    <x v="0"/>
    <x v="31"/>
    <n v="5000"/>
    <x v="0"/>
    <x v="0"/>
    <x v="0"/>
    <n v="640000"/>
    <n v="640000"/>
    <n v="5000"/>
    <n v="118"/>
    <x v="0"/>
    <x v="0"/>
    <x v="0"/>
    <s v="SOYA - RBD SOYA BEAN OIL"/>
    <x v="0"/>
    <n v="128"/>
    <s v="00188"/>
    <x v="0"/>
    <x v="0"/>
    <x v="1"/>
    <x v="0"/>
    <x v="2"/>
    <x v="31"/>
    <x v="0"/>
    <x v="31"/>
    <x v="0"/>
    <x v="0"/>
    <x v="0"/>
    <s v="SOYA"/>
  </r>
  <r>
    <n v="9715"/>
    <x v="2"/>
    <x v="0"/>
    <x v="171"/>
    <d v="2022-09-07T00:00:00"/>
    <x v="0"/>
    <x v="2"/>
    <x v="0"/>
    <n v="112755.5"/>
    <x v="0"/>
    <n v="112755.5"/>
    <n v="100674.5536"/>
    <n v="12080.946400000001"/>
    <x v="0"/>
    <x v="0"/>
    <x v="2"/>
    <x v="0"/>
    <x v="0"/>
    <x v="0"/>
    <n v="0"/>
    <n v="112755.5"/>
    <x v="0"/>
    <x v="1"/>
    <x v="0"/>
    <x v="27"/>
    <n v="10010"/>
    <x v="1"/>
    <x v="0"/>
    <x v="0"/>
    <n v="65565.5"/>
    <n v="65565.5"/>
    <n v="10010"/>
    <n v="6.55"/>
    <x v="0"/>
    <x v="0"/>
    <x v="2"/>
    <s v="BTL1LP - 1LITER BOTTLE PALM [SWAK] (MBC)"/>
    <x v="0"/>
    <n v="6.55"/>
    <s v="0003593"/>
    <x v="0"/>
    <x v="0"/>
    <x v="0"/>
    <x v="0"/>
    <x v="2"/>
    <x v="27"/>
    <x v="0"/>
    <x v="27"/>
    <x v="3"/>
    <x v="3"/>
    <x v="0"/>
    <s v="BTL1LP"/>
  </r>
  <r>
    <n v="9715"/>
    <x v="2"/>
    <x v="0"/>
    <x v="171"/>
    <d v="2022-09-07T00:00:00"/>
    <x v="0"/>
    <x v="2"/>
    <x v="0"/>
    <n v="112755.5"/>
    <x v="0"/>
    <n v="112755.5"/>
    <n v="100674.5536"/>
    <n v="12080.946400000001"/>
    <x v="0"/>
    <x v="0"/>
    <x v="2"/>
    <x v="0"/>
    <x v="0"/>
    <x v="0"/>
    <n v="0"/>
    <n v="112755.5"/>
    <x v="0"/>
    <x v="1"/>
    <x v="0"/>
    <x v="15"/>
    <n v="7150"/>
    <x v="1"/>
    <x v="0"/>
    <x v="0"/>
    <n v="47190"/>
    <n v="47190"/>
    <n v="7150"/>
    <n v="6.6"/>
    <x v="0"/>
    <x v="0"/>
    <x v="2"/>
    <s v="BTL1LCS - 1LITER BOTTLE CANSOY [NUTRI] (MBC)"/>
    <x v="0"/>
    <n v="6.6"/>
    <s v="0003593"/>
    <x v="0"/>
    <x v="0"/>
    <x v="0"/>
    <x v="0"/>
    <x v="2"/>
    <x v="15"/>
    <x v="0"/>
    <x v="15"/>
    <x v="3"/>
    <x v="3"/>
    <x v="0"/>
    <s v="BTL1LCS"/>
  </r>
  <r>
    <n v="9714"/>
    <x v="92"/>
    <x v="0"/>
    <x v="172"/>
    <d v="2022-08-27T00:00:00"/>
    <x v="0"/>
    <x v="5"/>
    <x v="0"/>
    <n v="93308"/>
    <x v="0"/>
    <n v="93308"/>
    <n v="83310.714300000007"/>
    <n v="9997.2857000000004"/>
    <x v="0"/>
    <x v="0"/>
    <x v="2"/>
    <x v="0"/>
    <x v="0"/>
    <x v="0"/>
    <n v="0"/>
    <n v="93308"/>
    <x v="0"/>
    <x v="1"/>
    <x v="0"/>
    <x v="25"/>
    <n v="1114"/>
    <x v="1"/>
    <x v="0"/>
    <x v="0"/>
    <n v="24508"/>
    <n v="24508"/>
    <n v="1114"/>
    <n v="22"/>
    <x v="0"/>
    <x v="0"/>
    <x v="5"/>
    <s v="BOX500MLP - 500ML BOX PALM (EXT)"/>
    <x v="0"/>
    <n v="22"/>
    <s v="39040"/>
    <x v="0"/>
    <x v="0"/>
    <x v="0"/>
    <x v="0"/>
    <x v="2"/>
    <x v="25"/>
    <x v="0"/>
    <x v="25"/>
    <x v="2"/>
    <x v="2"/>
    <x v="0"/>
    <s v="BOX500MLP"/>
  </r>
  <r>
    <n v="9714"/>
    <x v="92"/>
    <x v="0"/>
    <x v="172"/>
    <d v="2022-08-27T00:00:00"/>
    <x v="0"/>
    <x v="5"/>
    <x v="0"/>
    <n v="93308"/>
    <x v="0"/>
    <n v="93308"/>
    <n v="83310.714300000007"/>
    <n v="9997.2857000000004"/>
    <x v="0"/>
    <x v="0"/>
    <x v="2"/>
    <x v="0"/>
    <x v="0"/>
    <x v="0"/>
    <n v="0"/>
    <n v="93308"/>
    <x v="0"/>
    <x v="1"/>
    <x v="0"/>
    <x v="29"/>
    <n v="2150"/>
    <x v="1"/>
    <x v="0"/>
    <x v="0"/>
    <n v="68800"/>
    <n v="68800"/>
    <n v="2150"/>
    <n v="32"/>
    <x v="0"/>
    <x v="0"/>
    <x v="5"/>
    <s v="BOX1LPEXT - 1LITER BOX PALM (EXT)"/>
    <x v="0"/>
    <n v="32"/>
    <s v="39040"/>
    <x v="0"/>
    <x v="0"/>
    <x v="0"/>
    <x v="0"/>
    <x v="2"/>
    <x v="29"/>
    <x v="1"/>
    <x v="29"/>
    <x v="2"/>
    <x v="2"/>
    <x v="0"/>
    <s v="BOX1LPEXT"/>
  </r>
  <r>
    <n v="9713"/>
    <x v="3"/>
    <x v="0"/>
    <x v="173"/>
    <d v="2022-08-24T00:00:00"/>
    <x v="0"/>
    <x v="2"/>
    <x v="0"/>
    <n v="80283"/>
    <x v="0"/>
    <n v="80283"/>
    <n v="71681.25"/>
    <n v="8601.75"/>
    <x v="0"/>
    <x v="0"/>
    <x v="2"/>
    <x v="0"/>
    <x v="0"/>
    <x v="0"/>
    <n v="0"/>
    <n v="80283"/>
    <x v="0"/>
    <x v="1"/>
    <x v="0"/>
    <x v="27"/>
    <n v="2100"/>
    <x v="1"/>
    <x v="0"/>
    <x v="0"/>
    <n v="13755"/>
    <n v="13755"/>
    <n v="2100"/>
    <n v="6.55"/>
    <x v="0"/>
    <x v="0"/>
    <x v="2"/>
    <s v="BTL1LP - 1LITER BOTTLE PALM [SWAK] (MBC)"/>
    <x v="0"/>
    <n v="6.55"/>
    <s v="0003541"/>
    <x v="0"/>
    <x v="0"/>
    <x v="0"/>
    <x v="0"/>
    <x v="2"/>
    <x v="27"/>
    <x v="0"/>
    <x v="27"/>
    <x v="3"/>
    <x v="3"/>
    <x v="0"/>
    <s v="BTL1LP"/>
  </r>
  <r>
    <n v="9713"/>
    <x v="3"/>
    <x v="0"/>
    <x v="173"/>
    <d v="2022-08-24T00:00:00"/>
    <x v="0"/>
    <x v="2"/>
    <x v="0"/>
    <n v="80283"/>
    <x v="0"/>
    <n v="80283"/>
    <n v="71681.25"/>
    <n v="8601.75"/>
    <x v="0"/>
    <x v="0"/>
    <x v="2"/>
    <x v="0"/>
    <x v="0"/>
    <x v="0"/>
    <n v="0"/>
    <n v="80283"/>
    <x v="0"/>
    <x v="1"/>
    <x v="0"/>
    <x v="15"/>
    <n v="10080"/>
    <x v="1"/>
    <x v="0"/>
    <x v="0"/>
    <n v="66528"/>
    <n v="66528"/>
    <n v="10080"/>
    <n v="6.6"/>
    <x v="0"/>
    <x v="0"/>
    <x v="2"/>
    <s v="BTL1LCS - 1LITER BOTTLE CANSOY [NUTRI] (MBC)"/>
    <x v="0"/>
    <n v="6.6"/>
    <s v="0003541"/>
    <x v="0"/>
    <x v="0"/>
    <x v="0"/>
    <x v="0"/>
    <x v="2"/>
    <x v="15"/>
    <x v="0"/>
    <x v="15"/>
    <x v="3"/>
    <x v="3"/>
    <x v="0"/>
    <s v="BTL1LCS"/>
  </r>
  <r>
    <n v="9712"/>
    <x v="92"/>
    <x v="0"/>
    <x v="174"/>
    <d v="2022-07-30T00:00:00"/>
    <x v="0"/>
    <x v="9"/>
    <x v="0"/>
    <n v="25600"/>
    <x v="0"/>
    <n v="25600"/>
    <n v="22857.142899999999"/>
    <n v="2742.8571000000002"/>
    <x v="0"/>
    <x v="0"/>
    <x v="2"/>
    <x v="0"/>
    <x v="0"/>
    <x v="0"/>
    <n v="25600"/>
    <n v="0"/>
    <x v="0"/>
    <x v="1"/>
    <x v="0"/>
    <x v="17"/>
    <n v="640"/>
    <x v="4"/>
    <x v="2"/>
    <x v="0"/>
    <n v="25600"/>
    <n v="25600"/>
    <n v="64000"/>
    <n v="0.4"/>
    <x v="0"/>
    <x v="0"/>
    <x v="9"/>
    <s v="DBLSDTP30M - DOUBLE SIDED TAPE 3/4''x30M (CONNAN)"/>
    <x v="0"/>
    <n v="40"/>
    <s v="1802"/>
    <x v="0"/>
    <x v="0"/>
    <x v="0"/>
    <x v="0"/>
    <x v="2"/>
    <x v="17"/>
    <x v="0"/>
    <x v="17"/>
    <x v="5"/>
    <x v="5"/>
    <x v="0"/>
    <s v="DBLSDTP30M"/>
  </r>
  <r>
    <n v="9711"/>
    <x v="4"/>
    <x v="0"/>
    <x v="175"/>
    <d v="2022-08-11T00:00:00"/>
    <x v="0"/>
    <x v="2"/>
    <x v="0"/>
    <n v="112398"/>
    <x v="0"/>
    <n v="112398"/>
    <n v="100355.35709999999"/>
    <n v="12042.642900000001"/>
    <x v="0"/>
    <x v="0"/>
    <x v="2"/>
    <x v="0"/>
    <x v="0"/>
    <x v="0"/>
    <n v="0"/>
    <n v="112398"/>
    <x v="0"/>
    <x v="1"/>
    <x v="0"/>
    <x v="27"/>
    <n v="17160"/>
    <x v="1"/>
    <x v="0"/>
    <x v="0"/>
    <n v="112398"/>
    <n v="112398"/>
    <n v="17160"/>
    <n v="6.55"/>
    <x v="0"/>
    <x v="0"/>
    <x v="2"/>
    <s v="BTL1LP - 1LITER BOTTLE PALM [SWAK] (MBC)"/>
    <x v="0"/>
    <n v="6.55"/>
    <s v="0003505"/>
    <x v="0"/>
    <x v="0"/>
    <x v="0"/>
    <x v="0"/>
    <x v="2"/>
    <x v="27"/>
    <x v="0"/>
    <x v="27"/>
    <x v="3"/>
    <x v="3"/>
    <x v="0"/>
    <s v="BTL1LP"/>
  </r>
  <r>
    <n v="9710"/>
    <x v="93"/>
    <x v="0"/>
    <x v="176"/>
    <d v="2022-08-09T00:00:00"/>
    <x v="0"/>
    <x v="5"/>
    <x v="0"/>
    <n v="70016"/>
    <x v="0"/>
    <n v="70016"/>
    <n v="62514.2857"/>
    <n v="7501.7142999999996"/>
    <x v="0"/>
    <x v="0"/>
    <x v="2"/>
    <x v="0"/>
    <x v="0"/>
    <x v="0"/>
    <n v="0"/>
    <n v="70016"/>
    <x v="0"/>
    <x v="1"/>
    <x v="0"/>
    <x v="29"/>
    <n v="2188"/>
    <x v="1"/>
    <x v="0"/>
    <x v="0"/>
    <n v="70016"/>
    <n v="70016"/>
    <n v="2188"/>
    <n v="32"/>
    <x v="0"/>
    <x v="0"/>
    <x v="5"/>
    <s v="BOX1LPEXT - 1LITER BOX PALM (EXT)"/>
    <x v="0"/>
    <n v="32"/>
    <s v="38759"/>
    <x v="0"/>
    <x v="0"/>
    <x v="0"/>
    <x v="0"/>
    <x v="2"/>
    <x v="29"/>
    <x v="1"/>
    <x v="29"/>
    <x v="2"/>
    <x v="2"/>
    <x v="0"/>
    <s v="BOX1LPEXT"/>
  </r>
  <r>
    <n v="9706"/>
    <x v="21"/>
    <x v="0"/>
    <x v="177"/>
    <d v="2022-07-26T00:00:00"/>
    <x v="0"/>
    <x v="2"/>
    <x v="0"/>
    <n v="95106"/>
    <x v="0"/>
    <n v="95106"/>
    <n v="84916.071400000001"/>
    <n v="10189.928599999999"/>
    <x v="0"/>
    <x v="0"/>
    <x v="2"/>
    <x v="0"/>
    <x v="0"/>
    <x v="0"/>
    <n v="0"/>
    <n v="95106"/>
    <x v="0"/>
    <x v="1"/>
    <x v="0"/>
    <x v="27"/>
    <n v="14520"/>
    <x v="1"/>
    <x v="0"/>
    <x v="0"/>
    <n v="95106"/>
    <n v="95106"/>
    <n v="14520"/>
    <n v="6.55"/>
    <x v="0"/>
    <x v="0"/>
    <x v="2"/>
    <s v="BTL1LP - 1LITER BOTTLE PALM [SWAK] (MBC)"/>
    <x v="0"/>
    <n v="6.55"/>
    <s v="0003436"/>
    <x v="0"/>
    <x v="0"/>
    <x v="0"/>
    <x v="0"/>
    <x v="2"/>
    <x v="27"/>
    <x v="0"/>
    <x v="27"/>
    <x v="3"/>
    <x v="3"/>
    <x v="0"/>
    <s v="BTL1LP"/>
  </r>
  <r>
    <n v="9705"/>
    <x v="8"/>
    <x v="0"/>
    <x v="178"/>
    <d v="2022-07-21T00:00:00"/>
    <x v="0"/>
    <x v="0"/>
    <x v="1"/>
    <n v="2655550"/>
    <x v="0"/>
    <n v="2655550"/>
    <n v="2371026.7856999999"/>
    <n v="284523.21429999999"/>
    <x v="0"/>
    <x v="0"/>
    <x v="28"/>
    <x v="1"/>
    <x v="0"/>
    <x v="1"/>
    <n v="0"/>
    <n v="2655550"/>
    <x v="0"/>
    <x v="1"/>
    <x v="0"/>
    <x v="51"/>
    <n v="30700"/>
    <x v="0"/>
    <x v="0"/>
    <x v="0"/>
    <n v="2655550"/>
    <n v="2655550"/>
    <n v="30700"/>
    <n v="98.4"/>
    <x v="0"/>
    <x v="0"/>
    <x v="0"/>
    <s v="PALM - RBD PALM OLEIN (LOCAL)"/>
    <x v="0"/>
    <n v="86.5"/>
    <s v="00050"/>
    <x v="0"/>
    <x v="0"/>
    <x v="1"/>
    <x v="0"/>
    <x v="2"/>
    <x v="51"/>
    <x v="0"/>
    <x v="51"/>
    <x v="0"/>
    <x v="0"/>
    <x v="0"/>
    <s v="PALM"/>
  </r>
  <r>
    <n v="9704"/>
    <x v="34"/>
    <x v="0"/>
    <x v="178"/>
    <d v="2022-07-21T00:00:00"/>
    <x v="0"/>
    <x v="2"/>
    <x v="0"/>
    <n v="66528"/>
    <x v="0"/>
    <n v="66528"/>
    <n v="59400"/>
    <n v="7128"/>
    <x v="0"/>
    <x v="0"/>
    <x v="2"/>
    <x v="0"/>
    <x v="0"/>
    <x v="0"/>
    <n v="0"/>
    <n v="66528"/>
    <x v="0"/>
    <x v="1"/>
    <x v="0"/>
    <x v="15"/>
    <n v="10080"/>
    <x v="1"/>
    <x v="0"/>
    <x v="0"/>
    <n v="66528"/>
    <n v="66528"/>
    <n v="10080"/>
    <n v="6.6"/>
    <x v="0"/>
    <x v="0"/>
    <x v="2"/>
    <s v="BTL1LCS - 1LITER BOTTLE CANSOY [NUTRI] (MBC)"/>
    <x v="0"/>
    <n v="6.6"/>
    <s v="0003421"/>
    <x v="0"/>
    <x v="0"/>
    <x v="0"/>
    <x v="0"/>
    <x v="2"/>
    <x v="15"/>
    <x v="0"/>
    <x v="15"/>
    <x v="3"/>
    <x v="3"/>
    <x v="0"/>
    <s v="BTL1LCS"/>
  </r>
  <r>
    <n v="9703"/>
    <x v="57"/>
    <x v="0"/>
    <x v="179"/>
    <d v="2022-07-23T00:00:00"/>
    <x v="0"/>
    <x v="2"/>
    <x v="0"/>
    <n v="36025"/>
    <x v="0"/>
    <n v="36025"/>
    <n v="32165.178599999999"/>
    <n v="3859.8213999999998"/>
    <x v="0"/>
    <x v="0"/>
    <x v="2"/>
    <x v="0"/>
    <x v="0"/>
    <x v="0"/>
    <n v="0"/>
    <n v="36025"/>
    <x v="0"/>
    <x v="1"/>
    <x v="0"/>
    <x v="27"/>
    <n v="5500"/>
    <x v="1"/>
    <x v="0"/>
    <x v="0"/>
    <n v="36025"/>
    <n v="36025"/>
    <n v="5500"/>
    <n v="6.55"/>
    <x v="0"/>
    <x v="0"/>
    <x v="2"/>
    <s v="BTL1LP - 1LITER BOTTLE PALM [SWAK] (MBC)"/>
    <x v="0"/>
    <n v="6.55"/>
    <s v="0003430"/>
    <x v="0"/>
    <x v="0"/>
    <x v="0"/>
    <x v="0"/>
    <x v="2"/>
    <x v="27"/>
    <x v="0"/>
    <x v="27"/>
    <x v="3"/>
    <x v="3"/>
    <x v="0"/>
    <s v="BTL1LP"/>
  </r>
  <r>
    <n v="9700"/>
    <x v="107"/>
    <x v="0"/>
    <x v="180"/>
    <d v="2022-07-06T00:00:00"/>
    <x v="0"/>
    <x v="5"/>
    <x v="0"/>
    <n v="36240"/>
    <x v="0"/>
    <n v="36240"/>
    <n v="32357.142899999999"/>
    <n v="3882.8571000000002"/>
    <x v="0"/>
    <x v="0"/>
    <x v="2"/>
    <x v="0"/>
    <x v="0"/>
    <x v="0"/>
    <n v="0"/>
    <n v="36240"/>
    <x v="0"/>
    <x v="1"/>
    <x v="0"/>
    <x v="68"/>
    <n v="2265"/>
    <x v="1"/>
    <x v="0"/>
    <x v="0"/>
    <n v="36240"/>
    <n v="36240"/>
    <n v="2265"/>
    <n v="16"/>
    <x v="0"/>
    <x v="0"/>
    <x v="5"/>
    <s v="BOX1LC - 1LITER BOX CANOLEIN (EXT)"/>
    <x v="0"/>
    <n v="16"/>
    <s v="38050"/>
    <x v="0"/>
    <x v="0"/>
    <x v="0"/>
    <x v="0"/>
    <x v="2"/>
    <x v="68"/>
    <x v="1"/>
    <x v="39"/>
    <x v="2"/>
    <x v="2"/>
    <x v="0"/>
    <s v="BOX1LC"/>
  </r>
  <r>
    <n v="9699"/>
    <x v="90"/>
    <x v="0"/>
    <x v="181"/>
    <d v="2022-07-06T00:00:00"/>
    <x v="0"/>
    <x v="1"/>
    <x v="0"/>
    <n v="40163.199999999997"/>
    <x v="0"/>
    <n v="40163.199999999997"/>
    <n v="35860"/>
    <n v="4303.2"/>
    <x v="0"/>
    <x v="0"/>
    <x v="2"/>
    <x v="0"/>
    <x v="0"/>
    <x v="0"/>
    <n v="0"/>
    <n v="40163.199999999997"/>
    <x v="0"/>
    <x v="1"/>
    <x v="0"/>
    <x v="56"/>
    <n v="1120"/>
    <x v="1"/>
    <x v="0"/>
    <x v="0"/>
    <n v="40163.199999999997"/>
    <n v="40163.199999999997"/>
    <n v="1120"/>
    <n v="35.86"/>
    <x v="0"/>
    <x v="0"/>
    <x v="1"/>
    <s v="BOX1LPSPC - 1LITER BOX PALM (SPC)"/>
    <x v="0"/>
    <n v="35.86"/>
    <s v="489565"/>
    <x v="0"/>
    <x v="0"/>
    <x v="0"/>
    <x v="0"/>
    <x v="2"/>
    <x v="56"/>
    <x v="1"/>
    <x v="29"/>
    <x v="2"/>
    <x v="2"/>
    <x v="0"/>
    <s v="BOX1LPSPC"/>
  </r>
  <r>
    <n v="9698"/>
    <x v="58"/>
    <x v="0"/>
    <x v="182"/>
    <d v="2022-06-30T00:00:00"/>
    <x v="0"/>
    <x v="2"/>
    <x v="0"/>
    <n v="63692.7"/>
    <x v="0"/>
    <n v="63692.7"/>
    <n v="56868.482100000001"/>
    <n v="6824.2178999999996"/>
    <x v="0"/>
    <x v="0"/>
    <x v="2"/>
    <x v="0"/>
    <x v="0"/>
    <x v="0"/>
    <n v="0"/>
    <n v="63692.7"/>
    <x v="0"/>
    <x v="1"/>
    <x v="0"/>
    <x v="14"/>
    <n v="3570"/>
    <x v="1"/>
    <x v="0"/>
    <x v="0"/>
    <n v="11602.5"/>
    <n v="11602.5"/>
    <n v="3570"/>
    <n v="3.25"/>
    <x v="0"/>
    <x v="0"/>
    <x v="2"/>
    <s v="BTL350MLP - 350ML BOTTLE PALM [SWAK] (MBC)"/>
    <x v="0"/>
    <n v="3.25"/>
    <s v="003345"/>
    <x v="0"/>
    <x v="0"/>
    <x v="0"/>
    <x v="0"/>
    <x v="2"/>
    <x v="14"/>
    <x v="0"/>
    <x v="14"/>
    <x v="3"/>
    <x v="3"/>
    <x v="0"/>
    <s v="BTL350MLP"/>
  </r>
  <r>
    <n v="9698"/>
    <x v="58"/>
    <x v="0"/>
    <x v="182"/>
    <d v="2022-06-30T00:00:00"/>
    <x v="0"/>
    <x v="2"/>
    <x v="0"/>
    <n v="63692.7"/>
    <x v="0"/>
    <n v="63692.7"/>
    <n v="56868.482100000001"/>
    <n v="6824.2178999999996"/>
    <x v="0"/>
    <x v="0"/>
    <x v="2"/>
    <x v="0"/>
    <x v="0"/>
    <x v="0"/>
    <n v="0"/>
    <n v="63692.7"/>
    <x v="0"/>
    <x v="1"/>
    <x v="0"/>
    <x v="27"/>
    <n v="8076"/>
    <x v="1"/>
    <x v="0"/>
    <x v="0"/>
    <n v="52090.2"/>
    <n v="52090.2"/>
    <n v="8076"/>
    <n v="6.45"/>
    <x v="0"/>
    <x v="0"/>
    <x v="2"/>
    <s v="BTL1LP - 1LITER BOTTLE PALM [SWAK] (MBC)"/>
    <x v="0"/>
    <n v="6.45"/>
    <s v="003345"/>
    <x v="0"/>
    <x v="0"/>
    <x v="0"/>
    <x v="0"/>
    <x v="2"/>
    <x v="27"/>
    <x v="0"/>
    <x v="27"/>
    <x v="3"/>
    <x v="3"/>
    <x v="0"/>
    <s v="BTL1LP"/>
  </r>
  <r>
    <n v="9694"/>
    <x v="103"/>
    <x v="0"/>
    <x v="183"/>
    <d v="2022-06-17T00:00:00"/>
    <x v="0"/>
    <x v="2"/>
    <x v="0"/>
    <n v="101434.05"/>
    <x v="0"/>
    <n v="101434.05"/>
    <n v="90566.116099999999"/>
    <n v="10867.9339"/>
    <x v="0"/>
    <x v="0"/>
    <x v="2"/>
    <x v="0"/>
    <x v="0"/>
    <x v="0"/>
    <n v="0"/>
    <n v="101434.05"/>
    <x v="0"/>
    <x v="1"/>
    <x v="0"/>
    <x v="14"/>
    <n v="16590"/>
    <x v="1"/>
    <x v="0"/>
    <x v="0"/>
    <n v="53917.5"/>
    <n v="53917.5"/>
    <n v="16590"/>
    <n v="3.25"/>
    <x v="0"/>
    <x v="0"/>
    <x v="2"/>
    <s v="BTL350MLP - 350ML BOTTLE PALM [SWAK] (MBC)"/>
    <x v="0"/>
    <n v="3.25"/>
    <s v="0003296"/>
    <x v="0"/>
    <x v="0"/>
    <x v="0"/>
    <x v="0"/>
    <x v="2"/>
    <x v="14"/>
    <x v="0"/>
    <x v="14"/>
    <x v="3"/>
    <x v="3"/>
    <x v="0"/>
    <s v="BTL350MLP"/>
  </r>
  <r>
    <n v="9694"/>
    <x v="103"/>
    <x v="0"/>
    <x v="183"/>
    <d v="2022-06-17T00:00:00"/>
    <x v="0"/>
    <x v="2"/>
    <x v="0"/>
    <n v="101434.05"/>
    <x v="0"/>
    <n v="101434.05"/>
    <n v="90566.116099999999"/>
    <n v="10867.9339"/>
    <x v="0"/>
    <x v="0"/>
    <x v="2"/>
    <x v="0"/>
    <x v="0"/>
    <x v="0"/>
    <n v="0"/>
    <n v="101434.05"/>
    <x v="0"/>
    <x v="1"/>
    <x v="0"/>
    <x v="27"/>
    <n v="1819"/>
    <x v="1"/>
    <x v="0"/>
    <x v="0"/>
    <n v="11732.55"/>
    <n v="11732.55"/>
    <n v="1819"/>
    <n v="6.45"/>
    <x v="0"/>
    <x v="0"/>
    <x v="2"/>
    <s v="BTL1LP - 1LITER BOTTLE PALM [SWAK] (MBC)"/>
    <x v="0"/>
    <n v="6.45"/>
    <s v="0003296"/>
    <x v="0"/>
    <x v="0"/>
    <x v="0"/>
    <x v="0"/>
    <x v="2"/>
    <x v="27"/>
    <x v="0"/>
    <x v="27"/>
    <x v="3"/>
    <x v="3"/>
    <x v="0"/>
    <s v="BTL1LP"/>
  </r>
  <r>
    <n v="9694"/>
    <x v="103"/>
    <x v="0"/>
    <x v="183"/>
    <d v="2022-06-17T00:00:00"/>
    <x v="0"/>
    <x v="2"/>
    <x v="0"/>
    <n v="101434.05"/>
    <x v="0"/>
    <n v="101434.05"/>
    <n v="90566.116099999999"/>
    <n v="10867.9339"/>
    <x v="0"/>
    <x v="0"/>
    <x v="2"/>
    <x v="0"/>
    <x v="0"/>
    <x v="0"/>
    <n v="0"/>
    <n v="101434.05"/>
    <x v="0"/>
    <x v="1"/>
    <x v="0"/>
    <x v="13"/>
    <n v="10080"/>
    <x v="1"/>
    <x v="0"/>
    <x v="0"/>
    <n v="35784"/>
    <n v="35784"/>
    <n v="10080"/>
    <n v="3.55"/>
    <x v="0"/>
    <x v="0"/>
    <x v="2"/>
    <s v="BTL500MLP - 500ML BOTTLE PALM [SWAK] (MBC)"/>
    <x v="0"/>
    <n v="3.55"/>
    <s v="0003296"/>
    <x v="0"/>
    <x v="0"/>
    <x v="0"/>
    <x v="0"/>
    <x v="2"/>
    <x v="13"/>
    <x v="0"/>
    <x v="13"/>
    <x v="3"/>
    <x v="3"/>
    <x v="0"/>
    <s v="BTL500MLP"/>
  </r>
  <r>
    <n v="9693"/>
    <x v="91"/>
    <x v="0"/>
    <x v="184"/>
    <d v="2022-06-15T00:00:00"/>
    <x v="0"/>
    <x v="1"/>
    <x v="0"/>
    <n v="67416.800000000003"/>
    <x v="0"/>
    <n v="67416.800000000003"/>
    <n v="60193.571400000001"/>
    <n v="7223.2286000000004"/>
    <x v="0"/>
    <x v="0"/>
    <x v="2"/>
    <x v="0"/>
    <x v="0"/>
    <x v="0"/>
    <n v="0"/>
    <n v="67416.800000000003"/>
    <x v="0"/>
    <x v="1"/>
    <x v="0"/>
    <x v="56"/>
    <n v="1880"/>
    <x v="1"/>
    <x v="0"/>
    <x v="0"/>
    <n v="67416.800000000003"/>
    <n v="67416.800000000003"/>
    <n v="1880"/>
    <n v="35.86"/>
    <x v="0"/>
    <x v="0"/>
    <x v="1"/>
    <s v="BOX1LPSPC - 1LITER BOX PALM (SPC)"/>
    <x v="0"/>
    <n v="35.86"/>
    <s v="414988"/>
    <x v="0"/>
    <x v="0"/>
    <x v="0"/>
    <x v="0"/>
    <x v="2"/>
    <x v="56"/>
    <x v="1"/>
    <x v="29"/>
    <x v="2"/>
    <x v="2"/>
    <x v="0"/>
    <s v="BOX1LPSPC"/>
  </r>
  <r>
    <n v="9692"/>
    <x v="104"/>
    <x v="0"/>
    <x v="185"/>
    <d v="2022-06-14T00:00:00"/>
    <x v="0"/>
    <x v="2"/>
    <x v="0"/>
    <n v="108553.5"/>
    <x v="0"/>
    <n v="108553.5"/>
    <n v="96922.767900000006"/>
    <n v="11630.732099999999"/>
    <x v="0"/>
    <x v="0"/>
    <x v="2"/>
    <x v="0"/>
    <x v="0"/>
    <x v="0"/>
    <n v="0"/>
    <n v="108553.5"/>
    <x v="0"/>
    <x v="1"/>
    <x v="0"/>
    <x v="27"/>
    <n v="16830"/>
    <x v="1"/>
    <x v="0"/>
    <x v="0"/>
    <n v="108553.5"/>
    <n v="108553.5"/>
    <n v="16830"/>
    <n v="6.45"/>
    <x v="0"/>
    <x v="0"/>
    <x v="2"/>
    <s v="BTL1LP - 1LITER BOTTLE PALM [SWAK] (MBC)"/>
    <x v="0"/>
    <n v="6.45"/>
    <s v="3283"/>
    <x v="0"/>
    <x v="0"/>
    <x v="0"/>
    <x v="0"/>
    <x v="2"/>
    <x v="27"/>
    <x v="0"/>
    <x v="27"/>
    <x v="3"/>
    <x v="3"/>
    <x v="0"/>
    <s v="BTL1LP"/>
  </r>
  <r>
    <n v="9690"/>
    <x v="92"/>
    <x v="0"/>
    <x v="186"/>
    <d v="2022-06-06T00:00:00"/>
    <x v="0"/>
    <x v="7"/>
    <x v="0"/>
    <n v="138010"/>
    <x v="0"/>
    <n v="138010"/>
    <n v="123223.21430000001"/>
    <n v="14786.7857"/>
    <x v="0"/>
    <x v="0"/>
    <x v="2"/>
    <x v="0"/>
    <x v="0"/>
    <x v="0"/>
    <n v="0"/>
    <n v="138010"/>
    <x v="0"/>
    <x v="1"/>
    <x v="0"/>
    <x v="66"/>
    <n v="122400"/>
    <x v="1"/>
    <x v="0"/>
    <x v="0"/>
    <n v="36720"/>
    <n v="36720"/>
    <n v="122400"/>
    <n v="0.3"/>
    <x v="0"/>
    <x v="0"/>
    <x v="7"/>
    <s v="LBL350MLP - 350ML LABEL PALM (MPI)"/>
    <x v="0"/>
    <n v="0.3"/>
    <s v="20224785"/>
    <x v="0"/>
    <x v="0"/>
    <x v="0"/>
    <x v="0"/>
    <x v="2"/>
    <x v="66"/>
    <x v="0"/>
    <x v="63"/>
    <x v="9"/>
    <x v="9"/>
    <x v="0"/>
    <s v="LBL350MLP"/>
  </r>
  <r>
    <n v="9690"/>
    <x v="92"/>
    <x v="0"/>
    <x v="186"/>
    <d v="2022-06-06T00:00:00"/>
    <x v="0"/>
    <x v="7"/>
    <x v="0"/>
    <n v="138010"/>
    <x v="0"/>
    <n v="138010"/>
    <n v="123223.21430000001"/>
    <n v="14786.7857"/>
    <x v="0"/>
    <x v="0"/>
    <x v="2"/>
    <x v="0"/>
    <x v="0"/>
    <x v="0"/>
    <n v="0"/>
    <n v="138010"/>
    <x v="0"/>
    <x v="1"/>
    <x v="0"/>
    <x v="65"/>
    <n v="92600"/>
    <x v="1"/>
    <x v="0"/>
    <x v="0"/>
    <n v="41670"/>
    <n v="41670"/>
    <n v="92600"/>
    <n v="0.45"/>
    <x v="0"/>
    <x v="0"/>
    <x v="7"/>
    <s v="LBL500MLP - 500ML LABEL PALM (MPI)"/>
    <x v="0"/>
    <n v="0.45"/>
    <s v="20224785"/>
    <x v="0"/>
    <x v="0"/>
    <x v="0"/>
    <x v="0"/>
    <x v="2"/>
    <x v="65"/>
    <x v="0"/>
    <x v="62"/>
    <x v="9"/>
    <x v="9"/>
    <x v="0"/>
    <s v="LBL500MLP"/>
  </r>
  <r>
    <n v="9690"/>
    <x v="92"/>
    <x v="0"/>
    <x v="186"/>
    <d v="2022-06-06T00:00:00"/>
    <x v="0"/>
    <x v="7"/>
    <x v="0"/>
    <n v="138010"/>
    <x v="0"/>
    <n v="138010"/>
    <n v="123223.21430000001"/>
    <n v="14786.7857"/>
    <x v="0"/>
    <x v="0"/>
    <x v="2"/>
    <x v="0"/>
    <x v="0"/>
    <x v="0"/>
    <n v="0"/>
    <n v="138010"/>
    <x v="0"/>
    <x v="1"/>
    <x v="0"/>
    <x v="58"/>
    <n v="108400"/>
    <x v="1"/>
    <x v="0"/>
    <x v="0"/>
    <n v="59620"/>
    <n v="59620"/>
    <n v="108400"/>
    <n v="0.55000000000000004"/>
    <x v="0"/>
    <x v="0"/>
    <x v="7"/>
    <s v="LBL1LP - 1LITER LABEL PALM (MPI)"/>
    <x v="0"/>
    <n v="0.55000000000000004"/>
    <s v="20224785"/>
    <x v="0"/>
    <x v="0"/>
    <x v="0"/>
    <x v="0"/>
    <x v="2"/>
    <x v="58"/>
    <x v="0"/>
    <x v="56"/>
    <x v="9"/>
    <x v="9"/>
    <x v="0"/>
    <s v="LBL1LP"/>
  </r>
  <r>
    <n v="9689"/>
    <x v="105"/>
    <x v="0"/>
    <x v="187"/>
    <d v="2022-06-04T00:00:00"/>
    <x v="0"/>
    <x v="2"/>
    <x v="0"/>
    <n v="120573"/>
    <x v="0"/>
    <n v="120573"/>
    <n v="107654.46430000001"/>
    <n v="12918.5357"/>
    <x v="0"/>
    <x v="0"/>
    <x v="2"/>
    <x v="0"/>
    <x v="0"/>
    <x v="0"/>
    <n v="0"/>
    <n v="120573"/>
    <x v="0"/>
    <x v="1"/>
    <x v="0"/>
    <x v="14"/>
    <n v="10080"/>
    <x v="1"/>
    <x v="0"/>
    <x v="0"/>
    <n v="32760"/>
    <n v="32760"/>
    <n v="10080"/>
    <n v="3.25"/>
    <x v="0"/>
    <x v="0"/>
    <x v="2"/>
    <s v="BTL350MLP - 350ML BOTTLE PALM [SWAK] (MBC)"/>
    <x v="0"/>
    <n v="3.25"/>
    <s v="0003251"/>
    <x v="0"/>
    <x v="0"/>
    <x v="0"/>
    <x v="0"/>
    <x v="2"/>
    <x v="14"/>
    <x v="0"/>
    <x v="14"/>
    <x v="3"/>
    <x v="3"/>
    <x v="0"/>
    <s v="BTL350MLP"/>
  </r>
  <r>
    <n v="9689"/>
    <x v="105"/>
    <x v="0"/>
    <x v="187"/>
    <d v="2022-06-04T00:00:00"/>
    <x v="0"/>
    <x v="2"/>
    <x v="0"/>
    <n v="120573"/>
    <x v="0"/>
    <n v="120573"/>
    <n v="107654.46430000001"/>
    <n v="12918.5357"/>
    <x v="0"/>
    <x v="0"/>
    <x v="2"/>
    <x v="0"/>
    <x v="0"/>
    <x v="0"/>
    <n v="0"/>
    <n v="120573"/>
    <x v="0"/>
    <x v="1"/>
    <x v="0"/>
    <x v="27"/>
    <n v="3300"/>
    <x v="1"/>
    <x v="0"/>
    <x v="0"/>
    <n v="21285"/>
    <n v="21285"/>
    <n v="3300"/>
    <n v="6.45"/>
    <x v="0"/>
    <x v="0"/>
    <x v="2"/>
    <s v="BTL1LP - 1LITER BOTTLE PALM [SWAK] (MBC)"/>
    <x v="0"/>
    <n v="6.45"/>
    <s v="0003251"/>
    <x v="0"/>
    <x v="0"/>
    <x v="0"/>
    <x v="0"/>
    <x v="2"/>
    <x v="27"/>
    <x v="0"/>
    <x v="27"/>
    <x v="3"/>
    <x v="3"/>
    <x v="0"/>
    <s v="BTL1LP"/>
  </r>
  <r>
    <n v="9689"/>
    <x v="105"/>
    <x v="0"/>
    <x v="187"/>
    <d v="2022-06-04T00:00:00"/>
    <x v="0"/>
    <x v="2"/>
    <x v="0"/>
    <n v="120573"/>
    <x v="0"/>
    <n v="120573"/>
    <n v="107654.46430000001"/>
    <n v="12918.5357"/>
    <x v="0"/>
    <x v="0"/>
    <x v="2"/>
    <x v="0"/>
    <x v="0"/>
    <x v="0"/>
    <n v="0"/>
    <n v="120573"/>
    <x v="0"/>
    <x v="1"/>
    <x v="0"/>
    <x v="15"/>
    <n v="10080"/>
    <x v="1"/>
    <x v="0"/>
    <x v="0"/>
    <n v="66528"/>
    <n v="66528"/>
    <n v="10080"/>
    <n v="6.6"/>
    <x v="0"/>
    <x v="0"/>
    <x v="2"/>
    <s v="BTL1LCS - 1LITER BOTTLE CANSOY [NUTRI] (MBC)"/>
    <x v="0"/>
    <n v="6.6"/>
    <s v="0003251"/>
    <x v="0"/>
    <x v="0"/>
    <x v="0"/>
    <x v="0"/>
    <x v="2"/>
    <x v="15"/>
    <x v="0"/>
    <x v="15"/>
    <x v="3"/>
    <x v="3"/>
    <x v="0"/>
    <s v="BTL1LCS"/>
  </r>
  <r>
    <n v="9686"/>
    <x v="92"/>
    <x v="0"/>
    <x v="188"/>
    <d v="2022-05-26T00:00:00"/>
    <x v="0"/>
    <x v="1"/>
    <x v="0"/>
    <n v="107580"/>
    <x v="0"/>
    <n v="107580"/>
    <n v="96053.571400000001"/>
    <n v="11526.428599999999"/>
    <x v="0"/>
    <x v="0"/>
    <x v="2"/>
    <x v="0"/>
    <x v="0"/>
    <x v="0"/>
    <n v="0"/>
    <n v="107580"/>
    <x v="0"/>
    <x v="1"/>
    <x v="0"/>
    <x v="56"/>
    <n v="3000"/>
    <x v="1"/>
    <x v="0"/>
    <x v="0"/>
    <n v="107580"/>
    <n v="107580"/>
    <n v="3000"/>
    <n v="35.86"/>
    <x v="0"/>
    <x v="0"/>
    <x v="1"/>
    <s v="BOX1LPSPC - 1LITER BOX PALM (SPC)"/>
    <x v="0"/>
    <n v="35.86"/>
    <s v="487692"/>
    <x v="0"/>
    <x v="0"/>
    <x v="0"/>
    <x v="0"/>
    <x v="2"/>
    <x v="56"/>
    <x v="1"/>
    <x v="29"/>
    <x v="2"/>
    <x v="2"/>
    <x v="0"/>
    <s v="BOX1LPSPC"/>
  </r>
  <r>
    <n v="9684"/>
    <x v="8"/>
    <x v="0"/>
    <x v="189"/>
    <d v="2022-05-24T00:00:00"/>
    <x v="0"/>
    <x v="2"/>
    <x v="0"/>
    <n v="85239"/>
    <x v="0"/>
    <n v="85239"/>
    <n v="76106.25"/>
    <n v="9132.75"/>
    <x v="0"/>
    <x v="0"/>
    <x v="2"/>
    <x v="0"/>
    <x v="0"/>
    <x v="0"/>
    <n v="0"/>
    <n v="85239"/>
    <x v="0"/>
    <x v="1"/>
    <x v="0"/>
    <x v="27"/>
    <n v="13530"/>
    <x v="1"/>
    <x v="0"/>
    <x v="0"/>
    <n v="85239"/>
    <n v="85239"/>
    <n v="13530"/>
    <n v="6.3"/>
    <x v="0"/>
    <x v="0"/>
    <x v="2"/>
    <s v="BTL1LP - 1LITER BOTTLE PALM [SWAK] (MBC)"/>
    <x v="0"/>
    <n v="6.3"/>
    <s v="0003201"/>
    <x v="0"/>
    <x v="0"/>
    <x v="0"/>
    <x v="0"/>
    <x v="2"/>
    <x v="27"/>
    <x v="0"/>
    <x v="27"/>
    <x v="3"/>
    <x v="3"/>
    <x v="0"/>
    <s v="BTL1LP"/>
  </r>
  <r>
    <n v="9682"/>
    <x v="11"/>
    <x v="0"/>
    <x v="190"/>
    <d v="2022-04-30T00:00:00"/>
    <x v="0"/>
    <x v="2"/>
    <x v="0"/>
    <n v="96012"/>
    <x v="0"/>
    <n v="96012"/>
    <n v="85725"/>
    <n v="10287"/>
    <x v="0"/>
    <x v="0"/>
    <x v="2"/>
    <x v="0"/>
    <x v="0"/>
    <x v="0"/>
    <n v="0"/>
    <n v="96012"/>
    <x v="0"/>
    <x v="1"/>
    <x v="0"/>
    <x v="14"/>
    <n v="15120"/>
    <x v="1"/>
    <x v="0"/>
    <x v="0"/>
    <n v="45360"/>
    <n v="45360"/>
    <n v="15120"/>
    <n v="3"/>
    <x v="0"/>
    <x v="0"/>
    <x v="2"/>
    <s v="BTL350MLP - 350ML BOTTLE PALM [SWAK] (MBC)"/>
    <x v="0"/>
    <n v="3"/>
    <s v="0003116"/>
    <x v="0"/>
    <x v="0"/>
    <x v="0"/>
    <x v="0"/>
    <x v="2"/>
    <x v="14"/>
    <x v="0"/>
    <x v="14"/>
    <x v="3"/>
    <x v="3"/>
    <x v="0"/>
    <s v="BTL350MLP"/>
  </r>
  <r>
    <n v="9682"/>
    <x v="11"/>
    <x v="0"/>
    <x v="190"/>
    <d v="2022-04-30T00:00:00"/>
    <x v="0"/>
    <x v="2"/>
    <x v="0"/>
    <n v="96012"/>
    <x v="0"/>
    <n v="96012"/>
    <n v="85725"/>
    <n v="10287"/>
    <x v="0"/>
    <x v="0"/>
    <x v="2"/>
    <x v="0"/>
    <x v="0"/>
    <x v="0"/>
    <n v="0"/>
    <n v="96012"/>
    <x v="0"/>
    <x v="1"/>
    <x v="0"/>
    <x v="13"/>
    <n v="15120"/>
    <x v="1"/>
    <x v="0"/>
    <x v="0"/>
    <n v="50652"/>
    <n v="50652"/>
    <n v="15120"/>
    <n v="3.35"/>
    <x v="0"/>
    <x v="0"/>
    <x v="2"/>
    <s v="BTL500MLP - 500ML BOTTLE PALM [SWAK] (MBC)"/>
    <x v="0"/>
    <n v="3.35"/>
    <s v="0003116"/>
    <x v="0"/>
    <x v="0"/>
    <x v="0"/>
    <x v="0"/>
    <x v="2"/>
    <x v="13"/>
    <x v="0"/>
    <x v="13"/>
    <x v="3"/>
    <x v="3"/>
    <x v="0"/>
    <s v="BTL500MLP"/>
  </r>
  <r>
    <n v="9677"/>
    <x v="93"/>
    <x v="0"/>
    <x v="191"/>
    <d v="2021-12-18T00:00:00"/>
    <x v="0"/>
    <x v="7"/>
    <x v="0"/>
    <n v="409488"/>
    <x v="0"/>
    <n v="409488"/>
    <n v="365614.28570000001"/>
    <n v="43873.7143"/>
    <x v="0"/>
    <x v="0"/>
    <x v="2"/>
    <x v="0"/>
    <x v="0"/>
    <x v="0"/>
    <n v="0"/>
    <n v="409488"/>
    <x v="0"/>
    <x v="1"/>
    <x v="0"/>
    <x v="60"/>
    <n v="1796"/>
    <x v="4"/>
    <x v="1"/>
    <x v="0"/>
    <n v="409488"/>
    <n v="409488"/>
    <n v="1796000"/>
    <n v="0.24"/>
    <x v="0"/>
    <x v="0"/>
    <x v="7"/>
    <s v="PCKGC9G - PACKAGING CANTON 300G (MPI)"/>
    <x v="0"/>
    <n v="228"/>
    <s v="20220285"/>
    <x v="0"/>
    <x v="0"/>
    <x v="0"/>
    <x v="0"/>
    <x v="2"/>
    <x v="60"/>
    <x v="0"/>
    <x v="57"/>
    <x v="10"/>
    <x v="10"/>
    <x v="0"/>
    <s v="PCKGC9G"/>
  </r>
  <r>
    <n v="9676"/>
    <x v="11"/>
    <x v="0"/>
    <x v="192"/>
    <d v="2022-05-06T00:00:00"/>
    <x v="0"/>
    <x v="0"/>
    <x v="1"/>
    <n v="3429996.9"/>
    <x v="0"/>
    <n v="3429996.9"/>
    <n v="3062497.2321000001"/>
    <n v="367499.6679"/>
    <x v="0"/>
    <x v="0"/>
    <x v="28"/>
    <x v="1"/>
    <x v="0"/>
    <x v="1"/>
    <n v="0"/>
    <n v="3429996.9"/>
    <x v="0"/>
    <x v="1"/>
    <x v="0"/>
    <x v="51"/>
    <n v="33000"/>
    <x v="0"/>
    <x v="0"/>
    <x v="0"/>
    <n v="3429996.9"/>
    <n v="3429996.9"/>
    <n v="33000"/>
    <n v="98.4"/>
    <x v="0"/>
    <x v="0"/>
    <x v="0"/>
    <s v="PALM - RBD PALM OLEIN (LOCAL)"/>
    <x v="0"/>
    <n v="103.9393"/>
    <s v="r-02813"/>
    <x v="0"/>
    <x v="0"/>
    <x v="1"/>
    <x v="0"/>
    <x v="2"/>
    <x v="51"/>
    <x v="0"/>
    <x v="51"/>
    <x v="0"/>
    <x v="0"/>
    <x v="0"/>
    <s v="PALM"/>
  </r>
  <r>
    <n v="9675"/>
    <x v="33"/>
    <x v="0"/>
    <x v="193"/>
    <d v="2022-05-05T00:00:00"/>
    <x v="0"/>
    <x v="2"/>
    <x v="0"/>
    <n v="103950"/>
    <x v="0"/>
    <n v="103950"/>
    <n v="92812.5"/>
    <n v="11137.5"/>
    <x v="0"/>
    <x v="0"/>
    <x v="2"/>
    <x v="0"/>
    <x v="0"/>
    <x v="0"/>
    <n v="0"/>
    <n v="103950"/>
    <x v="0"/>
    <x v="1"/>
    <x v="0"/>
    <x v="27"/>
    <n v="16500"/>
    <x v="4"/>
    <x v="0"/>
    <x v="0"/>
    <n v="103950"/>
    <n v="103950"/>
    <n v="16500"/>
    <n v="6.3"/>
    <x v="0"/>
    <x v="0"/>
    <x v="2"/>
    <s v="BTL1LP - 1LITER BOTTLE PALM [SWAK] (MBC)"/>
    <x v="0"/>
    <n v="6.3"/>
    <s v="0003131"/>
    <x v="0"/>
    <x v="0"/>
    <x v="0"/>
    <x v="0"/>
    <x v="2"/>
    <x v="27"/>
    <x v="0"/>
    <x v="27"/>
    <x v="3"/>
    <x v="3"/>
    <x v="0"/>
    <s v="BTL1LP"/>
  </r>
  <r>
    <n v="9674"/>
    <x v="107"/>
    <x v="0"/>
    <x v="194"/>
    <d v="2022-05-05T00:00:00"/>
    <x v="0"/>
    <x v="7"/>
    <x v="0"/>
    <n v="1220400"/>
    <x v="0"/>
    <n v="1220400"/>
    <n v="1089642.8570999999"/>
    <n v="130757.14290000001"/>
    <x v="0"/>
    <x v="0"/>
    <x v="2"/>
    <x v="0"/>
    <x v="0"/>
    <x v="0"/>
    <n v="0"/>
    <n v="1220400"/>
    <x v="0"/>
    <x v="1"/>
    <x v="0"/>
    <x v="69"/>
    <n v="5424"/>
    <x v="4"/>
    <x v="1"/>
    <x v="0"/>
    <n v="1220400"/>
    <n v="1220400"/>
    <n v="5424000"/>
    <n v="0.24"/>
    <x v="0"/>
    <x v="0"/>
    <x v="7"/>
    <s v="PCKGB9G - PACKAGING BIHON 454G (MPI)"/>
    <x v="0"/>
    <n v="225"/>
    <s v="20223897"/>
    <x v="0"/>
    <x v="0"/>
    <x v="0"/>
    <x v="0"/>
    <x v="2"/>
    <x v="69"/>
    <x v="0"/>
    <x v="65"/>
    <x v="10"/>
    <x v="10"/>
    <x v="0"/>
    <s v="PCKGB9G"/>
  </r>
  <r>
    <n v="9671"/>
    <x v="33"/>
    <x v="0"/>
    <x v="195"/>
    <d v="2022-04-27T00:00:00"/>
    <x v="0"/>
    <x v="0"/>
    <x v="1"/>
    <n v="1938357"/>
    <x v="0"/>
    <n v="1938357"/>
    <n v="1730675.8929000001"/>
    <n v="207681.10709999999"/>
    <x v="0"/>
    <x v="0"/>
    <x v="28"/>
    <x v="1"/>
    <x v="0"/>
    <x v="1"/>
    <n v="0"/>
    <n v="1938357"/>
    <x v="0"/>
    <x v="1"/>
    <x v="0"/>
    <x v="51"/>
    <n v="20910"/>
    <x v="0"/>
    <x v="0"/>
    <x v="0"/>
    <n v="1938357"/>
    <n v="1938357"/>
    <n v="20910"/>
    <n v="98.4"/>
    <x v="0"/>
    <x v="0"/>
    <x v="0"/>
    <s v="PALM - RBD PALM OLEIN (LOCAL)"/>
    <x v="0"/>
    <n v="92.7"/>
    <s v="R-02768"/>
    <x v="0"/>
    <x v="0"/>
    <x v="1"/>
    <x v="0"/>
    <x v="2"/>
    <x v="51"/>
    <x v="0"/>
    <x v="51"/>
    <x v="0"/>
    <x v="0"/>
    <x v="0"/>
    <s v="PALM"/>
  </r>
  <r>
    <n v="9668"/>
    <x v="49"/>
    <x v="0"/>
    <x v="196"/>
    <d v="2022-04-23T00:00:00"/>
    <x v="0"/>
    <x v="2"/>
    <x v="0"/>
    <n v="16632"/>
    <x v="0"/>
    <n v="16632"/>
    <n v="14850"/>
    <n v="1782"/>
    <x v="0"/>
    <x v="0"/>
    <x v="2"/>
    <x v="0"/>
    <x v="0"/>
    <x v="0"/>
    <n v="0"/>
    <n v="16632"/>
    <x v="0"/>
    <x v="1"/>
    <x v="0"/>
    <x v="27"/>
    <n v="2640"/>
    <x v="1"/>
    <x v="0"/>
    <x v="0"/>
    <n v="16632"/>
    <n v="16632"/>
    <n v="2640"/>
    <n v="6.3"/>
    <x v="0"/>
    <x v="0"/>
    <x v="2"/>
    <s v="BTL1LP - 1LITER BOTTLE PALM [SWAK] (MBC)"/>
    <x v="0"/>
    <n v="6.3"/>
    <s v="0003090"/>
    <x v="0"/>
    <x v="0"/>
    <x v="0"/>
    <x v="0"/>
    <x v="2"/>
    <x v="27"/>
    <x v="0"/>
    <x v="27"/>
    <x v="3"/>
    <x v="3"/>
    <x v="0"/>
    <s v="BTL1LP"/>
  </r>
  <r>
    <n v="9661"/>
    <x v="90"/>
    <x v="0"/>
    <x v="197"/>
    <d v="2022-04-12T00:00:00"/>
    <x v="0"/>
    <x v="2"/>
    <x v="0"/>
    <n v="110439"/>
    <x v="0"/>
    <n v="110439"/>
    <n v="98606.25"/>
    <n v="11832.75"/>
    <x v="0"/>
    <x v="0"/>
    <x v="2"/>
    <x v="0"/>
    <x v="0"/>
    <x v="0"/>
    <n v="0"/>
    <n v="110439"/>
    <x v="0"/>
    <x v="1"/>
    <x v="0"/>
    <x v="27"/>
    <n v="7370"/>
    <x v="1"/>
    <x v="0"/>
    <x v="0"/>
    <n v="46431"/>
    <n v="46431"/>
    <n v="7370"/>
    <n v="6.3"/>
    <x v="0"/>
    <x v="0"/>
    <x v="2"/>
    <s v="BTL1LP - 1LITER BOTTLE PALM [SWAK] (MBC)"/>
    <x v="0"/>
    <n v="6.3"/>
    <s v="3052"/>
    <x v="0"/>
    <x v="0"/>
    <x v="0"/>
    <x v="0"/>
    <x v="2"/>
    <x v="27"/>
    <x v="0"/>
    <x v="27"/>
    <x v="3"/>
    <x v="3"/>
    <x v="0"/>
    <s v="BTL1LP"/>
  </r>
  <r>
    <n v="9661"/>
    <x v="90"/>
    <x v="0"/>
    <x v="197"/>
    <d v="2022-04-12T00:00:00"/>
    <x v="0"/>
    <x v="2"/>
    <x v="0"/>
    <n v="110439"/>
    <x v="0"/>
    <n v="110439"/>
    <n v="98606.25"/>
    <n v="11832.75"/>
    <x v="0"/>
    <x v="0"/>
    <x v="2"/>
    <x v="0"/>
    <x v="0"/>
    <x v="0"/>
    <n v="0"/>
    <n v="110439"/>
    <x v="0"/>
    <x v="1"/>
    <x v="0"/>
    <x v="14"/>
    <n v="10080"/>
    <x v="1"/>
    <x v="0"/>
    <x v="0"/>
    <n v="30240"/>
    <n v="30240"/>
    <n v="10080"/>
    <n v="3"/>
    <x v="0"/>
    <x v="0"/>
    <x v="2"/>
    <s v="BTL350MLP - 350ML BOTTLE PALM [SWAK] (MBC)"/>
    <x v="0"/>
    <n v="3"/>
    <s v="3052"/>
    <x v="0"/>
    <x v="0"/>
    <x v="0"/>
    <x v="0"/>
    <x v="2"/>
    <x v="14"/>
    <x v="0"/>
    <x v="14"/>
    <x v="3"/>
    <x v="3"/>
    <x v="0"/>
    <s v="BTL350MLP"/>
  </r>
  <r>
    <n v="9661"/>
    <x v="90"/>
    <x v="0"/>
    <x v="197"/>
    <d v="2022-04-12T00:00:00"/>
    <x v="0"/>
    <x v="2"/>
    <x v="0"/>
    <n v="110439"/>
    <x v="0"/>
    <n v="110439"/>
    <n v="98606.25"/>
    <n v="11832.75"/>
    <x v="0"/>
    <x v="0"/>
    <x v="2"/>
    <x v="0"/>
    <x v="0"/>
    <x v="0"/>
    <n v="0"/>
    <n v="110439"/>
    <x v="0"/>
    <x v="1"/>
    <x v="0"/>
    <x v="13"/>
    <n v="10080"/>
    <x v="1"/>
    <x v="0"/>
    <x v="0"/>
    <n v="33768"/>
    <n v="33768"/>
    <n v="10080"/>
    <n v="3.35"/>
    <x v="0"/>
    <x v="0"/>
    <x v="2"/>
    <s v="BTL500MLP - 500ML BOTTLE PALM [SWAK] (MBC)"/>
    <x v="0"/>
    <n v="3.35"/>
    <s v="3052"/>
    <x v="0"/>
    <x v="0"/>
    <x v="0"/>
    <x v="0"/>
    <x v="2"/>
    <x v="13"/>
    <x v="0"/>
    <x v="13"/>
    <x v="3"/>
    <x v="3"/>
    <x v="0"/>
    <s v="BTL500MLP"/>
  </r>
  <r>
    <n v="9660"/>
    <x v="107"/>
    <x v="0"/>
    <x v="198"/>
    <d v="2022-04-12T00:00:00"/>
    <x v="0"/>
    <x v="0"/>
    <x v="1"/>
    <n v="548000"/>
    <x v="0"/>
    <n v="548000"/>
    <n v="489285.71429999999"/>
    <n v="58714.2857"/>
    <x v="0"/>
    <x v="0"/>
    <x v="40"/>
    <x v="1"/>
    <x v="0"/>
    <x v="1"/>
    <n v="0"/>
    <n v="548000"/>
    <x v="0"/>
    <x v="1"/>
    <x v="0"/>
    <x v="31"/>
    <n v="4000"/>
    <x v="0"/>
    <x v="0"/>
    <x v="0"/>
    <n v="548000"/>
    <n v="548000"/>
    <n v="4000"/>
    <n v="118"/>
    <x v="0"/>
    <x v="0"/>
    <x v="0"/>
    <s v="SOYA - RBD SOYA BEAN OIL"/>
    <x v="0"/>
    <n v="137"/>
    <s v="0138"/>
    <x v="0"/>
    <x v="0"/>
    <x v="1"/>
    <x v="0"/>
    <x v="2"/>
    <x v="31"/>
    <x v="0"/>
    <x v="31"/>
    <x v="0"/>
    <x v="0"/>
    <x v="0"/>
    <s v="SOYA"/>
  </r>
  <r>
    <n v="9657"/>
    <x v="49"/>
    <x v="0"/>
    <x v="199"/>
    <d v="2022-04-04T00:00:00"/>
    <x v="0"/>
    <x v="0"/>
    <x v="1"/>
    <n v="1981776"/>
    <x v="0"/>
    <n v="1981776"/>
    <n v="1769442.8570999999"/>
    <n v="212333.14290000001"/>
    <x v="0"/>
    <x v="0"/>
    <x v="28"/>
    <x v="1"/>
    <x v="0"/>
    <x v="1"/>
    <n v="0"/>
    <n v="1981776"/>
    <x v="0"/>
    <x v="1"/>
    <x v="0"/>
    <x v="51"/>
    <n v="20140"/>
    <x v="0"/>
    <x v="0"/>
    <x v="0"/>
    <n v="1981776"/>
    <n v="1981776"/>
    <n v="20140"/>
    <n v="98.4"/>
    <x v="0"/>
    <x v="0"/>
    <x v="0"/>
    <s v="PALM - RBD PALM OLEIN (LOCAL)"/>
    <x v="0"/>
    <n v="98.4"/>
    <s v="R02609"/>
    <x v="0"/>
    <x v="0"/>
    <x v="1"/>
    <x v="0"/>
    <x v="2"/>
    <x v="51"/>
    <x v="0"/>
    <x v="51"/>
    <x v="0"/>
    <x v="0"/>
    <x v="0"/>
    <s v="PALM"/>
  </r>
  <r>
    <n v="9648"/>
    <x v="92"/>
    <x v="0"/>
    <x v="200"/>
    <d v="2022-03-26T00:00:00"/>
    <x v="0"/>
    <x v="0"/>
    <x v="1"/>
    <n v="224200"/>
    <x v="0"/>
    <n v="224200"/>
    <n v="200178.57139999999"/>
    <n v="24021.428599999999"/>
    <x v="0"/>
    <x v="0"/>
    <x v="40"/>
    <x v="1"/>
    <x v="0"/>
    <x v="1"/>
    <n v="0"/>
    <n v="224200"/>
    <x v="0"/>
    <x v="1"/>
    <x v="0"/>
    <x v="31"/>
    <n v="1900"/>
    <x v="0"/>
    <x v="0"/>
    <x v="0"/>
    <n v="224200"/>
    <n v="224200"/>
    <n v="1900"/>
    <n v="118"/>
    <x v="0"/>
    <x v="0"/>
    <x v="0"/>
    <s v="SOYA - RBD SOYA BEAN OIL"/>
    <x v="0"/>
    <n v="118"/>
    <s v="0135"/>
    <x v="0"/>
    <x v="0"/>
    <x v="1"/>
    <x v="0"/>
    <x v="2"/>
    <x v="31"/>
    <x v="0"/>
    <x v="31"/>
    <x v="0"/>
    <x v="0"/>
    <x v="0"/>
    <s v="SOYA"/>
  </r>
  <r>
    <n v="9631"/>
    <x v="91"/>
    <x v="0"/>
    <x v="201"/>
    <d v="2022-02-04T00:00:00"/>
    <x v="0"/>
    <x v="2"/>
    <x v="0"/>
    <n v="81774"/>
    <x v="0"/>
    <n v="81774"/>
    <n v="73012.5"/>
    <n v="8761.5"/>
    <x v="0"/>
    <x v="0"/>
    <x v="2"/>
    <x v="0"/>
    <x v="0"/>
    <x v="0"/>
    <n v="0"/>
    <n v="81774"/>
    <x v="0"/>
    <x v="1"/>
    <x v="0"/>
    <x v="27"/>
    <n v="12980"/>
    <x v="1"/>
    <x v="0"/>
    <x v="0"/>
    <n v="81774"/>
    <n v="81774"/>
    <n v="12980"/>
    <n v="6.3"/>
    <x v="0"/>
    <x v="0"/>
    <x v="2"/>
    <s v="BTL1LP - 1LITER BOTTLE PALM [SWAK] (MBC)"/>
    <x v="0"/>
    <n v="6.3"/>
    <s v="CAR 0002785"/>
    <x v="0"/>
    <x v="0"/>
    <x v="0"/>
    <x v="0"/>
    <x v="3"/>
    <x v="27"/>
    <x v="0"/>
    <x v="27"/>
    <x v="3"/>
    <x v="3"/>
    <x v="0"/>
    <s v="BTL1LP"/>
  </r>
  <r>
    <n v="9629"/>
    <x v="91"/>
    <x v="0"/>
    <x v="202"/>
    <d v="2022-02-22T00:00:00"/>
    <x v="0"/>
    <x v="0"/>
    <x v="1"/>
    <n v="1517785"/>
    <x v="0"/>
    <n v="1517785"/>
    <n v="1355165.1786"/>
    <n v="162619.82139999999"/>
    <x v="0"/>
    <x v="0"/>
    <x v="41"/>
    <x v="1"/>
    <x v="0"/>
    <x v="1"/>
    <n v="0"/>
    <n v="1517785"/>
    <x v="0"/>
    <x v="1"/>
    <x v="0"/>
    <x v="51"/>
    <n v="20050"/>
    <x v="0"/>
    <x v="0"/>
    <x v="0"/>
    <n v="1517785"/>
    <n v="1517785"/>
    <n v="20050"/>
    <n v="98.4"/>
    <x v="0"/>
    <x v="0"/>
    <x v="0"/>
    <s v="PALM - RBD PALM OLEIN (LOCAL)"/>
    <x v="0"/>
    <n v="75.7"/>
    <s v="NGT-1299"/>
    <x v="0"/>
    <x v="0"/>
    <x v="1"/>
    <x v="0"/>
    <x v="3"/>
    <x v="51"/>
    <x v="0"/>
    <x v="51"/>
    <x v="0"/>
    <x v="0"/>
    <x v="0"/>
    <s v="PALM"/>
  </r>
  <r>
    <n v="9623"/>
    <x v="92"/>
    <x v="0"/>
    <x v="203"/>
    <d v="2022-01-24T00:00:00"/>
    <x v="0"/>
    <x v="2"/>
    <x v="0"/>
    <n v="108360"/>
    <x v="0"/>
    <n v="108360"/>
    <n v="96750"/>
    <n v="11610"/>
    <x v="0"/>
    <x v="0"/>
    <x v="2"/>
    <x v="0"/>
    <x v="0"/>
    <x v="0"/>
    <n v="0"/>
    <n v="108360"/>
    <x v="0"/>
    <x v="1"/>
    <x v="0"/>
    <x v="27"/>
    <n v="7040"/>
    <x v="1"/>
    <x v="0"/>
    <x v="0"/>
    <n v="44352"/>
    <n v="44352"/>
    <n v="7040"/>
    <n v="6.4"/>
    <x v="0"/>
    <x v="0"/>
    <x v="2"/>
    <s v="BTL1LP - 1LITER BOTTLE PALM [SWAK] (MBC)"/>
    <x v="0"/>
    <n v="6.3"/>
    <s v="CAR0002739"/>
    <x v="0"/>
    <x v="0"/>
    <x v="0"/>
    <x v="0"/>
    <x v="3"/>
    <x v="27"/>
    <x v="0"/>
    <x v="27"/>
    <x v="3"/>
    <x v="3"/>
    <x v="0"/>
    <s v="BTL1LP"/>
  </r>
  <r>
    <n v="9623"/>
    <x v="92"/>
    <x v="0"/>
    <x v="203"/>
    <d v="2022-01-24T00:00:00"/>
    <x v="0"/>
    <x v="2"/>
    <x v="0"/>
    <n v="108360"/>
    <x v="0"/>
    <n v="108360"/>
    <n v="96750"/>
    <n v="11610"/>
    <x v="0"/>
    <x v="0"/>
    <x v="2"/>
    <x v="0"/>
    <x v="0"/>
    <x v="0"/>
    <n v="0"/>
    <n v="108360"/>
    <x v="0"/>
    <x v="1"/>
    <x v="0"/>
    <x v="14"/>
    <n v="10080"/>
    <x v="1"/>
    <x v="0"/>
    <x v="0"/>
    <n v="30240"/>
    <n v="30240"/>
    <n v="10080"/>
    <n v="3"/>
    <x v="0"/>
    <x v="0"/>
    <x v="2"/>
    <s v="BTL350MLP - 350ML BOTTLE PALM [SWAK] (MBC)"/>
    <x v="0"/>
    <n v="3"/>
    <s v="CAR0002739"/>
    <x v="0"/>
    <x v="0"/>
    <x v="0"/>
    <x v="0"/>
    <x v="3"/>
    <x v="14"/>
    <x v="0"/>
    <x v="14"/>
    <x v="3"/>
    <x v="3"/>
    <x v="0"/>
    <s v="BTL350MLP"/>
  </r>
  <r>
    <n v="9623"/>
    <x v="92"/>
    <x v="0"/>
    <x v="203"/>
    <d v="2022-01-24T00:00:00"/>
    <x v="0"/>
    <x v="2"/>
    <x v="0"/>
    <n v="108360"/>
    <x v="0"/>
    <n v="108360"/>
    <n v="96750"/>
    <n v="11610"/>
    <x v="0"/>
    <x v="0"/>
    <x v="2"/>
    <x v="0"/>
    <x v="0"/>
    <x v="0"/>
    <n v="0"/>
    <n v="108360"/>
    <x v="0"/>
    <x v="1"/>
    <x v="0"/>
    <x v="13"/>
    <n v="10080"/>
    <x v="1"/>
    <x v="0"/>
    <x v="0"/>
    <n v="33768"/>
    <n v="33768"/>
    <n v="10080"/>
    <n v="3.35"/>
    <x v="0"/>
    <x v="0"/>
    <x v="2"/>
    <s v="BTL500MLP - 500ML BOTTLE PALM [SWAK] (MBC)"/>
    <x v="0"/>
    <n v="3.35"/>
    <s v="CAR0002739"/>
    <x v="0"/>
    <x v="0"/>
    <x v="0"/>
    <x v="0"/>
    <x v="3"/>
    <x v="13"/>
    <x v="0"/>
    <x v="13"/>
    <x v="3"/>
    <x v="3"/>
    <x v="0"/>
    <s v="BTL500MLP"/>
  </r>
  <r>
    <n v="9621"/>
    <x v="93"/>
    <x v="0"/>
    <x v="204"/>
    <d v="2022-01-24T00:00:00"/>
    <x v="0"/>
    <x v="0"/>
    <x v="1"/>
    <n v="685960"/>
    <x v="0"/>
    <n v="685960"/>
    <n v="612464.28570000001"/>
    <n v="73495.714300000007"/>
    <x v="0"/>
    <x v="0"/>
    <x v="40"/>
    <x v="1"/>
    <x v="0"/>
    <x v="1"/>
    <n v="0"/>
    <n v="685960"/>
    <x v="0"/>
    <x v="1"/>
    <x v="0"/>
    <x v="31"/>
    <n v="6236"/>
    <x v="0"/>
    <x v="0"/>
    <x v="0"/>
    <n v="685960"/>
    <n v="685960"/>
    <n v="6236"/>
    <n v="118"/>
    <x v="0"/>
    <x v="0"/>
    <x v="0"/>
    <s v="SOYA - RBD SOYA BEAN OIL"/>
    <x v="0"/>
    <n v="110"/>
    <s v="DR2022011"/>
    <x v="0"/>
    <x v="0"/>
    <x v="1"/>
    <x v="0"/>
    <x v="3"/>
    <x v="31"/>
    <x v="0"/>
    <x v="31"/>
    <x v="0"/>
    <x v="0"/>
    <x v="0"/>
    <s v="SOYA"/>
  </r>
  <r>
    <n v="9620"/>
    <x v="107"/>
    <x v="0"/>
    <x v="204"/>
    <d v="2022-01-24T00:00:00"/>
    <x v="0"/>
    <x v="1"/>
    <x v="0"/>
    <n v="161044"/>
    <x v="0"/>
    <n v="161044"/>
    <n v="143789.28570000001"/>
    <n v="17254.7143"/>
    <x v="0"/>
    <x v="0"/>
    <x v="2"/>
    <x v="0"/>
    <x v="0"/>
    <x v="0"/>
    <n v="0"/>
    <n v="161044"/>
    <x v="0"/>
    <x v="1"/>
    <x v="0"/>
    <x v="56"/>
    <n v="4940"/>
    <x v="1"/>
    <x v="0"/>
    <x v="0"/>
    <n v="161044"/>
    <n v="161044"/>
    <n v="4940"/>
    <n v="32.6"/>
    <x v="0"/>
    <x v="0"/>
    <x v="1"/>
    <s v="BOX1LPSPC - 1LITER BOX PALM (SPC)"/>
    <x v="0"/>
    <n v="32.6"/>
    <s v="SI 481717"/>
    <x v="0"/>
    <x v="0"/>
    <x v="0"/>
    <x v="0"/>
    <x v="3"/>
    <x v="56"/>
    <x v="1"/>
    <x v="29"/>
    <x v="2"/>
    <x v="2"/>
    <x v="0"/>
    <s v="BOX1LPSPC"/>
  </r>
  <r>
    <n v="9612"/>
    <x v="93"/>
    <x v="0"/>
    <x v="205"/>
    <d v="2022-01-18T00:00:00"/>
    <x v="0"/>
    <x v="2"/>
    <x v="0"/>
    <n v="17487"/>
    <x v="0"/>
    <n v="17487"/>
    <n v="15613.392900000001"/>
    <n v="1873.6070999999999"/>
    <x v="0"/>
    <x v="0"/>
    <x v="2"/>
    <x v="0"/>
    <x v="0"/>
    <x v="0"/>
    <n v="0"/>
    <n v="17487"/>
    <x v="0"/>
    <x v="1"/>
    <x v="0"/>
    <x v="13"/>
    <n v="5220"/>
    <x v="1"/>
    <x v="0"/>
    <x v="0"/>
    <n v="17487"/>
    <n v="17487"/>
    <n v="5220"/>
    <n v="3.35"/>
    <x v="0"/>
    <x v="0"/>
    <x v="2"/>
    <s v="BTL500MLP - 500ML BOTTLE PALM [SWAK] (MBC)"/>
    <x v="0"/>
    <n v="3.35"/>
    <s v="CAR0002721"/>
    <x v="0"/>
    <x v="0"/>
    <x v="0"/>
    <x v="0"/>
    <x v="3"/>
    <x v="13"/>
    <x v="0"/>
    <x v="13"/>
    <x v="3"/>
    <x v="3"/>
    <x v="0"/>
    <s v="BTL500MLP"/>
  </r>
  <r>
    <n v="9609"/>
    <x v="107"/>
    <x v="0"/>
    <x v="206"/>
    <d v="2022-01-10T00:00:00"/>
    <x v="0"/>
    <x v="2"/>
    <x v="0"/>
    <n v="109584"/>
    <x v="0"/>
    <n v="109584"/>
    <n v="97842.857099999994"/>
    <n v="11741.142900000001"/>
    <x v="0"/>
    <x v="0"/>
    <x v="42"/>
    <x v="0"/>
    <x v="0"/>
    <x v="0"/>
    <n v="0"/>
    <n v="109584"/>
    <x v="0"/>
    <x v="1"/>
    <x v="0"/>
    <x v="27"/>
    <n v="10010"/>
    <x v="1"/>
    <x v="0"/>
    <x v="0"/>
    <n v="63063"/>
    <n v="63063"/>
    <n v="10010"/>
    <n v="6.4"/>
    <x v="0"/>
    <x v="0"/>
    <x v="2"/>
    <s v="BTL1LP - 1LITER BOTTLE PALM [SWAK] (MBC)"/>
    <x v="0"/>
    <n v="6.3"/>
    <s v="CAR 0002693"/>
    <x v="0"/>
    <x v="0"/>
    <x v="0"/>
    <x v="0"/>
    <x v="3"/>
    <x v="27"/>
    <x v="0"/>
    <x v="27"/>
    <x v="3"/>
    <x v="3"/>
    <x v="0"/>
    <s v="BTL1LP"/>
  </r>
  <r>
    <n v="9609"/>
    <x v="107"/>
    <x v="0"/>
    <x v="206"/>
    <d v="2022-01-10T00:00:00"/>
    <x v="0"/>
    <x v="2"/>
    <x v="0"/>
    <n v="109584"/>
    <x v="0"/>
    <n v="109584"/>
    <n v="97842.857099999994"/>
    <n v="11741.142900000001"/>
    <x v="0"/>
    <x v="0"/>
    <x v="42"/>
    <x v="0"/>
    <x v="0"/>
    <x v="0"/>
    <n v="0"/>
    <n v="109584"/>
    <x v="0"/>
    <x v="1"/>
    <x v="0"/>
    <x v="14"/>
    <n v="10080"/>
    <x v="1"/>
    <x v="0"/>
    <x v="0"/>
    <n v="30240"/>
    <n v="30240"/>
    <n v="10080"/>
    <n v="3"/>
    <x v="0"/>
    <x v="0"/>
    <x v="2"/>
    <s v="BTL350MLP - 350ML BOTTLE PALM [SWAK] (MBC)"/>
    <x v="0"/>
    <n v="3"/>
    <s v="CAR 0002693"/>
    <x v="0"/>
    <x v="0"/>
    <x v="0"/>
    <x v="0"/>
    <x v="3"/>
    <x v="14"/>
    <x v="0"/>
    <x v="14"/>
    <x v="3"/>
    <x v="3"/>
    <x v="0"/>
    <s v="BTL350MLP"/>
  </r>
  <r>
    <n v="9609"/>
    <x v="107"/>
    <x v="0"/>
    <x v="206"/>
    <d v="2022-01-10T00:00:00"/>
    <x v="0"/>
    <x v="2"/>
    <x v="0"/>
    <n v="109584"/>
    <x v="0"/>
    <n v="109584"/>
    <n v="97842.857099999994"/>
    <n v="11741.142900000001"/>
    <x v="0"/>
    <x v="0"/>
    <x v="42"/>
    <x v="0"/>
    <x v="0"/>
    <x v="0"/>
    <n v="0"/>
    <n v="109584"/>
    <x v="0"/>
    <x v="1"/>
    <x v="0"/>
    <x v="13"/>
    <n v="4860"/>
    <x v="1"/>
    <x v="0"/>
    <x v="0"/>
    <n v="16281"/>
    <n v="16281"/>
    <n v="4860"/>
    <n v="3.35"/>
    <x v="0"/>
    <x v="0"/>
    <x v="2"/>
    <s v="BTL500MLP - 500ML BOTTLE PALM [SWAK] (MBC)"/>
    <x v="0"/>
    <n v="3.35"/>
    <s v="CAR 0002693"/>
    <x v="0"/>
    <x v="0"/>
    <x v="0"/>
    <x v="0"/>
    <x v="3"/>
    <x v="13"/>
    <x v="0"/>
    <x v="13"/>
    <x v="3"/>
    <x v="3"/>
    <x v="0"/>
    <s v="BTL500MLP"/>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2" cacheId="2" applyNumberFormats="0" applyBorderFormats="0" applyFontFormats="0" applyPatternFormats="0" applyAlignmentFormats="0" applyWidthHeightFormats="1" dataCaption="Values" errorCaption="0" showError="1" missingCaption="0" updatedVersion="4" minRefreshableVersion="3" showDrill="0" rowGrandTotals="0" itemPrintTitles="1" createdVersion="5" indent="0" compact="0" compactData="0" gridDropZones="1" multipleFieldFilters="0" fieldListSortAscending="1">
  <location ref="F11:I78" firstHeaderRow="2" firstDataRow="2" firstDataCol="3" rowPageCount="1" colPageCount="1"/>
  <pivotFields count="52">
    <pivotField compact="0" outline="0" showAll="0" defaultSubtotal="0"/>
    <pivotField compact="0" outline="0" multipleItemSelectionAllowed="1" showAll="0" defaultSubtotal="0">
      <items count="126">
        <item x="107"/>
        <item x="93"/>
        <item x="92"/>
        <item x="91"/>
        <item x="90"/>
        <item x="49"/>
        <item x="33"/>
        <item x="11"/>
        <item x="8"/>
        <item x="105"/>
        <item x="104"/>
        <item x="103"/>
        <item x="58"/>
        <item x="57"/>
        <item x="34"/>
        <item x="21"/>
        <item x="4"/>
        <item x="3"/>
        <item x="2"/>
        <item x="125"/>
        <item x="124"/>
        <item x="123"/>
        <item x="121"/>
        <item x="122"/>
        <item x="118"/>
        <item x="117"/>
        <item x="116"/>
        <item x="115"/>
        <item x="114"/>
        <item x="113"/>
        <item x="120"/>
        <item x="119"/>
        <item x="112"/>
        <item x="111"/>
        <item x="110"/>
        <item x="109"/>
        <item x="108"/>
        <item x="106"/>
        <item x="102"/>
        <item x="101"/>
        <item x="100"/>
        <item x="99"/>
        <item x="98"/>
        <item x="97"/>
        <item x="96"/>
        <item x="95"/>
        <item x="94"/>
        <item x="54"/>
        <item x="44"/>
        <item x="41"/>
        <item x="38"/>
        <item x="36"/>
        <item x="24"/>
        <item x="20"/>
        <item x="9"/>
        <item x="5"/>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6"/>
        <item x="55"/>
        <item x="53"/>
        <item x="52"/>
        <item x="51"/>
        <item x="50"/>
        <item x="48"/>
        <item x="47"/>
        <item x="46"/>
        <item x="45"/>
        <item x="43"/>
        <item x="42"/>
        <item x="40"/>
        <item x="39"/>
        <item x="37"/>
        <item x="35"/>
        <item x="32"/>
        <item x="31"/>
        <item x="30"/>
        <item x="29"/>
        <item x="28"/>
        <item x="27"/>
        <item x="17"/>
        <item x="18"/>
        <item x="19"/>
        <item x="22"/>
        <item x="23"/>
        <item x="25"/>
        <item x="26"/>
        <item x="10"/>
        <item x="12"/>
        <item x="13"/>
        <item x="14"/>
        <item x="15"/>
        <item x="16"/>
        <item x="0"/>
        <item x="1"/>
        <item x="6"/>
        <item x="7"/>
      </items>
      <extLst>
        <ext xmlns:x14="http://schemas.microsoft.com/office/spreadsheetml/2009/9/main" uri="{2946ED86-A175-432a-8AC1-64E0C546D7DE}">
          <x14:pivotField fillDownLabels="1"/>
        </ext>
      </extLst>
    </pivotField>
    <pivotField compact="0" outline="0" showAll="0" defaultSubtotal="0"/>
    <pivotField axis="axisRow" compact="0" outline="0" multipleItemSelectionAllowed="1" showAll="0" sortType="descending" defaultSubtotal="0">
      <items count="794">
        <item x="0"/>
        <item x="1"/>
        <item x="2"/>
        <item x="3"/>
        <item x="4"/>
        <item x="5"/>
        <item x="6"/>
        <item x="9"/>
        <item x="8"/>
        <item x="11"/>
        <item x="7"/>
        <item x="12"/>
        <item x="14"/>
        <item x="15"/>
        <item x="13"/>
        <item x="16"/>
        <item x="18"/>
        <item x="19"/>
        <item x="10"/>
        <item x="17"/>
        <item x="20"/>
        <item x="22"/>
        <item x="23"/>
        <item x="25"/>
        <item x="24"/>
        <item x="21"/>
        <item x="26"/>
        <item x="28"/>
        <item x="27"/>
        <item x="30"/>
        <item x="32"/>
        <item x="31"/>
        <item x="29"/>
        <item x="33"/>
        <item x="36"/>
        <item x="38"/>
        <item x="37"/>
        <item x="39"/>
        <item x="40"/>
        <item x="44"/>
        <item x="43"/>
        <item x="45"/>
        <item x="35"/>
        <item x="46"/>
        <item x="34"/>
        <item x="41"/>
        <item x="47"/>
        <item x="42"/>
        <item x="48"/>
        <item x="50"/>
        <item x="49"/>
        <item x="51"/>
        <item m="1" x="599"/>
        <item x="53"/>
        <item x="56"/>
        <item x="55"/>
        <item x="54"/>
        <item x="57"/>
        <item x="52"/>
        <item x="58"/>
        <item x="59"/>
        <item x="87"/>
        <item x="60"/>
        <item x="63"/>
        <item x="84"/>
        <item x="62"/>
        <item x="61"/>
        <item x="64"/>
        <item x="88"/>
        <item x="66"/>
        <item x="65"/>
        <item x="67"/>
        <item x="69"/>
        <item x="68"/>
        <item x="70"/>
        <item x="71"/>
        <item x="89"/>
        <item x="73"/>
        <item x="72"/>
        <item x="86"/>
        <item x="74"/>
        <item x="90"/>
        <item x="75"/>
        <item x="94"/>
        <item x="91"/>
        <item x="76"/>
        <item x="77"/>
        <item x="78"/>
        <item x="79"/>
        <item x="92"/>
        <item x="80"/>
        <item x="93"/>
        <item x="81"/>
        <item x="82"/>
        <item x="83"/>
        <item x="95"/>
        <item x="85"/>
        <item x="96"/>
        <item x="97"/>
        <item x="98"/>
        <item x="99"/>
        <item x="101"/>
        <item x="100"/>
        <item x="102"/>
        <item x="103"/>
        <item x="104"/>
        <item x="107"/>
        <item x="108"/>
        <item x="109"/>
        <item x="110"/>
        <item x="111"/>
        <item x="105"/>
        <item x="112"/>
        <item x="113"/>
        <item x="114"/>
        <item x="115"/>
        <item x="117"/>
        <item x="118"/>
        <item x="116"/>
        <item x="119"/>
        <item x="120"/>
        <item x="122"/>
        <item x="121"/>
        <item x="123"/>
        <item x="124"/>
        <item x="106"/>
        <item x="125"/>
        <item x="126"/>
        <item x="128"/>
        <item x="130"/>
        <item x="129"/>
        <item x="131"/>
        <item x="133"/>
        <item x="132"/>
        <item x="135"/>
        <item x="136"/>
        <item x="137"/>
        <item x="127"/>
        <item x="141"/>
        <item x="140"/>
        <item x="138"/>
        <item x="139"/>
        <item x="142"/>
        <item x="143"/>
        <item x="134"/>
        <item m="1" x="498"/>
        <item x="145"/>
        <item x="149"/>
        <item x="146"/>
        <item x="144"/>
        <item x="147"/>
        <item x="150"/>
        <item x="151"/>
        <item x="152"/>
        <item x="153"/>
        <item x="155"/>
        <item m="1" x="489"/>
        <item x="158"/>
        <item x="157"/>
        <item x="154"/>
        <item x="159"/>
        <item x="156"/>
        <item x="160"/>
        <item x="161"/>
        <item x="163"/>
        <item x="162"/>
        <item m="1" x="493"/>
        <item m="1" x="208"/>
        <item x="167"/>
        <item m="1" x="790"/>
        <item m="1" x="483"/>
        <item m="1" x="783"/>
        <item x="168"/>
        <item x="166"/>
        <item x="164"/>
        <item x="165"/>
        <item x="169"/>
        <item x="170"/>
        <item x="171"/>
        <item m="1" x="679"/>
        <item m="1" x="364"/>
        <item m="1" x="667"/>
        <item m="1" x="788"/>
        <item m="1" x="481"/>
        <item m="1" x="781"/>
        <item m="1" x="475"/>
        <item x="172"/>
        <item m="1" x="470"/>
        <item m="1" x="768"/>
        <item x="173"/>
        <item m="1" x="760"/>
        <item m="1" x="455"/>
        <item m="1" x="444"/>
        <item m="1" x="745"/>
        <item m="1" x="434"/>
        <item m="1" x="734"/>
        <item m="1" x="423"/>
        <item m="1" x="724"/>
        <item m="1" x="411"/>
        <item m="1" x="713"/>
        <item m="1" x="401"/>
        <item x="175"/>
        <item m="1" x="390"/>
        <item x="176"/>
        <item m="1" x="377"/>
        <item m="1" x="677"/>
        <item m="1" x="362"/>
        <item m="1" x="665"/>
        <item m="1" x="352"/>
        <item m="1" x="653"/>
        <item m="1" x="338"/>
        <item m="1" x="637"/>
        <item m="1" x="774"/>
        <item x="174"/>
        <item m="1" x="766"/>
        <item m="1" x="462"/>
        <item m="1" x="758"/>
        <item m="1" x="453"/>
        <item x="177"/>
        <item m="1" x="442"/>
        <item x="179"/>
        <item m="1" x="432"/>
        <item x="178"/>
        <item m="1" x="421"/>
        <item m="1" x="722"/>
        <item m="1" x="409"/>
        <item m="1" x="711"/>
        <item m="1" x="399"/>
        <item m="1" x="700"/>
        <item m="1" x="388"/>
        <item m="1" x="688"/>
        <item m="1" x="375"/>
        <item m="1" x="675"/>
        <item m="1" x="360"/>
        <item m="1" x="663"/>
        <item m="1" x="350"/>
        <item m="1" x="651"/>
        <item x="180"/>
        <item m="1" x="635"/>
        <item x="181"/>
        <item m="1" x="620"/>
        <item m="1" x="311"/>
        <item m="1" x="607"/>
        <item m="1" x="451"/>
        <item x="182"/>
        <item m="1" x="440"/>
        <item m="1" x="742"/>
        <item m="1" x="430"/>
        <item m="1" x="731"/>
        <item m="1" x="419"/>
        <item m="1" x="720"/>
        <item m="1" x="407"/>
        <item m="1" x="709"/>
        <item m="1" x="397"/>
        <item m="1" x="698"/>
        <item m="1" x="386"/>
        <item x="183"/>
        <item m="1" x="373"/>
        <item x="184"/>
        <item x="185"/>
        <item m="1" x="661"/>
        <item m="1" x="348"/>
        <item m="1" x="649"/>
        <item m="1" x="335"/>
        <item m="1" x="633"/>
        <item m="1" x="322"/>
        <item m="1" x="618"/>
        <item x="186"/>
        <item m="1" x="605"/>
        <item x="187"/>
        <item m="1" x="592"/>
        <item m="1" x="289"/>
        <item m="1" x="580"/>
        <item m="1" x="740"/>
        <item m="1" x="428"/>
        <item m="1" x="729"/>
        <item m="1" x="417"/>
        <item m="1" x="718"/>
        <item x="188"/>
        <item m="1" x="707"/>
        <item x="189"/>
        <item m="1" x="696"/>
        <item m="1" x="384"/>
        <item m="1" x="685"/>
        <item m="1" x="370"/>
        <item m="1" x="672"/>
        <item m="1" x="357"/>
        <item m="1" x="659"/>
        <item m="1" x="346"/>
        <item m="1" x="647"/>
        <item m="1" x="333"/>
        <item m="1" x="631"/>
        <item m="1" x="320"/>
        <item m="1" x="616"/>
        <item m="1" x="308"/>
        <item m="1" x="603"/>
        <item m="1" x="297"/>
        <item m="1" x="590"/>
        <item x="192"/>
        <item x="193"/>
        <item m="1" x="569"/>
        <item m="1" x="279"/>
        <item m="1" x="568"/>
        <item x="194"/>
        <item m="1" x="557"/>
        <item x="190"/>
        <item m="1" x="705"/>
        <item m="1" x="372"/>
        <item m="1" x="394"/>
        <item x="195"/>
        <item m="1" x="382"/>
        <item m="1" x="683"/>
        <item m="1" x="368"/>
        <item x="196"/>
        <item m="1" x="355"/>
        <item m="1" x="657"/>
        <item m="1" x="630"/>
        <item m="1" x="344"/>
        <item m="1" x="645"/>
        <item m="1" x="331"/>
        <item m="1" x="628"/>
        <item m="1" x="318"/>
        <item m="1" x="306"/>
        <item m="1" x="601"/>
        <item x="197"/>
        <item m="1" x="588"/>
        <item m="1" x="286"/>
        <item m="1" x="577"/>
        <item x="198"/>
        <item m="1" x="565"/>
        <item m="1" x="270"/>
        <item m="1" x="555"/>
        <item x="199"/>
        <item m="1" x="547"/>
        <item m="1" x="256"/>
        <item m="1" x="539"/>
        <item m="1" x="693"/>
        <item m="1" x="380"/>
        <item m="1" x="681"/>
        <item m="1" x="366"/>
        <item m="1" x="669"/>
        <item x="200"/>
        <item m="1" x="655"/>
        <item m="1" x="342"/>
        <item m="1" x="643"/>
        <item m="1" x="329"/>
        <item m="1" x="626"/>
        <item m="1" x="316"/>
        <item m="1" x="613"/>
        <item m="1" x="304"/>
        <item m="1" x="598"/>
        <item m="1" x="294"/>
        <item m="1" x="586"/>
        <item m="1" x="284"/>
        <item m="1" x="575"/>
        <item m="1" x="276"/>
        <item m="1" x="563"/>
        <item m="1" x="268"/>
        <item m="1" x="553"/>
        <item m="1" x="262"/>
        <item m="1" x="545"/>
        <item m="1" x="255"/>
        <item m="1" x="537"/>
        <item m="1" x="248"/>
        <item m="1" x="531"/>
        <item m="1" x="241"/>
        <item m="1" x="524"/>
        <item m="1" x="340"/>
        <item m="1" x="641"/>
        <item m="1" x="327"/>
        <item m="1" x="624"/>
        <item m="1" x="314"/>
        <item m="1" x="611"/>
        <item m="1" x="302"/>
        <item m="1" x="596"/>
        <item m="1" x="292"/>
        <item m="1" x="584"/>
        <item m="1" x="282"/>
        <item m="1" x="573"/>
        <item m="1" x="274"/>
        <item m="1" x="561"/>
        <item m="1" x="266"/>
        <item m="1" x="551"/>
        <item m="1" x="260"/>
        <item m="1" x="543"/>
        <item m="1" x="253"/>
        <item m="1" x="535"/>
        <item m="1" x="246"/>
        <item m="1" x="529"/>
        <item m="1" x="239"/>
        <item m="1" x="522"/>
        <item x="201"/>
        <item m="1" x="517"/>
        <item m="1" x="230"/>
        <item m="1" x="511"/>
        <item m="1" x="639"/>
        <item m="1" x="325"/>
        <item m="1" x="622"/>
        <item x="202"/>
        <item m="1" x="609"/>
        <item m="1" x="300"/>
        <item m="1" x="594"/>
        <item x="203"/>
        <item m="1" x="582"/>
        <item x="204"/>
        <item m="1" x="571"/>
        <item m="1" x="272"/>
        <item m="1" x="559"/>
        <item x="205"/>
        <item m="1" x="549"/>
        <item m="1" x="258"/>
        <item m="1" x="541"/>
        <item m="1" x="251"/>
        <item m="1" x="533"/>
        <item m="1" x="244"/>
        <item m="1" x="527"/>
        <item x="206"/>
        <item m="1" x="520"/>
        <item m="1" x="234"/>
        <item m="1" x="515"/>
        <item m="1" x="228"/>
        <item m="1" x="509"/>
        <item m="1" x="224"/>
        <item m="1" x="505"/>
        <item m="1" x="219"/>
        <item m="1" x="242"/>
        <item m="1" x="525"/>
        <item m="1" x="236"/>
        <item m="1" x="518"/>
        <item m="1" x="232"/>
        <item m="1" x="513"/>
        <item m="1" x="226"/>
        <item m="1" x="507"/>
        <item m="1" x="222"/>
        <item m="1" x="503"/>
        <item m="1" x="217"/>
        <item m="1" x="499"/>
        <item m="1" x="214"/>
        <item x="191"/>
        <item m="1" x="211"/>
        <item m="1" x="491"/>
        <item m="1" x="793"/>
        <item m="1" x="486"/>
        <item m="1" x="786"/>
        <item m="1" x="479"/>
        <item m="1" x="779"/>
        <item x="148"/>
        <item m="1" x="772"/>
        <item m="1" x="467"/>
        <item m="1" x="764"/>
        <item m="1" x="459"/>
        <item m="1" x="756"/>
        <item m="1" x="448"/>
        <item m="1" x="749"/>
        <item m="1" x="438"/>
        <item m="1" x="738"/>
        <item m="1" x="512"/>
        <item m="1" x="225"/>
        <item m="1" x="506"/>
        <item m="1" x="221"/>
        <item m="1" x="502"/>
        <item m="1" x="216"/>
        <item m="1" x="497"/>
        <item m="1" x="213"/>
        <item m="1" x="231"/>
        <item m="1" x="495"/>
        <item m="1" x="210"/>
        <item m="1" x="490"/>
        <item m="1" x="792"/>
        <item m="1" x="485"/>
        <item m="1" x="785"/>
        <item m="1" x="478"/>
        <item m="1" x="778"/>
        <item m="1" x="473"/>
        <item m="1" x="771"/>
        <item m="1" x="466"/>
        <item m="1" x="763"/>
        <item m="1" x="458"/>
        <item m="1" x="755"/>
        <item m="1" x="447"/>
        <item m="1" x="748"/>
        <item m="1" x="437"/>
        <item m="1" x="737"/>
        <item m="1" x="426"/>
        <item m="1" x="727"/>
        <item m="1" x="414"/>
        <item m="1" x="716"/>
        <item m="1" x="220"/>
        <item m="1" x="501"/>
        <item m="1" x="215"/>
        <item m="1" x="496"/>
        <item m="1" x="212"/>
        <item m="1" x="494"/>
        <item m="1" x="209"/>
        <item m="1" x="488"/>
        <item m="1" x="791"/>
        <item m="1" x="484"/>
        <item m="1" x="784"/>
        <item m="1" x="477"/>
        <item m="1" x="777"/>
        <item m="1" x="472"/>
        <item m="1" x="770"/>
        <item m="1" x="465"/>
        <item m="1" x="762"/>
        <item m="1" x="457"/>
        <item m="1" x="754"/>
        <item m="1" x="446"/>
        <item m="1" x="747"/>
        <item m="1" x="436"/>
        <item m="1" x="736"/>
        <item m="1" x="425"/>
        <item m="1" x="726"/>
        <item m="1" x="413"/>
        <item m="1" x="715"/>
        <item m="1" x="403"/>
        <item m="1" x="703"/>
        <item m="1" x="392"/>
        <item m="1" x="691"/>
        <item m="1" x="492"/>
        <item m="1" x="207"/>
        <item m="1" x="487"/>
        <item m="1" x="789"/>
        <item m="1" x="482"/>
        <item m="1" x="782"/>
        <item m="1" x="476"/>
        <item m="1" x="776"/>
        <item m="1" x="471"/>
        <item m="1" x="769"/>
        <item m="1" x="464"/>
        <item m="1" x="761"/>
        <item m="1" x="456"/>
        <item m="1" x="753"/>
        <item m="1" x="445"/>
        <item m="1" x="746"/>
        <item m="1" x="435"/>
        <item m="1" x="735"/>
        <item m="1" x="424"/>
        <item m="1" x="725"/>
        <item m="1" x="412"/>
        <item m="1" x="714"/>
        <item m="1" x="402"/>
        <item m="1" x="702"/>
        <item m="1" x="391"/>
        <item m="1" x="690"/>
        <item m="1" x="378"/>
        <item m="1" x="678"/>
        <item m="1" x="363"/>
        <item m="1" x="666"/>
        <item m="1" x="787"/>
        <item m="1" x="480"/>
        <item m="1" x="780"/>
        <item m="1" x="474"/>
        <item m="1" x="775"/>
        <item m="1" x="469"/>
        <item m="1" x="767"/>
        <item m="1" x="463"/>
        <item m="1" x="759"/>
        <item m="1" x="454"/>
        <item m="1" x="752"/>
        <item m="1" x="443"/>
        <item m="1" x="744"/>
        <item m="1" x="433"/>
        <item m="1" x="733"/>
        <item m="1" x="422"/>
        <item m="1" x="723"/>
        <item m="1" x="410"/>
        <item m="1" x="712"/>
        <item m="1" x="400"/>
        <item m="1" x="701"/>
        <item m="1" x="389"/>
        <item m="1" x="689"/>
        <item m="1" x="376"/>
        <item m="1" x="676"/>
        <item m="1" x="361"/>
        <item m="1" x="664"/>
        <item m="1" x="351"/>
        <item m="1" x="652"/>
        <item m="1" x="337"/>
        <item m="1" x="636"/>
        <item m="1" x="773"/>
        <item m="1" x="468"/>
        <item m="1" x="765"/>
        <item m="1" x="461"/>
        <item m="1" x="757"/>
        <item m="1" x="452"/>
        <item m="1" x="751"/>
        <item m="1" x="441"/>
        <item m="1" x="743"/>
        <item m="1" x="431"/>
        <item m="1" x="732"/>
        <item m="1" x="420"/>
        <item m="1" x="721"/>
        <item m="1" x="408"/>
        <item m="1" x="710"/>
        <item m="1" x="398"/>
        <item m="1" x="699"/>
        <item m="1" x="387"/>
        <item m="1" x="687"/>
        <item m="1" x="374"/>
        <item m="1" x="674"/>
        <item m="1" x="359"/>
        <item m="1" x="662"/>
        <item m="1" x="449"/>
        <item m="1" x="349"/>
        <item m="1" x="650"/>
        <item m="1" x="336"/>
        <item m="1" x="634"/>
        <item m="1" x="323"/>
        <item m="1" x="619"/>
        <item m="1" x="310"/>
        <item m="1" x="606"/>
        <item m="1" x="450"/>
        <item m="1" x="750"/>
        <item m="1" x="439"/>
        <item m="1" x="741"/>
        <item m="1" x="429"/>
        <item m="1" x="730"/>
        <item m="1" x="418"/>
        <item m="1" x="719"/>
        <item m="1" x="406"/>
        <item m="1" x="708"/>
        <item m="1" x="396"/>
        <item m="1" x="697"/>
        <item m="1" x="385"/>
        <item m="1" x="686"/>
        <item m="1" x="371"/>
        <item m="1" x="673"/>
        <item m="1" x="358"/>
        <item m="1" x="660"/>
        <item m="1" x="347"/>
        <item m="1" x="648"/>
        <item m="1" x="334"/>
        <item m="1" x="632"/>
        <item m="1" x="321"/>
        <item m="1" x="617"/>
        <item m="1" x="309"/>
        <item m="1" x="604"/>
        <item m="1" x="298"/>
        <item m="1" x="591"/>
        <item m="1" x="288"/>
        <item m="1" x="579"/>
        <item m="1" x="739"/>
        <item m="1" x="427"/>
        <item m="1" x="728"/>
        <item m="1" x="416"/>
        <item m="1" x="717"/>
        <item m="1" x="405"/>
        <item m="1" x="706"/>
        <item m="1" x="395"/>
        <item m="1" x="695"/>
        <item m="1" x="383"/>
        <item m="1" x="684"/>
        <item m="1" x="369"/>
        <item m="1" x="671"/>
        <item m="1" x="356"/>
        <item m="1" x="658"/>
        <item m="1" x="345"/>
        <item m="1" x="646"/>
        <item m="1" x="332"/>
        <item m="1" x="629"/>
        <item m="1" x="319"/>
        <item m="1" x="615"/>
        <item m="1" x="307"/>
        <item m="1" x="602"/>
        <item m="1" x="296"/>
        <item m="1" x="589"/>
        <item m="1" x="287"/>
        <item m="1" x="578"/>
        <item m="1" x="278"/>
        <item m="1" x="567"/>
        <item m="1" x="556"/>
        <item m="1" x="404"/>
        <item m="1" x="704"/>
        <item m="1" x="393"/>
        <item m="1" x="694"/>
        <item m="1" x="381"/>
        <item m="1" x="682"/>
        <item m="1" x="367"/>
        <item m="1" x="670"/>
        <item m="1" x="354"/>
        <item m="1" x="656"/>
        <item m="1" x="343"/>
        <item m="1" x="644"/>
        <item m="1" x="330"/>
        <item m="1" x="627"/>
        <item m="1" x="317"/>
        <item m="1" x="614"/>
        <item m="1" x="305"/>
        <item m="1" x="600"/>
        <item m="1" x="295"/>
        <item m="1" x="587"/>
        <item m="1" x="566"/>
        <item m="1" x="285"/>
        <item m="1" x="576"/>
        <item m="1" x="277"/>
        <item m="1" x="415"/>
        <item m="1" x="564"/>
        <item m="1" x="269"/>
        <item m="1" x="554"/>
        <item m="1" x="263"/>
        <item m="1" x="546"/>
        <item m="1" x="538"/>
        <item m="1" x="692"/>
        <item m="1" x="379"/>
        <item m="1" x="680"/>
        <item m="1" x="365"/>
        <item m="1" x="668"/>
        <item m="1" x="353"/>
        <item m="1" x="654"/>
        <item m="1" x="341"/>
        <item m="1" x="642"/>
        <item m="1" x="328"/>
        <item m="1" x="625"/>
        <item m="1" x="315"/>
        <item m="1" x="612"/>
        <item m="1" x="303"/>
        <item m="1" x="597"/>
        <item m="1" x="293"/>
        <item m="1" x="585"/>
        <item m="1" x="283"/>
        <item m="1" x="574"/>
        <item m="1" x="275"/>
        <item m="1" x="562"/>
        <item m="1" x="267"/>
        <item m="1" x="552"/>
        <item m="1" x="261"/>
        <item m="1" x="544"/>
        <item m="1" x="254"/>
        <item m="1" x="536"/>
        <item m="1" x="247"/>
        <item m="1" x="530"/>
        <item m="1" x="240"/>
        <item m="1" x="523"/>
        <item m="1" x="339"/>
        <item m="1" x="640"/>
        <item m="1" x="326"/>
        <item m="1" x="623"/>
        <item m="1" x="313"/>
        <item m="1" x="610"/>
        <item m="1" x="301"/>
        <item m="1" x="595"/>
        <item m="1" x="291"/>
        <item m="1" x="583"/>
        <item m="1" x="281"/>
        <item m="1" x="460"/>
        <item m="1" x="572"/>
        <item m="1" x="273"/>
        <item m="1" x="560"/>
        <item m="1" x="265"/>
        <item m="1" x="550"/>
        <item m="1" x="259"/>
        <item m="1" x="542"/>
        <item m="1" x="249"/>
        <item m="1" x="252"/>
        <item m="1" x="534"/>
        <item m="1" x="245"/>
        <item m="1" x="528"/>
        <item m="1" x="238"/>
        <item m="1" x="521"/>
        <item m="1" x="235"/>
        <item m="1" x="516"/>
        <item m="1" x="229"/>
        <item m="1" x="510"/>
        <item m="1" x="638"/>
        <item m="1" x="324"/>
        <item m="1" x="621"/>
        <item m="1" x="312"/>
        <item m="1" x="608"/>
        <item m="1" x="299"/>
        <item m="1" x="593"/>
        <item m="1" x="290"/>
        <item m="1" x="581"/>
        <item m="1" x="280"/>
        <item m="1" x="570"/>
        <item m="1" x="271"/>
        <item m="1" x="558"/>
        <item m="1" x="264"/>
        <item m="1" x="548"/>
        <item m="1" x="257"/>
        <item m="1" x="540"/>
        <item m="1" x="250"/>
        <item m="1" x="532"/>
        <item m="1" x="243"/>
        <item m="1" x="526"/>
        <item m="1" x="237"/>
        <item m="1" x="519"/>
        <item m="1" x="233"/>
        <item m="1" x="514"/>
        <item m="1" x="227"/>
        <item m="1" x="508"/>
        <item m="1" x="223"/>
        <item m="1" x="504"/>
        <item m="1" x="218"/>
        <item m="1" x="500"/>
      </items>
      <extLst>
        <ext xmlns:x14="http://schemas.microsoft.com/office/spreadsheetml/2009/9/main" uri="{2946ED86-A175-432a-8AC1-64E0C546D7DE}">
          <x14:pivotField fillDownLabels="1"/>
        </ext>
      </extLst>
    </pivotField>
    <pivotField compact="0" outline="0" showAll="0" defaultSubtotal="0"/>
    <pivotField compact="0" outline="0" multipleItemSelectionAllowed="1" showAll="0"/>
    <pivotField compact="0" outline="0" multipleItemSelectionAllowed="1" showAll="0" defaultSubtotal="0">
      <items count="69">
        <item m="1" x="58"/>
        <item m="1" x="32"/>
        <item m="1" x="12"/>
        <item m="1" x="15"/>
        <item m="1" x="47"/>
        <item m="1" x="67"/>
        <item m="1" x="63"/>
        <item m="1" x="35"/>
        <item m="1" x="23"/>
        <item m="1" x="49"/>
        <item m="1" x="54"/>
        <item m="1" x="13"/>
        <item m="1" x="48"/>
        <item m="1" x="24"/>
        <item m="1" x="57"/>
        <item m="1" x="55"/>
        <item m="1" x="39"/>
        <item m="1" x="33"/>
        <item m="1" x="65"/>
        <item m="1" x="38"/>
        <item m="1" x="40"/>
        <item m="1" x="50"/>
        <item m="1" x="37"/>
        <item x="0"/>
        <item m="1" x="46"/>
        <item m="1" x="29"/>
        <item m="1" x="68"/>
        <item m="1" x="18"/>
        <item m="1" x="66"/>
        <item m="1" x="59"/>
        <item m="1" x="62"/>
        <item m="1" x="19"/>
        <item m="1" x="43"/>
        <item m="1" x="51"/>
        <item m="1" x="11"/>
        <item m="1" x="21"/>
        <item m="1" x="45"/>
        <item m="1" x="16"/>
        <item m="1" x="60"/>
        <item m="1" x="20"/>
        <item m="1" x="64"/>
        <item m="1" x="10"/>
        <item m="1" x="42"/>
        <item m="1" x="56"/>
        <item m="1" x="34"/>
        <item m="1" x="17"/>
        <item x="2"/>
        <item m="1" x="36"/>
        <item x="1"/>
        <item m="1" x="27"/>
        <item m="1" x="25"/>
        <item m="1" x="22"/>
        <item m="1" x="26"/>
        <item m="1" x="41"/>
        <item m="1" x="31"/>
        <item m="1" x="30"/>
        <item x="7"/>
        <item m="1" x="61"/>
        <item x="5"/>
        <item x="9"/>
        <item m="1" x="28"/>
        <item x="8"/>
        <item m="1" x="44"/>
        <item m="1" x="53"/>
        <item m="1" x="14"/>
        <item m="1" x="52"/>
        <item x="6"/>
        <item x="3"/>
        <item x="4"/>
      </items>
      <extLst>
        <ext xmlns:x14="http://schemas.microsoft.com/office/spreadsheetml/2009/9/main" uri="{2946ED86-A175-432a-8AC1-64E0C546D7DE}">
          <x14:pivotField fillDownLabels="1"/>
        </ext>
      </extLst>
    </pivotField>
    <pivotField compact="0" outline="0" multipleItemSelectionAllowed="1" showAll="0" defaultSubtotal="0">
      <items count="171">
        <item m="1" x="16"/>
        <item m="1" x="28"/>
        <item m="1" x="159"/>
        <item m="1" x="23"/>
        <item m="1" x="126"/>
        <item m="1" x="127"/>
        <item m="1" x="81"/>
        <item m="1" x="130"/>
        <item m="1" x="75"/>
        <item m="1" x="125"/>
        <item m="1" x="150"/>
        <item m="1" x="134"/>
        <item m="1" x="160"/>
        <item m="1" x="113"/>
        <item m="1" x="91"/>
        <item m="1" x="47"/>
        <item m="1" x="71"/>
        <item m="1" x="155"/>
        <item m="1" x="143"/>
        <item m="1" x="146"/>
        <item m="1" x="82"/>
        <item m="1" x="18"/>
        <item m="1" x="65"/>
        <item m="1" x="148"/>
        <item m="1" x="27"/>
        <item m="1" x="139"/>
        <item m="1" x="89"/>
        <item m="1" x="147"/>
        <item m="1" x="48"/>
        <item m="1" x="31"/>
        <item m="1" x="12"/>
        <item m="1" x="41"/>
        <item m="1" x="135"/>
        <item m="1" x="133"/>
        <item m="1" x="128"/>
        <item m="1" x="129"/>
        <item m="1" x="109"/>
        <item m="1" x="44"/>
        <item m="1" x="68"/>
        <item m="1" x="153"/>
        <item m="1" x="123"/>
        <item m="1" x="22"/>
        <item m="1" x="164"/>
        <item m="1" x="110"/>
        <item m="1" x="105"/>
        <item m="1" x="37"/>
        <item m="1" x="120"/>
        <item m="1" x="119"/>
        <item m="1" x="122"/>
        <item m="1" x="4"/>
        <item m="1" x="114"/>
        <item m="1" x="117"/>
        <item m="1" x="96"/>
        <item m="1" x="49"/>
        <item m="1" x="124"/>
        <item m="1" x="112"/>
        <item m="1" x="57"/>
        <item m="1" x="83"/>
        <item m="1" x="87"/>
        <item m="1" x="94"/>
        <item m="1" x="90"/>
        <item m="1" x="34"/>
        <item m="1" x="144"/>
        <item m="1" x="142"/>
        <item m="1" x="154"/>
        <item m="1" x="97"/>
        <item m="1" x="67"/>
        <item m="1" x="167"/>
        <item m="1" x="84"/>
        <item m="1" x="8"/>
        <item m="1" x="29"/>
        <item m="1" x="24"/>
        <item m="1" x="26"/>
        <item m="1" x="9"/>
        <item m="1" x="56"/>
        <item m="1" x="40"/>
        <item m="1" x="131"/>
        <item m="1" x="62"/>
        <item m="1" x="54"/>
        <item m="1" x="61"/>
        <item m="1" x="19"/>
        <item m="1" x="163"/>
        <item m="1" x="73"/>
        <item m="1" x="32"/>
        <item m="1" x="33"/>
        <item m="1" x="46"/>
        <item m="1" x="20"/>
        <item m="1" x="102"/>
        <item m="1" x="166"/>
        <item m="1" x="85"/>
        <item m="1" x="151"/>
        <item m="1" x="38"/>
        <item m="1" x="36"/>
        <item m="1" x="136"/>
        <item m="1" x="77"/>
        <item m="1" x="5"/>
        <item m="1" x="80"/>
        <item m="1" x="35"/>
        <item m="1" x="42"/>
        <item m="1" x="72"/>
        <item m="1" x="45"/>
        <item m="1" x="116"/>
        <item m="1" x="95"/>
        <item m="1" x="70"/>
        <item m="1" x="55"/>
        <item m="1" x="79"/>
        <item m="1" x="76"/>
        <item m="1" x="145"/>
        <item m="1" x="108"/>
        <item m="1" x="59"/>
        <item m="1" x="152"/>
        <item m="1" x="14"/>
        <item m="1" x="50"/>
        <item m="1" x="107"/>
        <item m="1" x="169"/>
        <item m="1" x="60"/>
        <item m="1" x="6"/>
        <item m="1" x="78"/>
        <item m="1" x="93"/>
        <item m="1" x="162"/>
        <item m="1" x="21"/>
        <item m="1" x="52"/>
        <item m="1" x="86"/>
        <item m="1" x="63"/>
        <item m="1" x="121"/>
        <item m="1" x="137"/>
        <item m="1" x="51"/>
        <item m="1" x="39"/>
        <item m="1" x="98"/>
        <item m="1" x="158"/>
        <item m="1" x="157"/>
        <item m="1" x="165"/>
        <item m="1" x="161"/>
        <item m="1" x="69"/>
        <item m="1" x="106"/>
        <item m="1" x="101"/>
        <item m="1" x="104"/>
        <item m="1" x="103"/>
        <item m="1" x="141"/>
        <item m="1" x="170"/>
        <item m="1" x="64"/>
        <item m="1" x="10"/>
        <item m="1" x="100"/>
        <item m="1" x="111"/>
        <item m="1" x="138"/>
        <item m="1" x="115"/>
        <item m="1" x="66"/>
        <item m="1" x="7"/>
        <item m="1" x="99"/>
        <item m="1" x="43"/>
        <item m="1" x="118"/>
        <item m="1" x="3"/>
        <item m="1" x="168"/>
        <item m="1" x="149"/>
        <item m="1" x="53"/>
        <item m="1" x="88"/>
        <item m="1" x="58"/>
        <item m="1" x="25"/>
        <item m="1" x="15"/>
        <item m="1" x="11"/>
        <item m="1" x="30"/>
        <item m="1" x="132"/>
        <item m="1" x="156"/>
        <item m="1" x="13"/>
        <item m="1" x="140"/>
        <item m="1" x="92"/>
        <item x="0"/>
        <item x="1"/>
        <item m="1" x="74"/>
        <item m="1" x="17"/>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95">
        <item m="1" x="80"/>
        <item m="1" x="87"/>
        <item m="1" x="91"/>
        <item x="27"/>
        <item x="14"/>
        <item x="13"/>
        <item m="1" x="92"/>
        <item m="1" x="84"/>
        <item m="1" x="94"/>
        <item m="1" x="75"/>
        <item x="56"/>
        <item x="31"/>
        <item m="1" x="77"/>
        <item m="1" x="93"/>
        <item m="1" x="86"/>
        <item m="1" x="71"/>
        <item m="1" x="89"/>
        <item m="1" x="82"/>
        <item m="1" x="76"/>
        <item x="51"/>
        <item m="1" x="85"/>
        <item m="1" x="70"/>
        <item m="1" x="81"/>
        <item m="1" x="88"/>
        <item m="1" x="72"/>
        <item x="69"/>
        <item x="60"/>
        <item m="1" x="90"/>
        <item m="1" x="74"/>
        <item x="15"/>
        <item x="66"/>
        <item x="65"/>
        <item x="58"/>
        <item x="68"/>
        <item x="17"/>
        <item x="25"/>
        <item x="29"/>
        <item x="28"/>
        <item x="46"/>
        <item x="35"/>
        <item x="42"/>
        <item x="2"/>
        <item x="59"/>
        <item x="44"/>
        <item m="1" x="79"/>
        <item x="57"/>
        <item m="1" x="83"/>
        <item x="30"/>
        <item m="1" x="78"/>
        <item x="18"/>
        <item x="11"/>
        <item x="24"/>
        <item x="9"/>
        <item x="0"/>
        <item x="67"/>
        <item x="48"/>
        <item m="1" x="73"/>
        <item x="47"/>
        <item x="12"/>
        <item x="37"/>
        <item x="61"/>
        <item x="62"/>
        <item x="63"/>
        <item x="64"/>
        <item x="6"/>
        <item x="55"/>
        <item x="36"/>
        <item x="34"/>
        <item x="4"/>
        <item x="3"/>
        <item x="19"/>
        <item x="20"/>
        <item x="21"/>
        <item x="54"/>
        <item x="53"/>
        <item x="16"/>
        <item x="52"/>
        <item x="32"/>
        <item x="7"/>
        <item x="1"/>
        <item x="49"/>
        <item x="50"/>
        <item x="43"/>
        <item x="41"/>
        <item x="39"/>
        <item x="40"/>
        <item x="45"/>
        <item x="33"/>
        <item x="10"/>
        <item x="38"/>
        <item x="8"/>
        <item x="5"/>
        <item x="26"/>
        <item x="23"/>
        <item x="2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7">
        <item m="1" x="23"/>
        <item m="1" x="15"/>
        <item m="1" x="24"/>
        <item x="2"/>
        <item m="1" x="10"/>
        <item x="1"/>
        <item m="1" x="18"/>
        <item m="1" x="21"/>
        <item m="1" x="11"/>
        <item m="1" x="26"/>
        <item m="1" x="22"/>
        <item m="1" x="16"/>
        <item m="1" x="14"/>
        <item x="7"/>
        <item m="1" x="17"/>
        <item x="5"/>
        <item x="9"/>
        <item m="1" x="19"/>
        <item x="8"/>
        <item m="1" x="25"/>
        <item m="1" x="13"/>
        <item x="0"/>
        <item m="1" x="12"/>
        <item m="1" x="20"/>
        <item x="6"/>
        <item x="3"/>
        <item x="4"/>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sortType="ascending" defaultSubtotal="0">
      <items count="3336">
        <item m="1" x="70"/>
        <item m="1" x="1988"/>
        <item m="1" x="833"/>
        <item m="1" x="1802"/>
        <item m="1" x="127"/>
        <item m="1" x="2090"/>
        <item m="1" x="178"/>
        <item m="1" x="678"/>
        <item m="1" x="613"/>
        <item m="1" x="2175"/>
        <item m="1" x="251"/>
        <item m="1" x="618"/>
        <item m="1" x="173"/>
        <item m="1" x="2830"/>
        <item m="1" x="551"/>
        <item m="1" x="133"/>
        <item m="1" x="633"/>
        <item m="1" x="1902"/>
        <item m="1" x="2561"/>
        <item m="1" x="3327"/>
        <item m="1" x="358"/>
        <item m="1" x="2930"/>
        <item m="1" x="1738"/>
        <item m="1" x="364"/>
        <item m="1" x="703"/>
        <item m="1" x="2183"/>
        <item m="1" x="2033"/>
        <item m="1" x="2451"/>
        <item m="1" x="2203"/>
        <item m="1" x="2293"/>
        <item m="1" x="1395"/>
        <item m="1" x="2655"/>
        <item m="1" x="1328"/>
        <item m="1" x="2789"/>
        <item m="1" x="2909"/>
        <item m="1" x="943"/>
        <item m="1" x="90"/>
        <item m="1" x="2449"/>
        <item m="1" x="1366"/>
        <item m="1" x="2685"/>
        <item m="1" x="2354"/>
        <item m="1" x="1379"/>
        <item m="1" x="2070"/>
        <item m="1" x="1931"/>
        <item m="1" x="297"/>
        <item m="1" x="669"/>
        <item m="1" x="384"/>
        <item m="1" x="3294"/>
        <item m="1" x="2590"/>
        <item m="1" x="1654"/>
        <item m="1" x="2898"/>
        <item m="1" x="1651"/>
        <item m="1" x="3166"/>
        <item m="1" x="2044"/>
        <item m="1" x="2110"/>
        <item m="1" x="1205"/>
        <item m="1" x="2337"/>
        <item m="1" x="1058"/>
        <item m="1" x="453"/>
        <item m="1" x="819"/>
        <item m="1" x="3140"/>
        <item m="1" x="2609"/>
        <item m="1" x="597"/>
        <item m="1" x="648"/>
        <item m="1" x="2516"/>
        <item m="1" x="2192"/>
        <item m="1" x="2232"/>
        <item m="1" x="1858"/>
        <item m="1" x="2129"/>
        <item m="1" x="1734"/>
        <item m="1" x="2096"/>
        <item m="1" x="2121"/>
        <item m="1" x="732"/>
        <item m="1" x="1795"/>
        <item m="1" x="2737"/>
        <item m="1" x="2704"/>
        <item m="1" x="1385"/>
        <item m="1" x="2848"/>
        <item m="1" x="2884"/>
        <item m="1" x="2021"/>
        <item m="1" x="2463"/>
        <item m="1" x="2174"/>
        <item m="1" x="1421"/>
        <item m="1" x="1966"/>
        <item m="1" x="270"/>
        <item m="1" x="3270"/>
        <item m="1" x="3180"/>
        <item m="1" x="979"/>
        <item m="1" x="3085"/>
        <item m="1" x="981"/>
        <item m="1" x="2730"/>
        <item m="1" x="125"/>
        <item m="1" x="698"/>
        <item m="1" x="540"/>
        <item m="1" x="1448"/>
        <item m="1" x="2688"/>
        <item m="1" x="2689"/>
        <item m="1" x="451"/>
        <item m="1" x="3121"/>
        <item m="1" x="2426"/>
        <item m="1" x="2351"/>
        <item m="1" x="1480"/>
        <item m="1" x="1766"/>
        <item m="1" x="486"/>
        <item m="1" x="2701"/>
        <item m="1" x="2374"/>
        <item m="1" x="1220"/>
        <item m="1" x="911"/>
        <item m="1" x="475"/>
        <item m="1" x="1505"/>
        <item m="1" x="2052"/>
        <item m="1" x="223"/>
        <item m="1" x="724"/>
        <item m="1" x="1681"/>
        <item m="1" x="89"/>
        <item m="1" x="2692"/>
        <item m="1" x="2434"/>
        <item m="1" x="1389"/>
        <item m="1" x="2943"/>
        <item m="1" x="2563"/>
        <item m="1" x="326"/>
        <item m="1" x="799"/>
        <item m="1" x="974"/>
        <item m="1" x="1410"/>
        <item m="1" x="2756"/>
        <item m="1" x="1353"/>
        <item m="1" x="713"/>
        <item m="1" x="2610"/>
        <item m="1" x="808"/>
        <item m="1" x="232"/>
        <item m="1" x="3006"/>
        <item m="1" x="87"/>
        <item m="1" x="2433"/>
        <item m="1" x="1882"/>
        <item m="1" x="741"/>
        <item m="1" x="1067"/>
        <item m="1" x="1278"/>
        <item m="1" x="1844"/>
        <item m="1" x="3179"/>
        <item m="1" x="1132"/>
        <item m="1" x="2294"/>
        <item m="1" x="757"/>
        <item m="1" x="736"/>
        <item m="1" x="906"/>
        <item m="1" x="785"/>
        <item m="1" x="962"/>
        <item m="1" x="320"/>
        <item m="1" x="1809"/>
        <item m="1" x="284"/>
        <item m="1" x="1563"/>
        <item m="1" x="2618"/>
        <item m="1" x="3002"/>
        <item m="1" x="3203"/>
        <item m="1" x="2881"/>
        <item m="1" x="2383"/>
        <item m="1" x="649"/>
        <item m="1" x="858"/>
        <item m="1" x="1146"/>
        <item m="1" x="1657"/>
        <item m="1" x="1696"/>
        <item m="1" x="1721"/>
        <item m="1" x="3138"/>
        <item m="1" x="245"/>
        <item m="1" x="1587"/>
        <item m="1" x="1449"/>
        <item m="1" x="160"/>
        <item m="1" x="106"/>
        <item m="1" x="793"/>
        <item m="1" x="2671"/>
        <item m="1" x="3275"/>
        <item m="1" x="489"/>
        <item m="1" x="528"/>
        <item m="1" x="3091"/>
        <item m="1" x="3027"/>
        <item m="1" x="2952"/>
        <item m="1" x="1030"/>
        <item m="1" x="1457"/>
        <item m="1" x="1092"/>
        <item m="1" x="2916"/>
        <item m="1" x="1811"/>
        <item m="1" x="2008"/>
        <item m="1" x="1891"/>
        <item m="1" x="3157"/>
        <item m="1" x="119"/>
        <item m="1" x="1173"/>
        <item m="1" x="1645"/>
        <item m="1" x="1556"/>
        <item m="1" x="1623"/>
        <item m="1" x="1683"/>
        <item m="1" x="2553"/>
        <item m="1" x="2691"/>
        <item m="1" x="1163"/>
        <item m="1" x="2497"/>
        <item m="1" x="2978"/>
        <item m="1" x="2302"/>
        <item m="1" x="1903"/>
        <item m="1" x="1720"/>
        <item m="1" x="294"/>
        <item m="1" x="375"/>
        <item m="1" x="2425"/>
        <item m="1" x="2783"/>
        <item m="1" x="3192"/>
        <item m="1" x="2370"/>
        <item m="1" x="1692"/>
        <item m="1" x="1964"/>
        <item m="1" x="1265"/>
        <item m="1" x="182"/>
        <item m="1" x="1846"/>
        <item m="1" x="1835"/>
        <item m="1" x="2048"/>
        <item m="1" x="1838"/>
        <item m="1" x="2765"/>
        <item m="1" x="2639"/>
        <item m="1" x="1552"/>
        <item m="1" x="2051"/>
        <item m="1" x="2437"/>
        <item m="1" x="932"/>
        <item m="1" x="298"/>
        <item m="1" x="1028"/>
        <item m="1" x="2573"/>
        <item m="1" x="1049"/>
        <item m="1" x="2015"/>
        <item m="1" x="1686"/>
        <item m="1" x="1798"/>
        <item m="1" x="760"/>
        <item m="1" x="1154"/>
        <item m="1" x="276"/>
        <item m="1" x="889"/>
        <item m="1" x="1778"/>
        <item m="1" x="907"/>
        <item m="1" x="1314"/>
        <item m="1" x="131"/>
        <item m="1" x="593"/>
        <item m="1" x="2062"/>
        <item m="1" x="1221"/>
        <item m="1" x="990"/>
        <item m="1" x="2435"/>
        <item m="1" x="3315"/>
        <item m="1" x="3287"/>
        <item m="1" x="1765"/>
        <item m="1" x="772"/>
        <item m="1" x="323"/>
        <item m="1" x="1228"/>
        <item m="1" x="2264"/>
        <item m="1" x="2407"/>
        <item m="1" x="756"/>
        <item m="1" x="3083"/>
        <item m="1" x="1983"/>
        <item m="1" x="1579"/>
        <item m="1" x="1502"/>
        <item m="1" x="2177"/>
        <item m="1" x="1684"/>
        <item m="1" x="1803"/>
        <item m="1" x="222"/>
        <item m="1" x="112"/>
        <item m="1" x="2199"/>
        <item m="1" x="958"/>
        <item m="1" x="388"/>
        <item m="1" x="1805"/>
        <item m="1" x="1534"/>
        <item m="1" x="1155"/>
        <item m="1" x="1586"/>
        <item m="1" x="1588"/>
        <item m="1" x="1548"/>
        <item m="1" x="1160"/>
        <item m="1" x="369"/>
        <item m="1" x="682"/>
        <item m="1" x="3266"/>
        <item m="1" x="951"/>
        <item m="1" x="357"/>
        <item m="1" x="3050"/>
        <item m="1" x="379"/>
        <item m="1" x="132"/>
        <item m="1" x="1251"/>
        <item m="1" x="2085"/>
        <item m="1" x="2456"/>
        <item m="1" x="561"/>
        <item m="1" x="1218"/>
        <item m="1" x="1610"/>
        <item m="1" x="3282"/>
        <item m="1" x="3231"/>
        <item m="1" x="3284"/>
        <item m="1" x="1120"/>
        <item m="1" x="2115"/>
        <item m="1" x="815"/>
        <item m="1" x="3224"/>
        <item m="1" x="3302"/>
        <item m="1" x="2076"/>
        <item m="1" x="584"/>
        <item m="1" x="2251"/>
        <item m="1" x="474"/>
        <item m="1" x="3195"/>
        <item m="1" x="429"/>
        <item m="1" x="1329"/>
        <item m="1" x="983"/>
        <item m="1" x="1189"/>
        <item m="1" x="1878"/>
        <item m="1" x="121"/>
        <item m="1" x="1506"/>
        <item m="1" x="645"/>
        <item m="1" x="308"/>
        <item m="1" x="1694"/>
        <item m="1" x="2269"/>
        <item m="1" x="2215"/>
        <item m="1" x="1908"/>
        <item m="1" x="2938"/>
        <item m="1" x="1998"/>
        <item m="1" x="2717"/>
        <item m="1" x="1797"/>
        <item m="1" x="476"/>
        <item m="1" x="3259"/>
        <item m="1" x="891"/>
        <item m="1" x="2274"/>
        <item m="1" x="1215"/>
        <item m="1" x="1597"/>
        <item m="1" x="2343"/>
        <item m="1" x="2315"/>
        <item m="1" x="2487"/>
        <item m="1" x="1674"/>
        <item m="1" x="1178"/>
        <item m="1" x="226"/>
        <item m="1" x="2917"/>
        <item m="1" x="957"/>
        <item m="1" x="1397"/>
        <item m="1" x="2597"/>
        <item m="1" x="3268"/>
        <item m="1" x="2892"/>
        <item m="1" x="2893"/>
        <item m="1" x="3279"/>
        <item m="1" x="3191"/>
        <item m="1" x="3066"/>
        <item m="1" x="1775"/>
        <item m="1" x="103"/>
        <item m="1" x="2341"/>
        <item m="1" x="493"/>
        <item m="1" x="2672"/>
        <item m="1" x="1666"/>
        <item m="1" x="814"/>
        <item m="1" x="1559"/>
        <item m="1" x="831"/>
        <item m="1" x="1628"/>
        <item m="1" x="1396"/>
        <item m="1" x="1042"/>
        <item m="1" x="961"/>
        <item m="1" x="763"/>
        <item m="1" x="1510"/>
        <item m="1" x="1664"/>
        <item m="1" x="2159"/>
        <item m="1" x="949"/>
        <item m="1" x="1914"/>
        <item m="1" x="3155"/>
        <item m="1" x="2956"/>
        <item m="1" x="3247"/>
        <item m="1" x="240"/>
        <item m="1" x="1295"/>
        <item m="1" x="1753"/>
        <item m="1" x="2517"/>
        <item x="4"/>
        <item x="2"/>
        <item x="3"/>
        <item x="15"/>
        <item m="1" x="1223"/>
        <item m="1" x="517"/>
        <item x="27"/>
        <item x="68"/>
        <item x="55"/>
        <item x="39"/>
        <item x="29"/>
        <item x="56"/>
        <item x="67"/>
        <item x="10"/>
        <item m="1" x="1569"/>
        <item x="40"/>
        <item x="64"/>
        <item x="58"/>
        <item x="53"/>
        <item m="1" x="2841"/>
        <item m="1" x="2847"/>
        <item m="1" x="610"/>
        <item m="1" x="663"/>
        <item m="1" x="838"/>
        <item m="1" x="695"/>
        <item m="1" x="916"/>
        <item m="1" x="495"/>
        <item m="1" x="936"/>
        <item m="1" x="2889"/>
        <item m="1" x="2887"/>
        <item m="1" x="659"/>
        <item m="1" x="1399"/>
        <item m="1" x="1052"/>
        <item m="1" x="1498"/>
        <item m="1" x="1020"/>
        <item m="1" x="1698"/>
        <item m="1" x="3326"/>
        <item m="1" x="1890"/>
        <item m="1" x="2627"/>
        <item m="1" x="925"/>
        <item m="1" x="2911"/>
        <item m="1" x="2757"/>
        <item m="1" x="2149"/>
        <item m="1" x="3303"/>
        <item m="1" x="1358"/>
        <item x="28"/>
        <item m="1" x="596"/>
        <item m="1" x="3307"/>
        <item x="47"/>
        <item m="1" x="751"/>
        <item x="5"/>
        <item m="1" x="1571"/>
        <item x="48"/>
        <item m="1" x="1388"/>
        <item x="59"/>
        <item x="41"/>
        <item m="1" x="165"/>
        <item x="30"/>
        <item x="38"/>
        <item x="42"/>
        <item x="61"/>
        <item x="62"/>
        <item x="63"/>
        <item m="1" x="1129"/>
        <item m="1" x="1864"/>
        <item m="1" x="3201"/>
        <item m="1" x="749"/>
        <item m="1" x="2406"/>
        <item m="1" x="664"/>
        <item m="1" x="2713"/>
        <item m="1" x="1665"/>
        <item m="1" x="1355"/>
        <item m="1" x="933"/>
        <item x="16"/>
        <item m="1" x="1688"/>
        <item x="14"/>
        <item x="8"/>
        <item x="66"/>
        <item m="1" x="2910"/>
        <item m="1" x="2443"/>
        <item m="1" x="2823"/>
        <item m="1" x="2146"/>
        <item m="1" x="1487"/>
        <item m="1" x="1605"/>
        <item m="1" x="1226"/>
        <item m="1" x="2860"/>
        <item m="1" x="638"/>
        <item m="1" x="3009"/>
        <item m="1" x="1181"/>
        <item m="1" x="1972"/>
        <item m="1" x="2528"/>
        <item m="1" x="1536"/>
        <item m="1" x="3291"/>
        <item m="1" x="2010"/>
        <item m="1" x="556"/>
        <item m="1" x="2522"/>
        <item m="1" x="987"/>
        <item m="1" x="3045"/>
        <item m="1" x="1577"/>
        <item m="1" x="1832"/>
        <item m="1" x="221"/>
        <item m="1" x="1892"/>
        <item m="1" x="738"/>
        <item x="52"/>
        <item m="1" x="2801"/>
        <item x="43"/>
        <item x="44"/>
        <item m="1" x="531"/>
        <item x="45"/>
        <item x="46"/>
        <item m="1" x="2670"/>
        <item x="13"/>
        <item x="25"/>
        <item x="65"/>
        <item m="1" x="1345"/>
        <item m="1" x="620"/>
        <item m="1" x="631"/>
        <item m="1" x="1857"/>
        <item m="1" x="406"/>
        <item m="1" x="1276"/>
        <item m="1" x="1060"/>
        <item x="9"/>
        <item m="1" x="728"/>
        <item m="1" x="1352"/>
        <item m="1" x="3143"/>
        <item m="1" x="774"/>
        <item m="1" x="371"/>
        <item m="1" x="2562"/>
        <item m="1" x="1208"/>
        <item m="1" x="144"/>
        <item m="1" x="1259"/>
        <item m="1" x="2498"/>
        <item m="1" x="2394"/>
        <item m="1" x="2361"/>
        <item m="1" x="2095"/>
        <item m="1" x="3169"/>
        <item m="1" x="1182"/>
        <item m="1" x="2029"/>
        <item m="1" x="3037"/>
        <item m="1" x="2824"/>
        <item m="1" x="1827"/>
        <item m="1" x="2035"/>
        <item m="1" x="317"/>
        <item m="1" x="1547"/>
        <item m="1" x="138"/>
        <item m="1" x="1794"/>
        <item m="1" x="968"/>
        <item m="1" x="3320"/>
        <item m="1" x="555"/>
        <item m="1" x="565"/>
        <item m="1" x="3229"/>
        <item m="1" x="1095"/>
        <item m="1" x="603"/>
        <item m="1" x="2828"/>
        <item m="1" x="370"/>
        <item m="1" x="2959"/>
        <item m="1" x="918"/>
        <item m="1" x="2965"/>
        <item m="1" x="1064"/>
        <item m="1" x="684"/>
        <item m="1" x="428"/>
        <item m="1" x="1787"/>
        <item m="1" x="928"/>
        <item m="1" x="1456"/>
        <item m="1" x="2245"/>
        <item m="1" x="2744"/>
        <item m="1" x="2321"/>
        <item m="1" x="3051"/>
        <item m="1" x="573"/>
        <item m="1" x="2791"/>
        <item m="1" x="3095"/>
        <item m="1" x="1501"/>
        <item m="1" x="2408"/>
        <item m="1" x="3232"/>
        <item m="1" x="2595"/>
        <item m="1" x="85"/>
        <item m="1" x="376"/>
        <item m="1" x="3123"/>
        <item m="1" x="564"/>
        <item m="1" x="2509"/>
        <item m="1" x="2966"/>
        <item m="1" x="252"/>
        <item m="1" x="2849"/>
        <item m="1" x="558"/>
        <item m="1" x="386"/>
        <item m="1" x="1057"/>
        <item m="1" x="1641"/>
        <item m="1" x="1911"/>
        <item m="1" x="2651"/>
        <item m="1" x="3150"/>
        <item m="1" x="1517"/>
        <item m="1" x="1507"/>
        <item m="1" x="2420"/>
        <item m="1" x="2873"/>
        <item m="1" x="753"/>
        <item m="1" x="881"/>
        <item m="1" x="2770"/>
        <item m="1" x="2421"/>
        <item m="1" x="258"/>
        <item m="1" x="777"/>
        <item m="1" x="2631"/>
        <item m="1" x="2678"/>
        <item m="1" x="2755"/>
        <item m="1" x="2391"/>
        <item m="1" x="1245"/>
        <item m="1" x="1499"/>
        <item m="1" x="3102"/>
        <item m="1" x="803"/>
        <item m="1" x="3242"/>
        <item m="1" x="2229"/>
        <item m="1" x="3239"/>
        <item m="1" x="2564"/>
        <item m="1" x="1703"/>
        <item m="1" x="1390"/>
        <item m="1" x="1769"/>
        <item m="1" x="174"/>
        <item m="1" x="653"/>
        <item m="1" x="998"/>
        <item m="1" x="3208"/>
        <item m="1" x="2599"/>
        <item m="1" x="2669"/>
        <item m="1" x="395"/>
        <item m="1" x="331"/>
        <item m="1" x="1461"/>
        <item m="1" x="2334"/>
        <item m="1" x="447"/>
        <item m="1" x="1087"/>
        <item m="1" x="2326"/>
        <item m="1" x="2252"/>
        <item m="1" x="1780"/>
        <item m="1" x="2227"/>
        <item m="1" x="2329"/>
        <item m="1" x="2308"/>
        <item m="1" x="2134"/>
        <item m="1" x="2116"/>
        <item m="1" x="2491"/>
        <item m="1" x="285"/>
        <item m="1" x="2228"/>
        <item m="1" x="353"/>
        <item m="1" x="1969"/>
        <item m="1" x="1557"/>
        <item m="1" x="2152"/>
        <item m="1" x="2703"/>
        <item m="1" x="115"/>
        <item m="1" x="389"/>
        <item m="1" x="1537"/>
        <item m="1" x="1428"/>
        <item m="1" x="1333"/>
        <item m="1" x="2211"/>
        <item m="1" x="3148"/>
        <item m="1" x="2657"/>
        <item m="1" x="504"/>
        <item m="1" x="421"/>
        <item m="1" x="1304"/>
        <item m="1" x="2186"/>
        <item m="1" x="3126"/>
        <item m="1" x="2852"/>
        <item m="1" x="2117"/>
        <item m="1" x="1944"/>
        <item m="1" x="2802"/>
        <item m="1" x="1719"/>
        <item m="1" x="2222"/>
        <item m="1" x="1570"/>
        <item m="1" x="1904"/>
        <item m="1" x="1634"/>
        <item m="1" x="195"/>
        <item m="1" x="454"/>
        <item m="1" x="3117"/>
        <item m="1" x="95"/>
        <item m="1" x="1951"/>
        <item m="1" x="220"/>
        <item m="1" x="991"/>
        <item m="1" x="2540"/>
        <item m="1" x="2305"/>
        <item m="1" x="2774"/>
        <item m="1" x="2082"/>
        <item m="1" x="3128"/>
        <item m="1" x="1121"/>
        <item m="1" x="1392"/>
        <item m="1" x="768"/>
        <item m="1" x="1010"/>
        <item m="1" x="283"/>
        <item m="1" x="213"/>
        <item m="1" x="2169"/>
        <item m="1" x="1206"/>
        <item m="1" x="1166"/>
        <item m="1" x="2486"/>
        <item m="1" x="2469"/>
        <item m="1" x="2481"/>
        <item m="1" x="362"/>
        <item m="1" x="365"/>
        <item m="1" x="321"/>
        <item m="1" x="2905"/>
        <item m="1" x="2804"/>
        <item m="1" x="328"/>
        <item m="1" x="1302"/>
        <item m="1" x="868"/>
        <item m="1" x="731"/>
        <item m="1" x="937"/>
        <item m="1" x="805"/>
        <item m="1" x="2696"/>
        <item m="1" x="1026"/>
        <item m="1" x="3228"/>
        <item m="1" x="1697"/>
        <item m="1" x="1486"/>
        <item m="1" x="1419"/>
        <item m="1" x="975"/>
        <item m="1" x="1126"/>
        <item m="1" x="1022"/>
        <item m="1" x="1630"/>
        <item m="1" x="2640"/>
        <item m="1" x="3124"/>
        <item m="1" x="1883"/>
        <item m="1" x="725"/>
        <item m="1" x="2810"/>
        <item m="1" x="2633"/>
        <item m="1" x="900"/>
        <item m="1" x="497"/>
        <item m="1" x="288"/>
        <item m="1" x="1102"/>
        <item m="1" x="887"/>
        <item m="1" x="2568"/>
        <item m="1" x="2220"/>
        <item m="1" x="2381"/>
        <item m="1" x="2474"/>
        <item m="1" x="1821"/>
        <item m="1" x="1745"/>
        <item m="1" x="1777"/>
        <item m="1" x="2624"/>
        <item m="1" x="1995"/>
        <item m="1" x="1568"/>
        <item m="1" x="1147"/>
        <item m="1" x="1008"/>
        <item m="1" x="278"/>
        <item m="1" x="3043"/>
        <item m="1" x="2821"/>
        <item m="1" x="2585"/>
        <item m="1" x="1572"/>
        <item m="1" x="1518"/>
        <item m="1" x="734"/>
        <item m="1" x="2041"/>
        <item m="1" x="205"/>
        <item m="1" x="218"/>
        <item m="1" x="3288"/>
        <item m="1" x="2201"/>
        <item m="1" x="2681"/>
        <item m="1" x="1308"/>
        <item m="1" x="2853"/>
        <item x="1"/>
        <item m="1" x="2054"/>
        <item m="1" x="2197"/>
        <item m="1" x="1466"/>
        <item m="1" x="559"/>
        <item m="1" x="985"/>
        <item m="1" x="1767"/>
        <item m="1" x="1801"/>
        <item m="1" x="128"/>
        <item m="1" x="505"/>
        <item m="1" x="1021"/>
        <item m="1" x="2151"/>
        <item m="1" x="529"/>
        <item m="1" x="2673"/>
        <item m="1" x="707"/>
        <item m="1" x="714"/>
        <item m="1" x="1238"/>
        <item m="1" x="1394"/>
        <item m="1" x="194"/>
        <item m="1" x="2098"/>
        <item m="1" x="2591"/>
        <item m="1" x="196"/>
        <item m="1" x="2376"/>
        <item m="1" x="1687"/>
        <item m="1" x="1037"/>
        <item m="1" x="880"/>
        <item m="1" x="2709"/>
        <item m="1" x="1290"/>
        <item m="1" x="3312"/>
        <item m="1" x="2996"/>
        <item m="1" x="407"/>
        <item m="1" x="1594"/>
        <item m="1" x="2547"/>
        <item m="1" x="1075"/>
        <item m="1" x="146"/>
        <item m="1" x="2262"/>
        <item m="1" x="238"/>
        <item m="1" x="2024"/>
        <item m="1" x="291"/>
        <item m="1" x="249"/>
        <item m="1" x="560"/>
        <item m="1" x="1551"/>
        <item m="1" x="1718"/>
        <item m="1" x="204"/>
        <item m="1" x="2056"/>
        <item m="1" x="1319"/>
        <item m="1" x="1519"/>
        <item m="1" x="1348"/>
        <item m="1" x="1578"/>
        <item m="1" x="1747"/>
        <item m="1" x="2271"/>
        <item m="1" x="623"/>
        <item m="1" x="563"/>
        <item m="1" x="2224"/>
        <item m="1" x="1522"/>
        <item m="1" x="1624"/>
        <item m="1" x="3178"/>
        <item m="1" x="1191"/>
        <item m="1" x="1168"/>
        <item m="1" x="3130"/>
        <item m="1" x="1331"/>
        <item m="1" x="2985"/>
        <item m="1" x="1196"/>
        <item m="1" x="1091"/>
        <item m="1" x="674"/>
        <item m="1" x="1617"/>
        <item m="1" x="2291"/>
        <item m="1" x="680"/>
        <item m="1" x="2414"/>
        <item m="1" x="1472"/>
        <item m="1" x="1981"/>
        <item m="1" x="2667"/>
        <item m="1" x="1725"/>
        <item m="1" x="1359"/>
        <item m="1" x="2647"/>
        <item m="1" x="1225"/>
        <item m="1" x="2488"/>
        <item m="1" x="1620"/>
        <item m="1" x="3118"/>
        <item m="1" x="1669"/>
        <item m="1" x="2832"/>
        <item m="1" x="852"/>
        <item m="1" x="2290"/>
        <item m="1" x="616"/>
        <item m="1" x="956"/>
        <item m="1" x="2812"/>
        <item m="1" x="622"/>
        <item m="1" x="3012"/>
        <item m="1" x="3088"/>
        <item m="1" x="647"/>
        <item m="1" x="2675"/>
        <item m="1" x="479"/>
        <item m="1" x="2822"/>
        <item m="1" x="1373"/>
        <item m="1" x="2935"/>
        <item m="1" x="816"/>
        <item m="1" x="2304"/>
        <item m="1" x="2702"/>
        <item m="1" x="566"/>
        <item m="1" x="2178"/>
        <item m="1" x="2941"/>
        <item m="1" x="2969"/>
        <item m="1" x="677"/>
        <item m="1" x="1236"/>
        <item m="1" x="1044"/>
        <item m="1" x="1553"/>
        <item m="1" x="1743"/>
        <item m="1" x="466"/>
        <item m="1" x="1326"/>
        <item m="1" x="1068"/>
        <item m="1" x="2311"/>
        <item m="1" x="2102"/>
        <item m="1" x="2444"/>
        <item m="1" x="2555"/>
        <item m="1" x="533"/>
        <item m="1" x="2556"/>
        <item m="1" x="2963"/>
        <item m="1" x="902"/>
        <item m="1" x="948"/>
        <item m="1" x="2773"/>
        <item m="1" x="913"/>
        <item m="1" x="661"/>
        <item m="1" x="804"/>
        <item m="1" x="104"/>
        <item m="1" x="74"/>
        <item m="1" x="256"/>
        <item m="1" x="202"/>
        <item m="1" x="1211"/>
        <item m="1" x="1108"/>
        <item m="1" x="1408"/>
        <item m="1" x="922"/>
        <item m="1" x="3174"/>
        <item m="1" x="3215"/>
        <item m="1" x="3110"/>
        <item m="1" x="865"/>
        <item m="1" x="1230"/>
        <item m="1" x="2690"/>
        <item m="1" x="312"/>
        <item m="1" x="3071"/>
        <item m="1" x="1343"/>
        <item m="1" x="1700"/>
        <item m="1" x="1096"/>
        <item m="1" x="1841"/>
        <item m="1" x="3031"/>
        <item m="1" x="1757"/>
        <item m="1" x="412"/>
        <item m="1" x="1468"/>
        <item x="34"/>
        <item m="1" x="333"/>
        <item m="1" x="363"/>
        <item m="1" x="3015"/>
        <item m="1" x="2768"/>
        <item m="1" x="2605"/>
        <item m="1" x="2040"/>
        <item m="1" x="78"/>
        <item m="1" x="550"/>
        <item m="1" x="1949"/>
        <item m="1" x="2213"/>
        <item m="1" x="2364"/>
        <item m="1" x="874"/>
        <item m="1" x="2030"/>
        <item m="1" x="1429"/>
        <item m="1" x="1644"/>
        <item m="1" x="1945"/>
        <item m="1" x="2896"/>
        <item m="1" x="1330"/>
        <item m="1" x="2218"/>
        <item m="1" x="1377"/>
        <item m="1" x="2273"/>
        <item m="1" x="1740"/>
        <item m="1" x="2906"/>
        <item m="1" x="1335"/>
        <item m="1" x="1528"/>
        <item m="1" x="237"/>
        <item m="1" x="1782"/>
        <item m="1" x="2442"/>
        <item m="1" x="711"/>
        <item m="1" x="1514"/>
        <item m="1" x="1593"/>
        <item m="1" x="1867"/>
        <item m="1" x="1682"/>
        <item m="1" x="2395"/>
        <item m="1" x="595"/>
        <item m="1" x="589"/>
        <item m="1" x="2630"/>
        <item m="1" x="217"/>
        <item m="1" x="1762"/>
        <item m="1" x="1543"/>
        <item m="1" x="1047"/>
        <item m="1" x="1272"/>
        <item m="1" x="3034"/>
        <item m="1" x="1746"/>
        <item m="1" x="764"/>
        <item m="1" x="1383"/>
        <item m="1" x="1110"/>
        <item m="1" x="992"/>
        <item m="1" x="3250"/>
        <item m="1" x="473"/>
        <item m="1" x="997"/>
        <item m="1" x="1554"/>
        <item m="1" x="1837"/>
        <item m="1" x="3059"/>
        <item m="1" x="1763"/>
        <item m="1" x="2511"/>
        <item m="1" x="2796"/>
        <item m="1" x="337"/>
        <item m="1" x="2289"/>
        <item m="1" x="2727"/>
        <item m="1" x="2809"/>
        <item m="1" x="1497"/>
        <item m="1" x="1671"/>
        <item m="1" x="2984"/>
        <item m="1" x="302"/>
        <item m="1" x="1161"/>
        <item m="1" x="491"/>
        <item m="1" x="740"/>
        <item m="1" x="702"/>
        <item m="1" x="2836"/>
        <item m="1" x="2999"/>
        <item m="1" x="1962"/>
        <item m="1" x="1889"/>
        <item m="1" x="2084"/>
        <item m="1" x="1430"/>
        <item m="1" x="953"/>
        <item m="1" x="1851"/>
        <item m="1" x="1561"/>
        <item m="1" x="3026"/>
        <item m="1" x="569"/>
        <item m="1" x="306"/>
        <item m="1" x="2107"/>
        <item m="1" x="2504"/>
        <item m="1" x="1137"/>
        <item m="1" x="2880"/>
        <item m="1" x="1626"/>
        <item m="1" x="2128"/>
        <item m="1" x="2539"/>
        <item m="1" x="2136"/>
        <item m="1" x="1973"/>
        <item m="1" x="149"/>
        <item m="1" x="894"/>
        <item m="1" x="3167"/>
        <item m="1" x="3210"/>
        <item m="1" x="1071"/>
        <item m="1" x="2130"/>
        <item m="1" x="2977"/>
        <item m="1" x="1025"/>
        <item m="1" x="726"/>
        <item m="1" x="1054"/>
        <item m="1" x="225"/>
        <item m="1" x="1839"/>
        <item m="1" x="1960"/>
        <item m="1" x="1216"/>
        <item m="1" x="1582"/>
        <item m="1" x="3160"/>
        <item m="1" x="522"/>
        <item m="1" x="2588"/>
        <item m="1" x="2296"/>
        <item m="1" x="2982"/>
        <item m="1" x="2409"/>
        <item m="1" x="2124"/>
        <item m="1" x="2652"/>
        <item m="1" x="1661"/>
        <item m="1" x="2560"/>
        <item m="1" x="455"/>
        <item m="1" x="2843"/>
        <item m="1" x="142"/>
        <item m="1" x="2524"/>
        <item m="1" x="2844"/>
        <item m="1" x="2300"/>
        <item m="1" x="646"/>
        <item m="1" x="1367"/>
        <item m="1" x="1175"/>
        <item m="1" x="2366"/>
        <item m="1" x="488"/>
        <item m="1" x="836"/>
        <item m="1" x="1520"/>
        <item m="1" x="2960"/>
        <item m="1" x="1447"/>
        <item m="1" x="1414"/>
        <item m="1" x="2806"/>
        <item m="1" x="2068"/>
        <item m="1" x="2936"/>
        <item m="1" x="467"/>
        <item m="1" x="1124"/>
        <item m="1" x="329"/>
        <item m="1" x="1247"/>
        <item m="1" x="1089"/>
        <item m="1" x="448"/>
        <item m="1" x="1145"/>
        <item m="1" x="2993"/>
        <item m="1" x="201"/>
        <item m="1" x="3199"/>
        <item m="1" x="1420"/>
        <item m="1" x="2749"/>
        <item x="7"/>
        <item m="1" x="797"/>
        <item m="1" x="2752"/>
        <item m="1" x="1090"/>
        <item m="1" x="1760"/>
        <item m="1" x="2101"/>
        <item m="1" x="3308"/>
        <item m="1" x="3056"/>
        <item m="1" x="2057"/>
        <item m="1" x="2931"/>
        <item m="1" x="1477"/>
        <item m="1" x="2700"/>
        <item m="1" x="2519"/>
        <item m="1" x="2500"/>
        <item m="1" x="1489"/>
        <item m="1" x="1400"/>
        <item m="1" x="2254"/>
        <item m="1" x="110"/>
        <item m="1" x="157"/>
        <item m="1" x="2986"/>
        <item m="1" x="2763"/>
        <item m="1" x="886"/>
        <item m="1" x="644"/>
        <item m="1" x="367"/>
        <item m="1" x="643"/>
        <item m="1" x="494"/>
        <item m="1" x="3272"/>
        <item m="1" x="1629"/>
        <item m="1" x="72"/>
        <item m="1" x="939"/>
        <item m="1" x="1825"/>
        <item m="1" x="2840"/>
        <item m="1" x="2953"/>
        <item m="1" x="163"/>
        <item m="1" x="2761"/>
        <item m="1" x="2813"/>
        <item m="1" x="823"/>
        <item m="1" x="468"/>
        <item m="1" x="1362"/>
        <item m="1" x="879"/>
        <item m="1" x="1256"/>
        <item m="1" x="1848"/>
        <item m="1" x="93"/>
        <item m="1" x="1649"/>
        <item m="1" x="3156"/>
        <item m="1" x="2257"/>
        <item m="1" x="827"/>
        <item m="1" x="1881"/>
        <item m="1" x="587"/>
        <item m="1" x="1776"/>
        <item m="1" x="181"/>
        <item m="1" x="141"/>
        <item m="1" x="1584"/>
        <item m="1" x="2659"/>
        <item m="1" x="2157"/>
        <item m="1" x="1638"/>
        <item m="1" x="1790"/>
        <item m="1" x="1081"/>
        <item m="1" x="2436"/>
        <item m="1" x="938"/>
        <item m="1" x="947"/>
        <item m="1" x="2924"/>
        <item m="1" x="1033"/>
        <item m="1" x="3122"/>
        <item m="1" x="1865"/>
        <item m="1" x="431"/>
        <item m="1" x="611"/>
        <item m="1" x="1659"/>
        <item m="1" x="324"/>
        <item m="1" x="1714"/>
        <item m="1" x="1927"/>
        <item m="1" x="2465"/>
        <item m="1" x="758"/>
        <item m="1" x="3058"/>
        <item m="1" x="1602"/>
        <item m="1" x="2150"/>
        <item m="1" x="2998"/>
        <item m="1" x="945"/>
        <item m="1" x="1913"/>
        <item m="1" x="2747"/>
        <item m="1" x="2219"/>
        <item m="1" x="3137"/>
        <item m="1" x="415"/>
        <item m="1" x="3198"/>
        <item m="1" x="1426"/>
        <item m="1" x="2990"/>
        <item m="1" x="2280"/>
        <item m="1" x="1018"/>
        <item m="1" x="2485"/>
        <item m="1" x="268"/>
        <item m="1" x="134"/>
        <item m="1" x="315"/>
        <item m="1" x="2792"/>
        <item m="1" x="2684"/>
        <item m="1" x="2862"/>
        <item m="1" x="88"/>
        <item m="1" x="2845"/>
        <item m="1" x="1806"/>
        <item m="1" x="3133"/>
        <item m="1" x="2016"/>
        <item m="1" x="1134"/>
        <item m="1" x="1305"/>
        <item m="1" x="1342"/>
        <item m="1" x="1658"/>
        <item m="1" x="3295"/>
        <item m="1" x="1898"/>
        <item m="1" x="851"/>
        <item m="1" x="897"/>
        <item m="1" x="1997"/>
        <item m="1" x="484"/>
        <item m="1" x="3297"/>
        <item m="1" x="1986"/>
        <item m="1" x="2162"/>
        <item m="1" x="1741"/>
        <item m="1" x="1580"/>
        <item m="1" x="1701"/>
        <item m="1" x="469"/>
        <item m="1" x="2583"/>
        <item m="1" x="1099"/>
        <item m="1" x="599"/>
        <item m="1" x="156"/>
        <item m="1" x="1198"/>
        <item m="1" x="854"/>
        <item m="1" x="2794"/>
        <item m="1" x="1606"/>
        <item m="1" x="413"/>
        <item m="1" x="895"/>
        <item m="1" x="1689"/>
        <item m="1" x="1078"/>
        <item m="1" x="637"/>
        <item m="1" x="2039"/>
        <item m="1" x="2886"/>
        <item m="1" x="1662"/>
        <item m="1" x="1177"/>
        <item m="1" x="2495"/>
        <item m="1" x="2275"/>
        <item m="1" x="612"/>
        <item m="1" x="652"/>
        <item m="1" x="2529"/>
        <item m="1" x="553"/>
        <item m="1" x="794"/>
        <item m="1" x="2720"/>
        <item m="1" x="2242"/>
        <item m="1" x="1340"/>
        <item m="1" x="3063"/>
        <item m="1" x="1481"/>
        <item m="1" x="3013"/>
        <item m="1" x="352"/>
        <item m="1" x="452"/>
        <item m="1" x="272"/>
        <item m="1" x="471"/>
        <item m="1" x="2026"/>
        <item m="1" x="800"/>
        <item m="1" x="2446"/>
        <item m="1" x="2992"/>
        <item m="1" x="876"/>
        <item m="1" x="870"/>
        <item m="1" x="3260"/>
        <item m="1" x="2751"/>
        <item m="1" x="1894"/>
        <item m="1" x="3070"/>
        <item m="1" x="1855"/>
        <item m="1" x="2422"/>
        <item m="1" x="1282"/>
        <item m="1" x="2868"/>
        <item m="1" x="1284"/>
        <item m="1" x="1739"/>
        <item m="1" x="1640"/>
        <item m="1" x="2277"/>
        <item m="1" x="1351"/>
        <item m="1" x="255"/>
        <item m="1" x="970"/>
        <item m="1" x="1627"/>
        <item m="1" x="3241"/>
        <item m="1" x="1915"/>
        <item m="1" x="1214"/>
        <item m="1" x="1618"/>
        <item m="1" x="1647"/>
        <item m="1" x="397"/>
        <item m="1" x="1187"/>
        <item m="1" x="1482"/>
        <item m="1" x="3131"/>
        <item m="1" x="2259"/>
        <item m="1" x="135"/>
        <item m="1" x="507"/>
        <item m="1" x="2838"/>
        <item m="1" x="692"/>
        <item m="1" x="1127"/>
        <item m="1" x="568"/>
        <item m="1" x="862"/>
        <item m="1" x="670"/>
        <item m="1" x="1702"/>
        <item m="1" x="2608"/>
        <item m="1" x="3097"/>
        <item m="1" x="3030"/>
        <item m="1" x="1540"/>
        <item m="1" x="1364"/>
        <item m="1" x="3305"/>
        <item m="1" x="1106"/>
        <item m="1" x="2601"/>
        <item m="1" x="2319"/>
        <item m="1" x="1027"/>
        <item m="1" x="1603"/>
        <item m="1" x="1982"/>
        <item m="1" x="1164"/>
        <item m="1" x="1512"/>
        <item m="1" x="1562"/>
        <item m="1" x="3151"/>
        <item m="1" x="3188"/>
        <item m="1" x="1000"/>
        <item m="1" x="393"/>
        <item m="1" x="538"/>
        <item m="1" x="924"/>
        <item m="1" x="2775"/>
        <item m="1" x="3100"/>
        <item m="1" x="2375"/>
        <item m="1" x="2307"/>
        <item m="1" x="2348"/>
        <item m="1" x="2165"/>
        <item m="1" x="1051"/>
        <item m="1" x="1495"/>
        <item m="1" x="1815"/>
        <item m="1" x="1504"/>
        <item m="1" x="2478"/>
        <item m="1" x="2499"/>
        <item m="1" x="582"/>
        <item m="1" x="361"/>
        <item m="1" x="2722"/>
        <item m="1" x="1716"/>
        <item m="1" x="2607"/>
        <item m="1" x="545"/>
        <item x="17"/>
        <item m="1" x="2338"/>
        <item m="1" x="820"/>
        <item m="1" x="1332"/>
        <item m="1" x="2184"/>
        <item m="1" x="2328"/>
        <item m="1" x="837"/>
        <item m="1" x="839"/>
        <item m="1" x="848"/>
        <item m="1" x="931"/>
        <item m="1" x="2139"/>
        <item m="1" x="2046"/>
        <item m="1" x="1772"/>
        <item m="1" x="336"/>
        <item m="1" x="418"/>
        <item m="1" x="1491"/>
        <item m="1" x="3005"/>
        <item m="1" x="83"/>
        <item m="1" x="2617"/>
        <item m="1" x="449"/>
        <item m="1" x="2158"/>
        <item m="1" x="1670"/>
        <item m="1" x="2454"/>
        <item m="1" x="2462"/>
        <item m="1" x="666"/>
        <item m="1" x="810"/>
        <item m="1" x="2067"/>
        <item m="1" x="1880"/>
        <item m="1" x="1567"/>
        <item m="1" x="2106"/>
        <item m="1" x="1872"/>
        <item m="1" x="1558"/>
        <item m="1" x="2851"/>
        <item x="57"/>
        <item m="1" x="1942"/>
        <item m="1" x="1239"/>
        <item m="1" x="2483"/>
        <item m="1" x="1515"/>
        <item m="1" x="3046"/>
        <item m="1" x="1934"/>
        <item m="1" x="3196"/>
        <item m="1" x="2718"/>
        <item m="1" x="1541"/>
        <item m="1" x="242"/>
        <item m="1" x="1529"/>
        <item m="1" x="1984"/>
        <item m="1" x="113"/>
        <item m="1" x="1546"/>
        <item m="1" x="1158"/>
        <item m="1" x="282"/>
        <item m="1" x="1761"/>
        <item m="1" x="1953"/>
        <item m="1" x="606"/>
        <item m="1" x="2602"/>
        <item m="1" x="2145"/>
        <item m="1" x="247"/>
        <item m="1" x="2901"/>
        <item m="1" x="1059"/>
        <item m="1" x="2820"/>
        <item m="1" x="2168"/>
        <item m="1" x="1656"/>
        <item m="1" x="2198"/>
        <item m="1" x="1017"/>
        <item m="1" x="2592"/>
        <item m="1" x="3172"/>
        <item m="1" x="2648"/>
        <item m="1" x="1544"/>
        <item m="1" x="403"/>
        <item m="1" x="2831"/>
        <item m="1" x="2937"/>
        <item m="1" x="1612"/>
        <item m="1" x="123"/>
        <item m="1" x="1470"/>
        <item m="1" x="359"/>
        <item m="1" x="464"/>
        <item m="1" x="955"/>
        <item m="1" x="927"/>
        <item m="1" x="1464"/>
        <item m="1" x="2133"/>
        <item m="1" x="2138"/>
        <item m="1" x="2143"/>
        <item m="1" x="1300"/>
        <item m="1" x="1980"/>
        <item m="1" x="1003"/>
        <item m="1" x="1590"/>
        <item m="1" x="2622"/>
        <item m="1" x="330"/>
        <item m="1" x="869"/>
        <item m="1" x="871"/>
        <item m="1" x="506"/>
        <item m="1" x="2066"/>
        <item m="1" x="1921"/>
        <item m="1" x="2309"/>
        <item m="1" x="1063"/>
        <item m="1" x="2127"/>
        <item m="1" x="439"/>
        <item m="1" x="301"/>
        <item m="1" x="1636"/>
        <item m="1" x="1285"/>
        <item m="1" x="921"/>
        <item m="1" x="3062"/>
        <item m="1" x="1788"/>
        <item m="1" x="1622"/>
        <item m="1" x="373"/>
        <item m="1" x="124"/>
        <item m="1" x="2196"/>
        <item m="1" x="792"/>
        <item m="1" x="628"/>
        <item m="1" x="120"/>
        <item m="1" x="1930"/>
        <item m="1" x="748"/>
        <item m="1" x="2644"/>
        <item m="1" x="1928"/>
        <item m="1" x="2569"/>
        <item m="1" x="2570"/>
        <item m="1" x="210"/>
        <item m="1" x="2520"/>
        <item m="1" x="3135"/>
        <item m="1" x="1905"/>
        <item m="1" x="2439"/>
        <item m="1" x="3052"/>
        <item m="1" x="2904"/>
        <item m="1" x="1693"/>
        <item m="1" x="2031"/>
        <item m="1" x="586"/>
        <item m="1" x="2538"/>
        <item m="1" x="427"/>
        <item m="1" x="699"/>
        <item m="1" x="211"/>
        <item m="1" x="782"/>
        <item m="1" x="1483"/>
        <item m="1" x="2577"/>
        <item m="1" x="514"/>
        <item m="1" x="1826"/>
        <item m="1" x="960"/>
        <item m="1" x="1717"/>
        <item m="1" x="1531"/>
        <item m="1" x="2891"/>
        <item m="1" x="1478"/>
        <item m="1" x="277"/>
        <item m="1" x="842"/>
        <item m="1" x="430"/>
        <item m="1" x="973"/>
        <item m="1" x="1676"/>
        <item m="1" x="2780"/>
        <item m="1" x="720"/>
        <item m="1" x="2419"/>
        <item m="1" x="3014"/>
        <item m="1" x="1526"/>
        <item m="1" x="2735"/>
        <item m="1" x="3304"/>
        <item m="1" x="1125"/>
        <item m="1" x="3112"/>
        <item m="1" x="802"/>
        <item m="1" x="1338"/>
        <item m="1" x="1237"/>
        <item m="1" x="952"/>
        <item m="1" x="1549"/>
        <item m="1" x="482"/>
        <item m="1" x="2758"/>
        <item m="1" x="1895"/>
        <item m="1" x="3278"/>
        <item m="1" x="3257"/>
        <item m="1" x="571"/>
        <item m="1" x="2336"/>
        <item m="1" x="296"/>
        <item m="1" x="853"/>
        <item m="1" x="2714"/>
        <item m="1" x="1843"/>
        <item m="1" x="1861"/>
        <item m="1" x="3165"/>
        <item m="1" x="273"/>
        <item m="1" x="1186"/>
        <item m="1" x="950"/>
        <item m="1" x="534"/>
        <item m="1" x="3299"/>
        <item m="1" x="457"/>
        <item m="1" x="1334"/>
        <item m="1" x="2396"/>
        <item m="1" x="102"/>
        <item m="1" x="2258"/>
        <item m="1" x="1417"/>
        <item m="1" x="705"/>
        <item x="33"/>
        <item x="12"/>
        <item m="1" x="773"/>
        <item m="1" x="2005"/>
        <item m="1" x="3060"/>
        <item m="1" x="3154"/>
        <item m="1" x="2759"/>
        <item m="1" x="2814"/>
        <item m="1" x="1296"/>
        <item m="1" x="1289"/>
        <item m="1" x="1156"/>
        <item m="1" x="1530"/>
        <item m="1" x="209"/>
        <item m="1" x="2118"/>
        <item m="1" x="244"/>
        <item m="1" x="458"/>
        <item m="1" x="1893"/>
        <item m="1" x="3217"/>
        <item m="1" x="1887"/>
        <item m="1" x="1613"/>
        <item m="1" x="1907"/>
        <item m="1" x="3029"/>
        <item m="1" x="527"/>
        <item m="1" x="2441"/>
        <item m="1" x="2707"/>
        <item m="1" x="2445"/>
        <item m="1" x="2012"/>
        <item m="1" x="2729"/>
        <item m="1" x="2480"/>
        <item m="1" x="396"/>
        <item m="1" x="539"/>
        <item m="1" x="3300"/>
        <item m="1" x="3129"/>
        <item m="1" x="2632"/>
        <item m="1" x="2089"/>
        <item m="1" x="1652"/>
        <item m="1" x="456"/>
        <item m="1" x="3022"/>
        <item m="1" x="1253"/>
        <item m="1" x="3181"/>
        <item m="1" x="2144"/>
        <item m="1" x="2708"/>
        <item m="1" x="1943"/>
        <item m="1" x="80"/>
        <item m="1" x="2594"/>
        <item m="1" x="1494"/>
        <item m="1" x="442"/>
        <item m="1" x="3296"/>
        <item m="1" x="1941"/>
        <item m="1" x="2578"/>
        <item m="1" x="1098"/>
        <item m="1" x="1813"/>
        <item m="1" x="601"/>
        <item m="1" x="1350"/>
        <item m="1" x="583"/>
        <item m="1" x="2616"/>
        <item m="1" x="733"/>
        <item m="1" x="459"/>
        <item m="1" x="2505"/>
        <item m="1" x="3234"/>
        <item m="1" x="2292"/>
        <item m="1" x="542"/>
        <item m="1" x="923"/>
        <item m="1" x="1446"/>
        <item m="1" x="914"/>
        <item m="1" x="3076"/>
        <item m="1" x="2858"/>
        <item m="1" x="2739"/>
        <item m="1" x="1252"/>
        <item m="1" x="1368"/>
        <item m="1" x="2223"/>
        <item m="1" x="2404"/>
        <item m="1" x="166"/>
        <item m="1" x="3324"/>
        <item m="1" x="2261"/>
        <item m="1" x="3080"/>
        <item m="1" x="690"/>
        <item m="1" x="2389"/>
        <item m="1" x="1185"/>
        <item m="1" x="2241"/>
        <item m="1" x="1375"/>
        <item m="1" x="2111"/>
        <item m="1" x="3141"/>
        <item m="1" x="1808"/>
        <item m="1" x="1493"/>
        <item m="1" x="290"/>
        <item m="1" x="1347"/>
        <item m="1" x="860"/>
        <item m="1" x="1935"/>
        <item m="1" x="2036"/>
        <item m="1" x="3113"/>
        <item m="1" x="2387"/>
        <item m="1" x="2450"/>
        <item m="1" x="672"/>
        <item m="1" x="1503"/>
        <item m="1" x="3223"/>
        <item m="1" x="2732"/>
        <item m="1" x="1320"/>
        <item m="1" x="2914"/>
        <item m="1" x="109"/>
        <item m="1" x="3093"/>
        <item m="1" x="2037"/>
        <item m="1" x="2514"/>
        <item m="1" x="346"/>
        <item m="1" x="1117"/>
        <item m="1" x="2007"/>
        <item m="1" x="1277"/>
        <item m="1" x="2642"/>
        <item m="1" x="685"/>
        <item m="1" x="3035"/>
        <item m="1" x="3158"/>
        <item m="1" x="704"/>
        <item m="1" x="3145"/>
        <item m="1" x="2721"/>
        <item m="1" x="2579"/>
        <item m="1" x="2377"/>
        <item m="1" x="366"/>
        <item m="1" x="523"/>
        <item m="1" x="818"/>
        <item m="1" x="470"/>
        <item m="1" x="499"/>
        <item m="1" x="259"/>
        <item m="1" x="2523"/>
        <item m="1" x="3264"/>
        <item m="1" x="1398"/>
        <item m="1" x="2131"/>
        <item m="1" x="1200"/>
        <item m="1" x="2398"/>
        <item m="1" x="235"/>
        <item m="1" x="1987"/>
        <item m="1" x="478"/>
        <item m="1" x="443"/>
        <item m="1" x="3271"/>
        <item m="1" x="1323"/>
        <item m="1" x="1072"/>
        <item m="1" x="2715"/>
        <item m="1" x="3018"/>
        <item m="1" x="855"/>
        <item m="1" x="577"/>
        <item m="1" x="754"/>
        <item m="1" x="1197"/>
        <item m="1" x="977"/>
        <item m="1" x="171"/>
        <item m="1" x="2003"/>
        <item m="1" x="2530"/>
        <item m="1" x="1084"/>
        <item m="1" x="2738"/>
        <item m="1" x="665"/>
        <item m="1" x="2534"/>
        <item m="1" x="1036"/>
        <item m="1" x="2743"/>
        <item m="1" x="2231"/>
        <item m="1" x="1789"/>
        <item m="1" x="512"/>
        <item m="1" x="81"/>
        <item m="1" x="747"/>
        <item m="1" x="701"/>
        <item m="1" x="1600"/>
        <item m="1" x="2064"/>
        <item m="1" x="718"/>
        <item m="1" x="1339"/>
        <item m="1" x="2846"/>
        <item m="1" x="188"/>
        <item m="1" x="1007"/>
        <item m="1" x="2468"/>
        <item m="1" x="1750"/>
        <item m="1" x="2492"/>
        <item m="1" x="2899"/>
        <item m="1" x="3073"/>
        <item m="1" x="1371"/>
        <item m="1" x="3248"/>
        <item m="1" x="2193"/>
        <item m="1" x="2912"/>
        <item m="1" x="1906"/>
        <item m="1" x="3147"/>
        <item m="1" x="863"/>
        <item m="1" x="2861"/>
        <item m="1" x="105"/>
        <item m="1" x="2019"/>
        <item m="1" x="2857"/>
        <item m="1" x="626"/>
        <item m="1" x="1207"/>
        <item m="1" x="549"/>
        <item m="1" x="2731"/>
        <item m="1" x="1001"/>
        <item m="1" x="3023"/>
        <item m="1" x="2081"/>
        <item m="1" x="2957"/>
        <item m="1" x="3177"/>
        <item m="1" x="1704"/>
        <item m="1" x="759"/>
        <item m="1" x="594"/>
        <item m="1" x="1454"/>
        <item m="1" x="2543"/>
        <item m="1" x="2510"/>
        <item m="1" x="1824"/>
        <item m="1" x="3220"/>
        <item m="1" x="2867"/>
        <item m="1" x="1555"/>
        <item m="1" x="1297"/>
        <item m="1" x="2795"/>
        <item m="1" x="2558"/>
        <item m="1" x="250"/>
        <item m="1" x="1382"/>
        <item m="1" x="1255"/>
        <item m="1" x="118"/>
        <item m="1" x="1939"/>
        <item m="1" x="1850"/>
        <item m="1" x="2949"/>
        <item m="1" x="1783"/>
        <item m="1" x="915"/>
        <item m="1" x="414"/>
        <item m="1" x="675"/>
        <item m="1" x="1677"/>
        <item m="1" x="2397"/>
        <item m="1" x="2100"/>
        <item m="1" x="671"/>
        <item m="1" x="338"/>
        <item m="1" x="537"/>
        <item m="1" x="130"/>
        <item m="1" x="1524"/>
        <item m="1" x="2994"/>
        <item m="1" x="1341"/>
        <item m="1" x="1004"/>
        <item m="1" x="3274"/>
        <item m="1" x="1046"/>
        <item m="1" x="1201"/>
        <item m="1" x="2078"/>
        <item m="1" x="1637"/>
        <item m="1" x="2327"/>
        <item m="1" x="3183"/>
        <item m="1" x="1479"/>
        <item m="1" x="2628"/>
        <item m="1" x="1860"/>
        <item m="1" x="2762"/>
        <item m="1" x="920"/>
        <item m="1" x="2286"/>
        <item x="37"/>
        <item m="1" x="716"/>
        <item m="1" x="1957"/>
        <item m="1" x="1770"/>
        <item m="1" x="2279"/>
        <item m="1" x="2535"/>
        <item m="1" x="2922"/>
        <item m="1" x="3049"/>
        <item m="1" x="2473"/>
        <item m="1" x="2390"/>
        <item m="1" x="503"/>
        <item m="1" x="2470"/>
        <item m="1" x="2105"/>
        <item m="1" x="872"/>
        <item m="1" x="1598"/>
        <item m="1" x="1386"/>
        <item m="1" x="1435"/>
        <item m="1" x="2629"/>
        <item m="1" x="423"/>
        <item m="1" x="1800"/>
        <item m="1" x="752"/>
        <item m="1" x="2637"/>
        <item m="1" x="591"/>
        <item m="1" x="867"/>
        <item m="1" x="2923"/>
        <item m="1" x="2546"/>
        <item m="1" x="2928"/>
        <item m="1" x="2950"/>
        <item m="1" x="177"/>
        <item m="1" x="2976"/>
        <item m="1" x="2368"/>
        <item m="1" x="3265"/>
        <item m="1" x="2769"/>
        <item m="1" x="2027"/>
        <item m="1" x="2120"/>
        <item m="1" x="745"/>
        <item m="1" x="1321"/>
        <item m="1" x="1202"/>
        <item m="1" x="1786"/>
        <item m="1" x="224"/>
        <item m="1" x="687"/>
        <item m="1" x="243"/>
        <item m="1" x="1425"/>
        <item m="1" x="2649"/>
        <item m="1" x="345"/>
        <item m="1" x="2207"/>
        <item m="1" x="650"/>
        <item m="1" x="2187"/>
        <item m="1" x="2113"/>
        <item m="1" x="3236"/>
        <item m="1" x="2344"/>
        <item m="1" x="1267"/>
        <item m="1" x="1310"/>
        <item m="1" x="463"/>
        <item m="1" x="322"/>
        <item m="1" x="2438"/>
        <item m="1" x="3101"/>
        <item m="1" x="651"/>
        <item m="1" x="1159"/>
        <item m="1" x="776"/>
        <item m="1" x="2975"/>
        <item m="1" x="2584"/>
        <item m="1" x="1337"/>
        <item m="1" x="1303"/>
        <item m="1" x="2580"/>
        <item m="1" x="398"/>
        <item m="1" x="1490"/>
        <item m="1" x="3301"/>
        <item m="1" x="2108"/>
        <item m="1" x="2951"/>
        <item m="1" x="162"/>
        <item m="1" x="1963"/>
        <item m="1" x="518"/>
        <item m="1" x="1792"/>
        <item m="1" x="1270"/>
        <item m="1" x="2385"/>
        <item m="1" x="1884"/>
        <item m="1" x="1919"/>
        <item m="1" x="2447"/>
        <item m="1" x="2362"/>
        <item m="1" x="2017"/>
        <item m="1" x="2508"/>
        <item m="1" x="2536"/>
        <item m="1" x="1755"/>
        <item m="1" x="888"/>
        <item m="1" x="2072"/>
        <item m="1" x="1012"/>
        <item m="1" x="856"/>
        <item m="1" x="1188"/>
        <item m="1" x="2697"/>
        <item m="1" x="2581"/>
        <item m="1" x="2864"/>
        <item m="1" x="1050"/>
        <item m="1" x="1450"/>
        <item m="1" x="200"/>
        <item m="1" x="2698"/>
        <item m="1" x="176"/>
        <item m="1" x="2088"/>
        <item m="1" x="1599"/>
        <item m="1" x="1708"/>
        <item m="1" x="84"/>
        <item m="1" x="746"/>
        <item m="1" x="1219"/>
        <item m="1" x="755"/>
        <item m="1" x="882"/>
        <item m="1" x="642"/>
        <item m="1" x="1411"/>
        <item m="1" x="1866"/>
        <item m="1" x="2049"/>
        <item m="1" x="1764"/>
        <item m="1" x="2787"/>
        <item m="1" x="441"/>
        <item m="1" x="662"/>
        <item m="1" x="1292"/>
        <item m="1" x="2850"/>
        <item m="1" x="635"/>
        <item m="1" x="409"/>
        <item m="1" x="588"/>
        <item m="1" x="2834"/>
        <item m="1" x="1999"/>
        <item m="1" x="2541"/>
        <item m="1" x="1709"/>
        <item m="1" x="2206"/>
        <item m="1" x="1910"/>
        <item m="1" x="114"/>
        <item m="1" x="191"/>
        <item m="1" x="140"/>
        <item m="1" x="744"/>
        <item m="1" x="1157"/>
        <item m="1" x="1229"/>
        <item m="1" x="1019"/>
        <item m="1" x="1257"/>
        <item m="1" x="2172"/>
        <item m="1" x="2557"/>
        <item m="1" x="1301"/>
        <item m="1" x="2566"/>
        <item m="1" x="2587"/>
        <item m="1" x="617"/>
        <item m="1" x="2988"/>
        <item m="1" x="2908"/>
        <item m="1" x="824"/>
        <item m="1" x="592"/>
        <item m="1" x="492"/>
        <item m="1" x="246"/>
        <item m="1" x="1834"/>
        <item m="1" x="1015"/>
        <item m="1" x="2225"/>
        <item m="1" x="786"/>
        <item m="1" x="719"/>
        <item m="1" x="2216"/>
        <item m="1" x="280"/>
        <item m="1" x="2475"/>
        <item m="1" x="536"/>
        <item m="1" x="2270"/>
        <item m="1" x="3309"/>
        <item m="1" x="1542"/>
        <item x="19"/>
        <item m="1" x="619"/>
        <item x="20"/>
        <item m="1" x="417"/>
        <item m="1" x="965"/>
        <item x="21"/>
        <item m="1" x="234"/>
        <item m="1" x="1532"/>
        <item m="1" x="1422"/>
        <item m="1" x="866"/>
        <item m="1" x="164"/>
        <item m="1" x="3016"/>
        <item m="1" x="630"/>
        <item m="1" x="2303"/>
        <item m="1" x="2266"/>
        <item m="1" x="686"/>
        <item m="1" x="3068"/>
        <item m="1" x="532"/>
        <item m="1" x="2281"/>
        <item m="1" x="2803"/>
        <item m="1" x="3003"/>
        <item m="1" x="3115"/>
        <item m="1" x="1900"/>
        <item m="1" x="2137"/>
        <item m="1" x="432"/>
        <item m="1" x="356"/>
        <item m="1" x="694"/>
        <item m="1" x="3084"/>
        <item m="1" x="1635"/>
        <item m="1" x="1831"/>
        <item m="1" x="2710"/>
        <item m="1" x="1781"/>
        <item m="1" x="513"/>
        <item m="1" x="2430"/>
        <item m="1" x="3222"/>
        <item m="1" x="1920"/>
        <item m="1" x="2574"/>
        <item m="1" x="2156"/>
        <item m="1" x="1011"/>
        <item m="1" x="3182"/>
        <item m="1" x="1500"/>
        <item m="1" x="2332"/>
        <item m="1" x="2979"/>
        <item m="1" x="1535"/>
        <item m="1" x="1573"/>
        <item m="1" x="1105"/>
        <item m="1" x="286"/>
        <item m="1" x="1093"/>
        <item m="1" x="167"/>
        <item m="1" x="1403"/>
        <item m="1" x="2009"/>
        <item m="1" x="2987"/>
        <item m="1" x="2384"/>
        <item m="1" x="2109"/>
        <item m="1" x="1985"/>
        <item m="1" x="1667"/>
        <item m="1" x="3065"/>
        <item m="1" x="2798"/>
        <item m="1" x="2856"/>
        <item m="1" x="2818"/>
        <item m="1" x="305"/>
        <item m="1" x="2604"/>
        <item m="1" x="1432"/>
        <item m="1" x="2074"/>
        <item m="1" x="1241"/>
        <item m="1" x="1318"/>
        <item m="1" x="206"/>
        <item m="1" x="1006"/>
        <item m="1" x="861"/>
        <item m="1" x="1751"/>
        <item m="1" x="3325"/>
        <item m="1" x="1956"/>
        <item m="1" x="187"/>
        <item m="1" x="2119"/>
        <item m="1" x="1646"/>
        <item m="1" x="2413"/>
        <item m="1" x="2114"/>
        <item m="1" x="917"/>
        <item m="1" x="1140"/>
        <item m="1" x="2606"/>
        <item m="1" x="2427"/>
        <item m="1" x="864"/>
        <item m="1" x="567"/>
        <item m="1" x="604"/>
        <item m="1" x="2666"/>
        <item m="1" x="2842"/>
        <item m="1" x="999"/>
        <item m="1" x="2537"/>
        <item m="1" x="3079"/>
        <item m="1" x="3194"/>
        <item m="1" x="2260"/>
        <item m="1" x="1852"/>
        <item m="1" x="2894"/>
        <item m="1" x="1369"/>
        <item m="1" x="1190"/>
        <item m="1" x="2045"/>
        <item m="1" x="969"/>
        <item m="1" x="2711"/>
        <item m="1" x="1444"/>
        <item m="1" x="3316"/>
        <item m="1" x="1675"/>
        <item m="1" x="197"/>
        <item m="1" x="2544"/>
        <item m="1" x="1947"/>
        <item m="1" x="2871"/>
        <item m="1" x="515"/>
        <item m="1" x="2182"/>
        <item m="1" x="2611"/>
        <item m="1" x="2235"/>
        <item m="1" x="602"/>
        <item m="1" x="535"/>
        <item m="1" x="787"/>
        <item m="1" x="1991"/>
        <item m="1" x="2921"/>
        <item m="1" x="2496"/>
        <item m="1" x="715"/>
        <item m="1" x="2494"/>
        <item m="1" x="2502"/>
        <item m="1" x="835"/>
        <item m="1" x="801"/>
        <item m="1" x="2099"/>
        <item m="1" x="73"/>
        <item m="1" x="408"/>
        <item m="1" x="700"/>
        <item m="1" x="1965"/>
        <item m="1" x="1380"/>
        <item m="1" x="2918"/>
        <item m="1" x="812"/>
        <item m="1" x="1723"/>
        <item m="1" x="2001"/>
        <item m="1" x="1592"/>
        <item m="1" x="3187"/>
        <item m="1" x="2287"/>
        <item m="1" x="2440"/>
        <item m="1" x="1069"/>
        <item m="1" x="2004"/>
        <item m="1" x="729"/>
        <item m="1" x="1917"/>
        <item m="1" x="1869"/>
        <item m="1" x="207"/>
        <item m="1" x="1151"/>
        <item m="1" x="274"/>
        <item m="1" x="1438"/>
        <item m="1" x="438"/>
        <item m="1" x="519"/>
        <item m="1" x="1254"/>
        <item m="1" x="2533"/>
        <item m="1" x="2964"/>
        <item m="1" x="1014"/>
        <item m="1" x="2876"/>
        <item m="1" x="1653"/>
        <item m="1" x="1260"/>
        <item m="1" x="1043"/>
        <item m="1" x="1779"/>
        <item m="1" x="2614"/>
        <item m="1" x="254"/>
        <item m="1" x="1384"/>
        <item m="1" x="3064"/>
        <item m="1" x="2615"/>
        <item m="1" x="1856"/>
        <item m="1" x="3116"/>
        <item m="1" x="1070"/>
        <item m="1" x="2356"/>
        <item m="1" x="1576"/>
        <item m="1" x="3086"/>
        <item m="1" x="3322"/>
        <item m="1" x="1233"/>
        <item m="1" x="909"/>
        <item m="1" x="392"/>
        <item m="1" x="1715"/>
        <item m="1" x="1273"/>
        <item m="1" x="2559"/>
        <item m="1" x="3004"/>
        <item m="1" x="1929"/>
        <item m="1" x="526"/>
        <item m="1" x="605"/>
        <item m="1" x="1179"/>
        <item m="1" x="2038"/>
        <item m="1" x="2359"/>
        <item m="1" x="1948"/>
        <item m="1" x="2736"/>
        <item m="1" x="3298"/>
        <item m="1" x="2233"/>
        <item m="1" x="1101"/>
        <item m="1" x="989"/>
        <item m="1" x="1094"/>
        <item m="1" x="2415"/>
        <item m="1" x="766"/>
        <item m="1" x="1994"/>
        <item m="1" x="1346"/>
        <item m="1" x="2379"/>
        <item m="1" x="275"/>
        <item m="1" x="3238"/>
        <item m="1" x="2324"/>
        <item m="1" x="184"/>
        <item m="1" x="1748"/>
        <item m="1" x="1678"/>
        <item m="1" x="1485"/>
        <item m="1" x="2991"/>
        <item m="1" x="2902"/>
        <item m="1" x="509"/>
        <item m="1" x="2885"/>
        <item m="1" x="2479"/>
        <item m="1" x="2355"/>
        <item m="1" x="1784"/>
        <item m="1" x="1097"/>
        <item m="1" x="1406"/>
        <item m="1" x="524"/>
        <item m="1" x="2077"/>
        <item m="1" x="2352"/>
        <item m="1" x="2283"/>
        <item m="1" x="416"/>
        <item m="1" x="508"/>
        <item m="1" x="1123"/>
        <item m="1" x="2253"/>
        <item m="1" x="2997"/>
        <item m="1" x="2086"/>
        <item m="1" x="640"/>
        <item m="1" x="2621"/>
        <item m="1" x="3255"/>
        <item m="1" x="1437"/>
        <item m="1" x="1616"/>
        <item m="1" x="444"/>
        <item m="1" x="2431"/>
        <item m="1" x="3281"/>
        <item m="1" x="1830"/>
        <item m="1" x="2927"/>
        <item m="1" x="2457"/>
        <item m="1" x="1136"/>
        <item m="1" x="988"/>
        <item m="1" x="607"/>
        <item m="1" x="1416"/>
        <item m="1" x="717"/>
        <item m="1" x="487"/>
        <item m="1" x="2267"/>
        <item m="1" x="1879"/>
        <item m="1" x="2323"/>
        <item m="1" x="1086"/>
        <item m="1" x="1222"/>
        <item m="1" x="2507"/>
        <item m="1" x="91"/>
        <item m="1" x="2811"/>
        <item m="1" x="1976"/>
        <item m="1" x="472"/>
        <item m="1" x="1735"/>
        <item m="1" x="3267"/>
        <item m="1" x="3273"/>
        <item m="1" x="2554"/>
        <item m="1" x="343"/>
        <item m="1" x="1311"/>
        <item m="1" x="1874"/>
        <item m="1" x="1441"/>
        <item m="1" x="2746"/>
        <item m="1" x="780"/>
        <item m="1" x="2874"/>
        <item m="1" x="2728"/>
        <item m="1" x="926"/>
        <item m="1" x="3212"/>
        <item m="1" x="2221"/>
        <item m="1" x="2349"/>
        <item m="1" x="3054"/>
        <item m="1" x="3149"/>
        <item m="1" x="3289"/>
        <item m="1" x="1258"/>
        <item m="1" x="1977"/>
        <item m="1" x="2243"/>
        <item m="1" x="2472"/>
        <item m="1" x="2925"/>
        <item m="1" x="1909"/>
        <item m="1" x="2022"/>
        <item m="1" x="910"/>
        <item m="1" x="3077"/>
        <item m="1" x="265"/>
        <item m="1" x="1611"/>
        <item m="1" x="935"/>
        <item m="1" x="627"/>
        <item m="1" x="2011"/>
        <item m="1" x="433"/>
        <item m="1" x="1633"/>
        <item m="1" x="1210"/>
        <item m="1" x="576"/>
        <item m="1" x="2897"/>
        <item m="1" x="600"/>
        <item m="1" x="185"/>
        <item m="1" x="2575"/>
        <item m="1" x="1707"/>
        <item m="1" x="995"/>
        <item m="1" x="798"/>
        <item m="1" x="3081"/>
        <item m="1" x="511"/>
        <item m="1" x="590"/>
        <item m="1" x="3119"/>
        <item m="1" x="2340"/>
        <item m="1" x="2200"/>
        <item m="1" x="289"/>
        <item m="1" x="2140"/>
        <item m="1" x="2766"/>
        <item m="1" x="1150"/>
        <item m="1" x="1508"/>
        <item m="1" x="2781"/>
        <item m="1" x="3061"/>
        <item m="1" x="2087"/>
        <item m="1" x="147"/>
        <item m="1" x="2025"/>
        <item m="1" x="342"/>
        <item m="1" x="2954"/>
        <item m="1" x="1294"/>
        <item m="1" x="2501"/>
        <item m="1" x="1031"/>
        <item m="1" x="401"/>
        <item m="1" x="3038"/>
        <item m="1" x="2298"/>
        <item m="1" x="1888"/>
        <item m="1" x="3103"/>
        <item m="1" x="554"/>
        <item m="1" x="2372"/>
        <item m="1" x="3176"/>
        <item m="1" x="1475"/>
        <item m="1" x="1170"/>
        <item m="1" x="3319"/>
        <item m="1" x="830"/>
        <item m="1" x="3019"/>
        <item m="1" x="1896"/>
        <item m="1" x="2636"/>
        <item m="1" x="212"/>
        <item m="1" x="813"/>
        <item m="1" x="136"/>
        <item m="1" x="2412"/>
        <item m="1" x="2028"/>
        <item m="1" x="890"/>
        <item m="1" x="1249"/>
        <item m="1" x="2776"/>
        <item m="1" x="2002"/>
        <item m="1" x="3263"/>
        <item m="1" x="1538"/>
        <item m="1" x="1217"/>
        <item m="1" x="1299"/>
        <item m="1" x="129"/>
        <item m="1" x="1793"/>
        <item m="1" x="1862"/>
        <item m="1" x="1118"/>
        <item m="1" x="264"/>
        <item m="1" x="437"/>
        <item m="1" x="99"/>
        <item m="1" x="1961"/>
        <item m="1" x="1680"/>
        <item m="1" x="2645"/>
        <item m="1" x="762"/>
        <item m="1" x="1148"/>
        <item m="1" x="1104"/>
        <item m="1" x="1492"/>
        <item m="1" x="1103"/>
        <item m="1" x="2205"/>
        <item m="1" x="2786"/>
        <item m="1" x="3221"/>
        <item m="1" x="2058"/>
        <item m="1" x="2947"/>
        <item m="1" x="2322"/>
        <item m="1" x="944"/>
        <item m="1" x="2239"/>
        <item m="1" x="405"/>
        <item m="1" x="3067"/>
        <item m="1" x="3108"/>
        <item m="1" x="1073"/>
        <item m="1" x="2464"/>
        <item m="1" x="840"/>
        <item m="1" x="904"/>
        <item m="1" x="978"/>
        <item m="1" x="3069"/>
        <item m="1" x="3072"/>
        <item m="1" x="3226"/>
        <item m="1" x="634"/>
        <item m="1" x="340"/>
        <item m="1" x="2526"/>
        <item m="1" x="3090"/>
        <item m="1" x="1471"/>
        <item m="1" x="1381"/>
        <item m="1" x="2400"/>
        <item m="1" x="1818"/>
        <item m="1" x="3010"/>
        <item m="1" x="2018"/>
        <item m="1" x="2358"/>
        <item m="1" x="575"/>
        <item m="1" x="3152"/>
        <item m="1" x="520"/>
        <item m="1" x="139"/>
        <item m="1" x="781"/>
        <item m="1" x="883"/>
        <item m="1" x="1971"/>
        <item m="1" x="2006"/>
        <item m="1" x="1785"/>
        <item m="1" x="2284"/>
        <item x="11"/>
        <item m="1" x="2712"/>
        <item m="1" x="1871"/>
        <item m="1" x="3209"/>
        <item m="1" x="3334"/>
        <item m="1" x="2448"/>
        <item m="1" x="3032"/>
        <item m="1" x="2142"/>
        <item m="1" x="2771"/>
        <item m="1" x="1631"/>
        <item m="1" x="1897"/>
        <item m="1" x="1932"/>
        <item m="1" x="2234"/>
        <item m="1" x="2163"/>
        <item m="1" x="2301"/>
        <item m="1" x="3184"/>
        <item m="1" x="180"/>
        <item m="1" x="208"/>
        <item m="1" x="354"/>
        <item m="1" x="516"/>
        <item m="1" x="3283"/>
        <item m="1" x="1564"/>
        <item m="1" x="2682"/>
        <item m="1" x="877"/>
        <item m="1" x="263"/>
        <item m="1" x="2989"/>
        <item m="1" x="2970"/>
        <item m="1" x="79"/>
        <item m="1" x="3213"/>
        <item m="1" x="3310"/>
        <item m="1" x="2392"/>
        <item m="1" x="1199"/>
        <item m="1" x="2097"/>
        <item m="1" x="2342"/>
        <item m="1" x="3197"/>
        <item m="1" x="1009"/>
        <item m="1" x="1032"/>
        <item m="1" x="1112"/>
        <item m="1" x="1194"/>
        <item m="1" x="1212"/>
        <item m="1" x="2668"/>
        <item m="1" x="2865"/>
        <item m="1" x="3332"/>
        <item m="1" x="2490"/>
        <item m="1" x="2423"/>
        <item m="1" x="2132"/>
        <item m="1" x="1404"/>
        <item m="1" x="2550"/>
        <item m="1" x="351"/>
        <item m="1" x="2793"/>
        <item m="1" x="480"/>
        <item m="1" x="1144"/>
        <item m="1" x="2285"/>
        <item m="1" x="97"/>
        <item m="1" x="2549"/>
        <item m="1" x="230"/>
        <item m="1" x="3246"/>
        <item m="1" x="1313"/>
        <item m="1" x="552"/>
        <item m="1" x="1992"/>
        <item m="1" x="1306"/>
        <item m="1" x="893"/>
        <item m="1" x="1325"/>
        <item m="1" x="1434"/>
        <item m="1" x="279"/>
        <item m="1" x="1545"/>
        <item m="1" x="2014"/>
        <item m="1" x="3048"/>
        <item m="1" x="311"/>
        <item m="1" x="2247"/>
        <item m="1" x="2237"/>
        <item m="1" x="1143"/>
        <item m="1" x="1378"/>
        <item m="1" x="1836"/>
        <item m="1" x="986"/>
        <item m="1" x="972"/>
        <item m="1" x="2210"/>
        <item m="1" x="2013"/>
        <item m="1" x="3105"/>
        <item m="1" x="2135"/>
        <item m="1" x="347"/>
        <item m="1" x="1085"/>
        <item m="1" x="743"/>
        <item m="1" x="168"/>
        <item m="1" x="2369"/>
        <item m="1" x="2141"/>
        <item m="1" x="1607"/>
        <item m="1" x="2571"/>
        <item m="1" x="1736"/>
        <item m="1" x="1621"/>
        <item x="26"/>
        <item m="1" x="1854"/>
        <item m="1" x="3000"/>
        <item m="1" x="1655"/>
        <item m="1" x="1133"/>
        <item m="1" x="723"/>
        <item m="1" x="3142"/>
        <item m="1" x="1840"/>
        <item m="1" x="380"/>
        <item m="1" x="1283"/>
        <item m="1" x="789"/>
        <item m="1" x="1469"/>
        <item m="1" x="1511"/>
        <item m="1" x="1979"/>
        <item m="1" x="271"/>
        <item m="1" x="941"/>
        <item m="1" x="3186"/>
        <item m="1" x="1660"/>
        <item m="1" x="809"/>
        <item m="1" x="1730"/>
        <item m="1" x="2687"/>
        <item m="1" x="3161"/>
        <item m="1" x="1863"/>
        <item m="1" x="2371"/>
        <item m="1" x="3175"/>
        <item m="1" x="1724"/>
        <item m="1" x="3082"/>
        <item m="1" x="1474"/>
        <item m="1" x="2882"/>
        <item m="1" x="1165"/>
        <item m="1" x="660"/>
        <item m="1" x="1967"/>
        <item m="1" x="3256"/>
        <item m="1" x="261"/>
        <item m="1" x="1609"/>
        <item m="1" x="1713"/>
        <item m="1" x="984"/>
        <item m="1" x="2238"/>
        <item m="1" x="3207"/>
        <item m="1" x="2282"/>
        <item m="1" x="1248"/>
        <item m="1" x="3205"/>
        <item m="1" x="1401"/>
        <item m="1" x="2740"/>
        <item m="1" x="657"/>
        <item m="1" x="2065"/>
        <item m="1" x="3053"/>
        <item m="1" x="1722"/>
        <item x="35"/>
        <item m="1" x="2363"/>
        <item m="1" x="3096"/>
        <item m="1" x="1131"/>
        <item m="1" x="1604"/>
        <item m="1" x="1728"/>
        <item m="1" x="2185"/>
        <item m="1" x="2318"/>
        <item m="1" x="229"/>
        <item m="1" x="2779"/>
        <item m="1" x="722"/>
        <item m="1" x="2784"/>
        <item m="1" x="2399"/>
        <item m="1" x="3106"/>
        <item m="1" x="1038"/>
        <item m="1" x="779"/>
        <item m="1" x="1842"/>
        <item m="1" x="614"/>
        <item m="1" x="1632"/>
        <item m="1" x="770"/>
        <item m="1" x="1817"/>
        <item m="1" x="625"/>
        <item m="1" x="2325"/>
        <item m="1" x="959"/>
        <item m="1" x="1243"/>
        <item m="1" x="2244"/>
        <item m="1" x="2195"/>
        <item m="1" x="2596"/>
        <item m="1" x="1814"/>
        <item m="1" x="1415"/>
        <item m="1" x="1442"/>
        <item m="1" x="440"/>
        <item m="1" x="419"/>
        <item m="1" x="2214"/>
        <item m="1" x="1816"/>
        <item m="1" x="3261"/>
        <item m="1" x="2866"/>
        <item m="1" x="1458"/>
        <item m="1" x="1460"/>
        <item m="1" x="2955"/>
        <item m="1" x="1993"/>
        <item m="1" x="1756"/>
        <item m="1" x="183"/>
        <item m="1" x="696"/>
        <item x="69"/>
        <item m="1" x="1016"/>
        <item m="1" x="1859"/>
        <item x="49"/>
        <item x="60"/>
        <item x="54"/>
        <item x="50"/>
        <item m="1" x="295"/>
        <item m="1" x="2933"/>
        <item m="1" x="1916"/>
        <item m="1" x="2582"/>
        <item x="18"/>
        <item m="1" x="1224"/>
        <item m="1" x="2545"/>
        <item m="1" x="96"/>
        <item m="1" x="1527"/>
        <item m="1" x="2330"/>
        <item m="1" x="1402"/>
        <item m="1" x="3146"/>
        <item m="1" x="2973"/>
        <item m="1" x="2346"/>
        <item m="1" x="3254"/>
        <item m="1" x="339"/>
        <item m="1" x="316"/>
        <item m="1" x="2208"/>
        <item m="1" x="562"/>
        <item m="1" x="500"/>
        <item m="1" x="706"/>
        <item m="1" x="1184"/>
        <item m="1" x="1142"/>
        <item m="1" x="2945"/>
        <item m="1" x="2288"/>
        <item m="1" x="1180"/>
        <item m="1" x="75"/>
        <item m="1" x="3292"/>
        <item m="1" x="1625"/>
        <item m="1" x="3111"/>
        <item m="1" x="1240"/>
        <item m="1" x="2797"/>
        <item m="1" x="2104"/>
        <item m="1" x="2542"/>
        <item m="1" x="2094"/>
        <item m="1" x="828"/>
        <item m="1" x="2080"/>
        <item m="1" x="896"/>
        <item m="1" x="189"/>
        <item x="23"/>
        <item m="1" x="86"/>
        <item m="1" x="1918"/>
        <item m="1" x="2967"/>
        <item m="1" x="368"/>
        <item m="1" x="1370"/>
        <item m="1" x="319"/>
        <item m="1" x="624"/>
        <item m="1" x="465"/>
        <item m="1" x="1451"/>
        <item m="1" x="2567"/>
        <item m="1" x="2122"/>
        <item m="1" x="632"/>
        <item m="1" x="1459"/>
        <item m="1" x="1336"/>
        <item m="1" x="2482"/>
        <item m="1" x="1521"/>
        <item m="1" x="1899"/>
        <item m="1" x="1424"/>
        <item m="1" x="1433"/>
        <item m="1" x="1271"/>
        <item m="1" x="3331"/>
        <item m="1" x="2306"/>
        <item m="1" x="1234"/>
        <item m="1" x="2458"/>
        <item m="1" x="1204"/>
        <item m="1" x="228"/>
        <item m="1" x="1453"/>
        <item m="1" x="873"/>
        <item m="1" x="2460"/>
        <item m="1" x="1950"/>
        <item m="1" x="2589"/>
        <item m="1" x="1167"/>
        <item m="1" x="2532"/>
        <item m="1" x="2572"/>
        <item m="1" x="544"/>
        <item m="1" x="3171"/>
        <item m="1" x="2073"/>
        <item m="1" x="155"/>
        <item m="1" x="3007"/>
        <item m="1" x="769"/>
        <item m="1" x="2895"/>
        <item m="1" x="1924"/>
        <item m="1" x="1614"/>
        <item m="1" x="2189"/>
        <item m="1" x="1796"/>
        <item m="1" x="3042"/>
        <item m="1" x="2265"/>
        <item m="1" x="425"/>
        <item m="1" x="832"/>
        <item m="1" x="2380"/>
        <item m="1" x="233"/>
        <item m="1" x="1706"/>
        <item m="1" x="2829"/>
        <item m="1" x="1176"/>
        <item m="1" x="1539"/>
        <item m="1" x="3134"/>
        <item m="1" x="1925"/>
        <item m="1" x="976"/>
        <item m="1" x="845"/>
        <item m="1" x="1975"/>
        <item m="1" x="2103"/>
        <item m="1" x="1162"/>
        <item m="1" x="2665"/>
        <item m="1" x="1357"/>
        <item m="1" x="1690"/>
        <item m="1" x="1877"/>
        <item m="1" x="656"/>
        <item m="1" x="844"/>
        <item m="1" x="847"/>
        <item m="1" x="581"/>
        <item m="1" x="94"/>
        <item m="1" x="2335"/>
        <item x="22"/>
        <item m="1" x="117"/>
        <item m="1" x="1039"/>
        <item m="1" x="215"/>
        <item x="36"/>
        <item m="1" x="2626"/>
        <item m="1" x="585"/>
        <item m="1" x="2531"/>
        <item m="1" x="1516"/>
        <item m="1" x="1082"/>
        <item m="1" x="2060"/>
        <item m="1" x="1171"/>
        <item m="1" x="2816"/>
        <item m="1" x="1705"/>
        <item m="1" x="3162"/>
        <item m="1" x="791"/>
        <item m="1" x="1316"/>
        <item m="1" x="1990"/>
        <item m="1" x="1029"/>
        <item m="1" x="1901"/>
        <item m="1" x="3328"/>
        <item m="1" x="1413"/>
        <item m="1" x="1309"/>
        <item m="1" x="460"/>
        <item m="1" x="2679"/>
        <item m="1" x="655"/>
        <item m="1" x="3277"/>
        <item m="1" x="1250"/>
        <item m="1" x="2023"/>
        <item m="1" x="899"/>
        <item m="1" x="3211"/>
        <item m="1" x="822"/>
        <item m="1" x="2790"/>
        <item m="1" x="930"/>
        <item m="1" x="980"/>
        <item m="1" x="821"/>
        <item m="1" x="673"/>
        <item m="1" x="300"/>
        <item m="1" x="1752"/>
        <item m="1" x="152"/>
        <item m="1" x="1484"/>
        <item m="1" x="2378"/>
        <item m="1" x="1774"/>
        <item m="1" x="2230"/>
        <item m="1" x="1349"/>
        <item m="1" x="2942"/>
        <item m="1" x="1077"/>
        <item m="1" x="2879"/>
        <item m="1" x="2983"/>
        <item m="1" x="387"/>
        <item m="1" x="2032"/>
        <item m="1" x="2782"/>
        <item m="1" x="2191"/>
        <item m="1" x="2147"/>
        <item m="1" x="3104"/>
        <item m="1" x="2063"/>
        <item m="1" x="2461"/>
        <item m="1" x="3269"/>
        <item m="1" x="3164"/>
        <item m="1" x="525"/>
        <item m="1" x="1845"/>
        <item m="1" x="3249"/>
        <item m="1" x="1172"/>
        <item m="1" x="767"/>
        <item m="1" x="1409"/>
        <item m="1" x="2603"/>
        <item m="1" x="2695"/>
        <item m="1" x="710"/>
        <item m="1" x="3214"/>
        <item m="1" x="3170"/>
        <item m="1" x="169"/>
        <item m="1" x="2466"/>
        <item m="1" x="2634"/>
        <item m="1" x="1079"/>
        <item m="1" x="1387"/>
        <item m="1" x="2656"/>
        <item m="1" x="434"/>
        <item m="1" x="3206"/>
        <item m="1" x="2310"/>
        <item m="1" x="2948"/>
        <item m="1" x="2075"/>
        <item m="1" x="2598"/>
        <item m="1" x="1327"/>
        <item m="1" x="391"/>
        <item m="1" x="1405"/>
        <item m="1" x="826"/>
        <item m="1" x="3078"/>
        <item m="1" x="1820"/>
        <item m="1" x="381"/>
        <item m="1" x="101"/>
        <item m="1" x="2411"/>
        <item m="1" x="885"/>
        <item m="1" x="402"/>
        <item m="1" x="2619"/>
        <item m="1" x="850"/>
        <item m="1" x="2913"/>
        <item m="1" x="1566"/>
        <item m="1" x="2180"/>
        <item m="1" x="1213"/>
        <item m="1" x="834"/>
        <item m="1" x="2246"/>
        <item m="1" x="996"/>
        <item m="1" x="2317"/>
        <item m="1" x="2170"/>
        <item m="1" x="2339"/>
        <item m="1" x="260"/>
        <item m="1" x="1439"/>
        <item m="1" x="2071"/>
        <item m="1" x="2365"/>
        <item m="1" x="2939"/>
        <item m="1" x="3136"/>
        <item m="1" x="3075"/>
        <item m="1" x="3098"/>
        <item m="1" x="572"/>
        <item m="1" x="2506"/>
        <item m="1" x="1829"/>
        <item m="1" x="360"/>
        <item m="1" x="2489"/>
        <item m="1" x="481"/>
        <item m="1" x="485"/>
        <item m="1" x="3173"/>
        <item m="1" x="2808"/>
        <item m="1" x="122"/>
        <item m="1" x="1550"/>
        <item m="1" x="1452"/>
        <item m="1" x="385"/>
        <item m="1" x="2525"/>
        <item m="1" x="1227"/>
        <item m="1" x="3313"/>
        <item m="1" x="461"/>
        <item m="1" x="2981"/>
        <item m="1" x="1138"/>
        <item m="1" x="2653"/>
        <item m="1" x="1262"/>
        <item m="1" x="2734"/>
        <item m="1" x="1119"/>
        <item m="1" x="2171"/>
        <item m="1" x="3120"/>
        <item m="1" x="1393"/>
        <item m="1" x="3139"/>
        <item m="1" x="2276"/>
        <item m="1" x="1149"/>
        <item m="1" x="1523"/>
        <item m="1" x="2263"/>
        <item m="1" x="2854"/>
        <item m="1" x="1639"/>
        <item m="1" x="667"/>
        <item m="1" x="2551"/>
        <item m="1" x="829"/>
        <item m="1" x="2586"/>
        <item m="1" x="2694"/>
        <item m="1" x="3233"/>
        <item m="1" x="2788"/>
        <item m="1" x="2173"/>
        <item m="1" x="578"/>
        <item m="1" x="1940"/>
        <item m="1" x="843"/>
        <item m="1" x="1759"/>
        <item m="1" x="3317"/>
        <item m="1" x="742"/>
        <item m="1" x="2405"/>
        <item m="1" x="3020"/>
        <item m="1" x="3044"/>
        <item m="1" x="1828"/>
        <item m="1" x="2726"/>
        <item m="1" x="1275"/>
        <item m="1" x="1356"/>
        <item m="1" x="775"/>
        <item m="1" x="2360"/>
        <item m="1" x="668"/>
        <item m="1" x="1412"/>
        <item m="1" x="383"/>
        <item x="32"/>
        <item x="24"/>
        <item m="1" x="1954"/>
        <item x="0"/>
        <item x="51"/>
        <item m="1" x="2083"/>
        <item x="31"/>
        <item m="1" x="2153"/>
        <item m="1" x="1365"/>
        <item m="1" x="3092"/>
        <item m="1" x="3314"/>
        <item m="1" x="2807"/>
        <item m="1" x="966"/>
        <item m="1" x="1286"/>
        <item m="1" x="2643"/>
        <item m="1" x="859"/>
        <item m="1" x="2091"/>
        <item m="1" x="2432"/>
        <item m="1" x="3189"/>
        <item m="1" x="1135"/>
        <item m="1" x="349"/>
        <item m="1" x="2576"/>
        <item m="1" x="3280"/>
        <item m="1" x="2299"/>
        <item m="1" x="2827"/>
        <item m="1" x="1642"/>
        <item m="1" x="2932"/>
        <item m="1" x="2154"/>
        <item m="1" x="2388"/>
        <item m="1" x="908"/>
        <item m="1" x="2825"/>
        <item m="1" x="1317"/>
        <item m="1" x="1849"/>
        <item m="1" x="404"/>
        <item m="1" x="1731"/>
        <item m="1" x="299"/>
        <item m="1" x="2565"/>
        <item m="1" x="2373"/>
        <item m="1" x="693"/>
        <item m="1" x="2754"/>
        <item m="1" x="3323"/>
        <item m="1" x="1875"/>
        <item m="1" x="450"/>
        <item m="1" x="98"/>
        <item m="1" x="2742"/>
        <item m="1" x="1231"/>
        <item m="1" x="1376"/>
        <item m="1" x="1672"/>
        <item m="1" x="1673"/>
        <item x="6"/>
        <item m="1" x="3243"/>
        <item m="1" x="219"/>
        <item m="1" x="257"/>
        <item m="1" x="350"/>
        <item m="1" x="1045"/>
        <item m="1" x="1024"/>
        <item m="1" x="1053"/>
        <item m="1" x="3024"/>
        <item m="1" x="3028"/>
        <item m="1" x="1065"/>
        <item m="1" x="3041"/>
        <item m="1" x="2250"/>
        <item m="1" x="3089"/>
        <item m="1" x="3109"/>
        <item m="1" x="1959"/>
        <item m="1" x="1263"/>
        <item m="1" x="2635"/>
        <item m="1" x="557"/>
        <item m="1" x="1193"/>
        <item m="1" x="737"/>
        <item m="1" x="2660"/>
        <item m="1" x="1114"/>
        <item m="1" x="3039"/>
        <item m="1" x="2429"/>
        <item m="1" x="1440"/>
        <item m="1" x="598"/>
        <item m="1" x="2204"/>
        <item m="1" x="1679"/>
        <item m="1" x="3153"/>
        <item m="1" x="1488"/>
        <item m="1" x="236"/>
        <item m="1" x="2455"/>
        <item m="1" x="547"/>
        <item m="1" x="739"/>
        <item m="1" x="2357"/>
        <item m="1" x="2613"/>
        <item m="1" x="2750"/>
        <item m="1" x="410"/>
        <item m="1" x="1023"/>
        <item m="1" x="309"/>
        <item m="1" x="2092"/>
        <item m="1" x="689"/>
        <item m="1" x="100"/>
        <item m="1" x="2946"/>
        <item m="1" x="1465"/>
        <item m="1" x="1712"/>
        <item m="1" x="1467"/>
        <item m="1" x="1870"/>
        <item m="1" x="679"/>
        <item m="1" x="1436"/>
        <item m="1" x="2418"/>
        <item m="1" x="2907"/>
        <item m="1" x="1812"/>
        <item m="1" x="2331"/>
        <item m="1" x="2980"/>
        <item m="1" x="2055"/>
        <item m="1" x="857"/>
        <item m="1" x="2313"/>
        <item m="1" x="796"/>
        <item m="1" x="107"/>
        <item m="1" x="790"/>
        <item m="1" x="1922"/>
        <item m="1" x="1938"/>
        <item m="1" x="1139"/>
        <item m="1" x="548"/>
        <item m="1" x="2915"/>
        <item m="1" x="1427"/>
        <item m="1" x="1726"/>
        <item m="1" x="1268"/>
        <item m="1" x="898"/>
        <item m="1" x="2047"/>
        <item m="1" x="1080"/>
        <item m="1" x="1955"/>
        <item m="1" x="1619"/>
        <item m="1" x="1589"/>
        <item m="1" x="2785"/>
        <item m="1" x="1868"/>
        <item m="1" x="993"/>
        <item m="1" x="2833"/>
        <item m="1" x="1737"/>
        <item m="1" x="771"/>
        <item m="1" x="2190"/>
        <item m="1" x="2593"/>
        <item m="1" x="3252"/>
        <item m="1" x="2513"/>
        <item m="1" x="510"/>
        <item m="1" x="878"/>
        <item m="1" x="1242"/>
        <item m="1" x="394"/>
        <item m="1" x="483"/>
        <item m="1" x="281"/>
        <item m="1" x="2745"/>
        <item m="1" x="1742"/>
        <item m="1" x="2256"/>
        <item m="1" x="2518"/>
        <item m="1" x="2515"/>
        <item m="1" x="691"/>
        <item m="1" x="3168"/>
        <item m="1" x="1691"/>
        <item m="1" x="580"/>
        <item m="1" x="2417"/>
        <item m="1" x="307"/>
        <item m="1" x="2209"/>
        <item m="1" x="1372"/>
        <item m="1" x="2725"/>
        <item m="1" x="1431"/>
        <item m="1" x="1192"/>
        <item m="1" x="198"/>
        <item m="1" x="1833"/>
        <item m="1" x="1100"/>
        <item m="1" x="3230"/>
        <item m="1" x="1055"/>
        <item m="1" x="709"/>
        <item m="1" x="1152"/>
        <item m="1" x="2778"/>
        <item m="1" x="1005"/>
        <item m="1" x="2248"/>
        <item m="1" x="2527"/>
        <item m="1" x="1423"/>
        <item m="1" x="2000"/>
        <item m="1" x="1727"/>
        <item m="1" x="2367"/>
        <item m="1" x="2382"/>
        <item m="1" x="435"/>
        <item m="1" x="2226"/>
        <item m="1" x="783"/>
        <item m="1" x="2753"/>
        <item m="1" x="2777"/>
        <item m="1" x="3285"/>
        <item m="1" x="248"/>
        <item m="1" x="1583"/>
        <item m="1" x="2333"/>
        <item m="1" x="1322"/>
        <item m="1" x="2805"/>
        <item m="1" x="2872"/>
        <item m="1" x="77"/>
        <item m="1" x="1280"/>
        <item m="1" x="1581"/>
        <item m="1" x="761"/>
        <item m="1" x="348"/>
        <item m="1" x="436"/>
        <item m="1" x="807"/>
        <item m="1" x="227"/>
        <item m="1" x="3040"/>
        <item m="1" x="292"/>
        <item m="1" x="2188"/>
        <item m="1" x="1847"/>
        <item m="1" x="1729"/>
        <item m="1" x="543"/>
        <item m="1" x="849"/>
        <item m="1" x="203"/>
        <item m="1" x="2995"/>
        <item m="1" x="159"/>
        <item m="1" x="1970"/>
        <item m="1" x="426"/>
        <item m="1" x="2772"/>
        <item m="1" x="3235"/>
        <item m="1" x="1974"/>
        <item m="1" x="817"/>
        <item m="1" x="2623"/>
        <item m="1" x="3057"/>
        <item m="1" x="2484"/>
        <item m="1" x="806"/>
        <item m="1" x="3318"/>
        <item m="1" x="2393"/>
        <item m="1" x="2043"/>
        <item m="1" x="92"/>
        <item m="1" x="3163"/>
        <item m="1" x="1525"/>
        <item m="1" x="1153"/>
        <item m="1" x="1749"/>
        <item m="1" x="2641"/>
        <item m="1" x="1591"/>
        <item m="1" x="1989"/>
        <item m="1" x="420"/>
        <item m="1" x="2477"/>
        <item m="1" x="2493"/>
        <item m="1" x="490"/>
        <item m="1" x="193"/>
        <item m="1" x="1418"/>
        <item m="1" x="1923"/>
        <item m="1" x="1946"/>
        <item m="1" x="2240"/>
        <item m="1" x="2161"/>
        <item m="1" x="2883"/>
        <item m="1" x="2452"/>
        <item m="1" x="3107"/>
        <item m="1" x="2760"/>
        <item m="1" x="712"/>
        <item m="1" x="1264"/>
        <item m="1" x="2402"/>
        <item m="1" x="3125"/>
        <item m="1" x="1574"/>
        <item m="1" x="1668"/>
        <item m="1" x="2278"/>
        <item m="1" x="994"/>
        <item m="1" x="2459"/>
        <item m="1" x="2855"/>
        <item m="1" x="811"/>
        <item m="1" x="108"/>
        <item m="1" x="3127"/>
        <item m="1" x="1978"/>
        <item m="1" x="2839"/>
        <item m="1" x="137"/>
        <item m="1" x="1113"/>
        <item m="1" x="2123"/>
        <item m="1" x="2061"/>
        <item m="1" x="116"/>
        <item m="1" x="1111"/>
        <item m="1" x="1608"/>
        <item m="1" x="477"/>
        <item m="1" x="150"/>
        <item m="1" x="2654"/>
        <item m="1" x="1585"/>
        <item m="1" x="3025"/>
        <item m="1" x="1615"/>
        <item m="1" x="1445"/>
        <item m="1" x="2112"/>
        <item m="1" x="502"/>
        <item m="1" x="1575"/>
        <item m="1" x="1733"/>
        <item m="1" x="332"/>
        <item m="1" x="2093"/>
        <item m="1" x="501"/>
        <item m="1" x="3074"/>
        <item m="1" x="2202"/>
        <item m="1" x="496"/>
        <item m="1" x="267"/>
        <item m="1" x="3262"/>
        <item m="1" x="2548"/>
        <item m="1" x="2961"/>
        <item m="1" x="1996"/>
        <item m="1" x="239"/>
        <item m="1" x="1040"/>
        <item m="1" x="2386"/>
        <item m="1" x="579"/>
        <item m="1" x="1565"/>
        <item m="1" x="1061"/>
        <item m="1" x="377"/>
        <item m="1" x="1822"/>
        <item m="1" x="318"/>
        <item m="1" x="2929"/>
        <item m="1" x="3293"/>
        <item m="1" x="3202"/>
        <item m="1" x="546"/>
        <item m="1" x="2869"/>
        <item m="1" x="3216"/>
        <item m="1" x="293"/>
        <item m="1" x="1130"/>
        <item m="1" x="199"/>
        <item m="1" x="2799"/>
        <item m="1" x="2693"/>
        <item m="1" x="1744"/>
        <item m="1" x="382"/>
        <item m="1" x="2676"/>
        <item m="1" x="2748"/>
        <item m="1" x="884"/>
        <item m="1" x="892"/>
        <item m="1" x="400"/>
        <item m="1" x="3244"/>
        <item m="1" x="905"/>
        <item m="1" x="1912"/>
        <item m="1" x="269"/>
        <item m="1" x="1754"/>
        <item m="1" x="2320"/>
        <item m="1" x="2347"/>
        <item m="1" x="608"/>
        <item m="1" x="2295"/>
        <item m="1" x="570"/>
        <item m="1" x="1710"/>
        <item m="1" x="2767"/>
        <item m="1" x="304"/>
        <item m="1" x="186"/>
        <item m="1" x="639"/>
        <item m="1" x="541"/>
        <item m="1" x="3047"/>
        <item m="1" x="158"/>
        <item m="1" x="2268"/>
        <item m="1" x="2661"/>
        <item m="1" x="2662"/>
        <item m="1" x="629"/>
        <item m="1" x="1141"/>
        <item m="1" x="1088"/>
        <item m="1" x="1496"/>
        <item m="1" x="688"/>
        <item m="1" x="903"/>
        <item m="1" x="3204"/>
        <item m="1" x="310"/>
        <item m="1" x="1595"/>
        <item m="1" x="765"/>
        <item m="1" x="1056"/>
        <item m="1" x="1298"/>
        <item m="1" x="1663"/>
        <item m="1" x="2297"/>
        <item m="1" x="919"/>
        <item m="1" x="3286"/>
        <item m="1" x="3240"/>
        <item m="1" x="1601"/>
        <item m="1" x="3321"/>
        <item m="1" x="1183"/>
        <item m="1" x="82"/>
        <item m="1" x="2944"/>
        <item m="1" x="2416"/>
        <item m="1" x="1810"/>
        <item m="1" x="3329"/>
        <item m="1" x="2453"/>
        <item m="1" x="1771"/>
        <item m="1" x="2900"/>
        <item m="1" x="2424"/>
        <item m="1" x="335"/>
        <item m="1" x="179"/>
        <item m="1" x="462"/>
        <item m="1" x="2059"/>
        <item m="1" x="170"/>
        <item m="1" x="1455"/>
        <item m="1" x="1685"/>
        <item m="1" x="161"/>
        <item m="1" x="2350"/>
        <item m="1" x="2680"/>
        <item m="1" x="253"/>
        <item m="1" x="2646"/>
        <item m="1" x="3001"/>
        <item m="1" x="1648"/>
        <item m="1" x="1266"/>
        <item m="1" x="2683"/>
        <item m="1" x="1819"/>
        <item m="1" x="1926"/>
        <item m="1" x="3017"/>
        <item m="1" x="942"/>
        <item m="1" x="1876"/>
        <item m="1" x="784"/>
        <item m="1" x="1107"/>
        <item m="1" x="1312"/>
        <item m="1" x="2926"/>
        <item m="1" x="2663"/>
        <item m="1" x="654"/>
        <item m="1" x="190"/>
        <item m="1" x="1293"/>
        <item m="1" x="3099"/>
        <item m="1" x="3311"/>
        <item m="1" x="411"/>
        <item m="1" x="1443"/>
        <item m="1" x="1374"/>
        <item m="1" x="750"/>
        <item m="1" x="1933"/>
        <item m="1" x="2870"/>
        <item m="1" x="3094"/>
        <item m="1" x="2521"/>
        <item m="1" x="1074"/>
        <item m="1" x="934"/>
        <item m="1" x="2972"/>
        <item m="1" x="3033"/>
        <item m="1" x="143"/>
        <item m="1" x="390"/>
        <item m="1" x="287"/>
        <item m="1" x="153"/>
        <item m="1" x="2875"/>
        <item m="1" x="1361"/>
        <item m="1" x="214"/>
        <item m="1" x="1391"/>
        <item m="1" x="636"/>
        <item m="1" x="3008"/>
        <item m="1" x="2034"/>
        <item m="1" x="325"/>
        <item m="1" x="609"/>
        <item m="1" x="3219"/>
        <item m="1" x="2503"/>
        <item m="1" x="1244"/>
        <item m="1" x="708"/>
        <item m="1" x="2053"/>
        <item m="1" x="446"/>
        <item m="1" x="1462"/>
        <item m="1" x="3253"/>
        <item m="1" x="1768"/>
        <item m="1" x="1937"/>
        <item m="1" x="126"/>
        <item m="1" x="2179"/>
        <item m="1" x="2625"/>
        <item m="1" x="2800"/>
        <item m="1" x="841"/>
        <item m="1" x="2255"/>
        <item m="1" x="2079"/>
        <item m="1" x="2428"/>
        <item m="1" x="344"/>
        <item m="1" x="1324"/>
        <item m="1" x="971"/>
        <item m="1" x="1873"/>
        <item m="1" x="2971"/>
        <item m="1" x="374"/>
        <item m="1" x="2312"/>
        <item m="1" x="1062"/>
        <item m="1" x="3144"/>
        <item m="1" x="2167"/>
        <item m="1" x="2069"/>
        <item m="1" x="901"/>
        <item m="1" x="2176"/>
        <item m="1" x="658"/>
        <item m="1" x="1279"/>
        <item m="1" x="721"/>
        <item m="1" x="3190"/>
        <item m="1" x="3227"/>
        <item m="1" x="422"/>
        <item m="1" x="111"/>
        <item m="1" x="2403"/>
        <item m="1" x="1235"/>
        <item m="1" x="1307"/>
        <item m="1" x="1246"/>
        <item m="1" x="1958"/>
        <item m="1" x="192"/>
        <item m="1" x="2217"/>
        <item m="1" x="1807"/>
        <item m="1" x="1232"/>
        <item m="1" x="3021"/>
        <item m="1" x="846"/>
        <item m="1" x="334"/>
        <item m="1" x="1203"/>
        <item m="1" x="967"/>
        <item m="1" x="2890"/>
        <item m="1" x="1209"/>
        <item m="1" x="2920"/>
        <item m="1" x="2552"/>
        <item m="1" x="1463"/>
        <item m="1" x="1261"/>
        <item m="1" x="1643"/>
        <item m="1" x="681"/>
        <item m="1" x="2968"/>
        <item m="1" x="1711"/>
        <item m="1" x="683"/>
        <item m="1" x="530"/>
        <item m="1" x="172"/>
        <item m="1" x="2272"/>
        <item m="1" x="2741"/>
        <item m="1" x="341"/>
        <item m="1" x="2476"/>
        <item m="1" x="2859"/>
        <item m="1" x="1291"/>
        <item m="1" x="1758"/>
        <item m="1" x="3330"/>
        <item m="1" x="1360"/>
        <item m="1" x="2958"/>
        <item m="1" x="2699"/>
        <item m="1" x="3237"/>
        <item m="1" x="1936"/>
        <item m="1" x="1695"/>
        <item m="1" x="1886"/>
        <item m="1" x="2194"/>
        <item m="1" x="327"/>
        <item m="1" x="621"/>
        <item m="1" x="912"/>
        <item m="1" x="778"/>
        <item m="1" x="940"/>
        <item m="1" x="148"/>
        <item m="1" x="2674"/>
        <item m="1" x="1596"/>
        <item m="1" x="1885"/>
        <item m="1" x="1363"/>
        <item m="1" x="3335"/>
        <item m="1" x="1732"/>
        <item m="1" x="727"/>
        <item m="1" x="3036"/>
        <item m="1" x="2974"/>
        <item m="1" x="2724"/>
        <item m="1" x="3200"/>
        <item m="1" x="2719"/>
        <item m="1" x="2181"/>
        <item m="1" x="788"/>
        <item m="1" x="76"/>
        <item m="1" x="2764"/>
        <item m="1" x="2962"/>
        <item m="1" x="615"/>
        <item m="1" x="355"/>
        <item m="1" x="1269"/>
        <item m="1" x="3258"/>
        <item m="1" x="2249"/>
        <item m="1" x="795"/>
        <item m="1" x="2705"/>
        <item m="1" x="399"/>
        <item m="1" x="2512"/>
        <item m="1" x="3011"/>
        <item m="1" x="1169"/>
        <item m="1" x="1473"/>
        <item m="1" x="3055"/>
        <item m="1" x="216"/>
        <item m="1" x="954"/>
        <item m="1" x="1533"/>
        <item m="1" x="2940"/>
        <item m="1" x="3193"/>
        <item m="1" x="2878"/>
        <item m="1" x="3185"/>
        <item m="1" x="2155"/>
        <item m="1" x="2835"/>
        <item m="1" x="2650"/>
        <item m="1" x="2612"/>
        <item m="1" x="1002"/>
        <item m="1" x="1560"/>
        <item m="1" x="445"/>
        <item m="1" x="1407"/>
        <item m="1" x="2236"/>
        <item m="1" x="574"/>
        <item m="1" x="151"/>
        <item m="1" x="676"/>
        <item m="1" x="372"/>
        <item m="1" x="2706"/>
        <item m="1" x="3225"/>
        <item m="1" x="521"/>
        <item m="1" x="2212"/>
        <item m="1" x="266"/>
        <item m="1" x="2733"/>
        <item m="1" x="3333"/>
        <item m="1" x="875"/>
        <item m="1" x="2353"/>
        <item m="1" x="2837"/>
        <item m="1" x="2166"/>
        <item m="1" x="1773"/>
        <item m="1" x="2664"/>
        <item m="1" x="2042"/>
        <item m="1" x="1287"/>
        <item m="1" x="498"/>
        <item m="1" x="2125"/>
        <item m="1" x="1076"/>
        <item m="1" x="175"/>
        <item m="1" x="2817"/>
        <item m="1" x="303"/>
        <item m="1" x="1083"/>
        <item m="1" x="2826"/>
        <item m="1" x="2716"/>
        <item m="1" x="314"/>
        <item m="1" x="231"/>
        <item m="1" x="3306"/>
        <item m="1" x="2638"/>
        <item m="1" x="2148"/>
        <item m="1" x="1122"/>
        <item m="1" x="3290"/>
        <item m="1" x="424"/>
        <item m="1" x="2316"/>
        <item m="1" x="1476"/>
        <item m="1" x="1115"/>
        <item m="1" x="963"/>
        <item m="1" x="2815"/>
        <item m="1" x="641"/>
        <item m="1" x="2686"/>
        <item m="1" x="2658"/>
        <item m="1" x="1804"/>
        <item m="1" x="1509"/>
        <item m="1" x="730"/>
        <item m="1" x="3276"/>
        <item m="1" x="1344"/>
        <item m="1" x="1041"/>
        <item m="1" x="2600"/>
        <item m="1" x="1048"/>
        <item m="1" x="2819"/>
        <item m="1" x="1354"/>
        <item m="1" x="2020"/>
        <item m="1" x="1952"/>
        <item m="1" x="1116"/>
        <item m="1" x="1315"/>
        <item m="1" x="1109"/>
        <item m="1" x="262"/>
        <item m="1" x="3114"/>
        <item m="1" x="3132"/>
        <item m="1" x="3251"/>
        <item m="1" x="2919"/>
        <item m="1" x="2164"/>
        <item m="1" x="1650"/>
        <item m="1" x="2314"/>
        <item m="1" x="946"/>
        <item m="1" x="982"/>
        <item m="1" x="145"/>
        <item m="1" x="378"/>
        <item m="1" x="3218"/>
        <item m="1" x="1066"/>
        <item m="1" x="2160"/>
        <item m="1" x="2471"/>
        <item m="1" x="313"/>
        <item m="1" x="1791"/>
        <item m="1" x="3087"/>
        <item m="1" x="2934"/>
        <item m="1" x="1699"/>
        <item m="1" x="1513"/>
        <item m="1" x="735"/>
        <item m="1" x="1799"/>
        <item m="1" x="1281"/>
        <item m="1" x="2050"/>
        <item m="1" x="1128"/>
        <item m="1" x="2877"/>
        <item m="1" x="697"/>
        <item m="1" x="929"/>
        <item m="1" x="2410"/>
        <item m="1" x="3245"/>
        <item m="1" x="1035"/>
        <item m="1" x="2888"/>
        <item m="1" x="1174"/>
        <item m="1" x="2863"/>
        <item m="1" x="1288"/>
        <item m="1" x="2723"/>
        <item m="1" x="1823"/>
        <item m="1" x="1034"/>
        <item m="1" x="1853"/>
        <item m="1" x="964"/>
        <item m="1" x="1195"/>
        <item m="1" x="2620"/>
        <item m="1" x="2345"/>
        <item m="1" x="2467"/>
        <item m="1" x="1968"/>
        <item m="1" x="2401"/>
        <item m="1" x="2126"/>
        <item m="1" x="1274"/>
        <item m="1" x="2903"/>
        <item m="1" x="3159"/>
        <item m="1" x="2677"/>
        <item m="1" x="825"/>
        <item m="1" x="241"/>
        <item m="1" x="1013"/>
        <item m="1" x="154"/>
        <item m="1" x="71"/>
      </items>
      <extLst>
        <ext xmlns:x14="http://schemas.microsoft.com/office/spreadsheetml/2009/9/main" uri="{2946ED86-A175-432a-8AC1-64E0C546D7DE}">
          <x14:pivotField fillDownLabels="1"/>
        </ext>
      </extLst>
    </pivotField>
    <pivotField compact="0" outline="0" showAll="0" defaultSubtotal="0">
      <items count="3">
        <item x="1"/>
        <item x="0"/>
        <item m="1" x="2"/>
      </items>
      <extLst>
        <ext xmlns:x14="http://schemas.microsoft.com/office/spreadsheetml/2009/9/main" uri="{2946ED86-A175-432a-8AC1-64E0C546D7DE}">
          <x14:pivotField fillDownLabels="1"/>
        </ext>
      </extLst>
    </pivotField>
    <pivotField axis="axisRow" compact="0" outline="0" showAll="0" insertBlankRow="1" sortType="ascending" defaultSubtotal="0">
      <items count="93">
        <item x="4"/>
        <item x="2"/>
        <item x="3"/>
        <item x="15"/>
        <item m="1" x="86"/>
        <item m="1" x="73"/>
        <item x="27"/>
        <item x="39"/>
        <item x="29"/>
        <item x="64"/>
        <item m="1" x="89"/>
        <item x="10"/>
        <item x="40"/>
        <item x="61"/>
        <item x="56"/>
        <item x="53"/>
        <item m="1" x="77"/>
        <item m="1" x="66"/>
        <item x="28"/>
        <item m="1" x="72"/>
        <item m="1" x="79"/>
        <item x="47"/>
        <item x="5"/>
        <item m="1" x="80"/>
        <item x="48"/>
        <item x="41"/>
        <item m="1" x="78"/>
        <item x="30"/>
        <item x="38"/>
        <item x="42"/>
        <item x="58"/>
        <item x="59"/>
        <item x="60"/>
        <item x="16"/>
        <item m="1" x="83"/>
        <item x="14"/>
        <item x="8"/>
        <item x="63"/>
        <item x="52"/>
        <item m="1" x="69"/>
        <item x="43"/>
        <item x="44"/>
        <item m="1" x="75"/>
        <item x="45"/>
        <item x="46"/>
        <item m="1" x="91"/>
        <item x="13"/>
        <item x="25"/>
        <item x="62"/>
        <item x="9"/>
        <item m="1" x="81"/>
        <item m="1" x="82"/>
        <item m="1" x="68"/>
        <item x="1"/>
        <item m="1" x="90"/>
        <item m="1" x="88"/>
        <item m="1" x="70"/>
        <item x="34"/>
        <item m="1" x="84"/>
        <item x="7"/>
        <item x="17"/>
        <item x="55"/>
        <item m="1" x="67"/>
        <item x="33"/>
        <item x="12"/>
        <item m="1" x="71"/>
        <item x="37"/>
        <item x="19"/>
        <item x="20"/>
        <item x="21"/>
        <item m="1" x="92"/>
        <item x="11"/>
        <item x="26"/>
        <item x="35"/>
        <item m="1" x="74"/>
        <item x="65"/>
        <item m="1" x="76"/>
        <item x="49"/>
        <item x="57"/>
        <item x="54"/>
        <item x="50"/>
        <item x="18"/>
        <item x="23"/>
        <item x="22"/>
        <item x="36"/>
        <item x="32"/>
        <item x="24"/>
        <item m="1" x="87"/>
        <item x="0"/>
        <item x="51"/>
        <item x="31"/>
        <item m="1" x="85"/>
        <item x="6"/>
      </items>
    </pivotField>
    <pivotField compact="0" outline="0" showAll="0" defaultSubtotal="0"/>
    <pivotField axis="axisPage" compact="0" outline="0" multipleItemSelectionAllowed="1" showAll="0" defaultSubtotal="0">
      <items count="13">
        <item h="1" x="3"/>
        <item x="2"/>
        <item h="1" x="9"/>
        <item h="1" m="1" x="12"/>
        <item h="1" x="0"/>
        <item h="1" x="5"/>
        <item h="1" m="1" x="11"/>
        <item h="1" x="10"/>
        <item h="1" x="4"/>
        <item h="1" x="6"/>
        <item h="1" x="1"/>
        <item h="1" x="8"/>
        <item h="1" x="7"/>
      </items>
    </pivotField>
    <pivotField compact="0" outline="0" showAll="0" defaultSubtotal="0"/>
    <pivotField compact="0" outline="0" showAll="0" defaultSubtotal="0"/>
  </pivotFields>
  <rowFields count="3">
    <field x="47"/>
    <field x="3"/>
    <field x="35"/>
  </rowFields>
  <rowItems count="66">
    <i>
      <x/>
      <x v="1"/>
      <x v="5"/>
    </i>
    <i r="1">
      <x v="116"/>
      <x v="5"/>
    </i>
    <i t="blank">
      <x/>
    </i>
    <i>
      <x v="1"/>
      <x v="1"/>
      <x v="5"/>
    </i>
    <i r="1">
      <x v="116"/>
      <x v="5"/>
    </i>
    <i t="blank">
      <x v="1"/>
    </i>
    <i>
      <x v="2"/>
      <x v="1"/>
      <x v="5"/>
    </i>
    <i r="1">
      <x v="116"/>
      <x v="5"/>
    </i>
    <i t="blank">
      <x v="2"/>
    </i>
    <i>
      <x v="7"/>
      <x v="96"/>
      <x v="25"/>
    </i>
    <i r="1">
      <x v="121"/>
      <x v="5"/>
    </i>
    <i r="1">
      <x v="237"/>
      <x v="15"/>
    </i>
    <i t="blank">
      <x v="7"/>
    </i>
    <i>
      <x v="8"/>
      <x v="49"/>
      <x v="15"/>
    </i>
    <i r="1">
      <x v="50"/>
      <x v="15"/>
    </i>
    <i r="1">
      <x v="75"/>
      <x v="15"/>
    </i>
    <i r="1">
      <x v="83"/>
      <x v="15"/>
    </i>
    <i r="1">
      <x v="95"/>
      <x v="15"/>
    </i>
    <i r="1">
      <x v="129"/>
      <x v="5"/>
    </i>
    <i r="1">
      <x v="146"/>
      <x v="15"/>
    </i>
    <i r="1">
      <x v="161"/>
      <x v="5"/>
    </i>
    <i r="1">
      <x v="162"/>
      <x v="15"/>
    </i>
    <i r="1">
      <x v="174"/>
      <x v="15"/>
    </i>
    <i r="1">
      <x v="186"/>
      <x v="15"/>
    </i>
    <i r="1">
      <x v="203"/>
      <x v="15"/>
    </i>
    <i r="1">
      <x v="239"/>
      <x v="5"/>
    </i>
    <i r="1">
      <x v="258"/>
      <x v="5"/>
    </i>
    <i r="1">
      <x v="278"/>
      <x v="5"/>
    </i>
    <i r="1">
      <x v="404"/>
      <x v="5"/>
    </i>
    <i t="blank">
      <x v="8"/>
    </i>
    <i>
      <x v="9"/>
      <x v="175"/>
      <x v="15"/>
    </i>
    <i t="blank">
      <x v="9"/>
    </i>
    <i>
      <x v="11"/>
      <x v="10"/>
      <x v="25"/>
    </i>
    <i r="1">
      <x v="64"/>
      <x v="25"/>
    </i>
    <i t="blank">
      <x v="11"/>
    </i>
    <i>
      <x v="12"/>
      <x v="96"/>
      <x v="25"/>
    </i>
    <i t="blank">
      <x v="12"/>
    </i>
    <i>
      <x v="25"/>
      <x v="96"/>
      <x v="25"/>
    </i>
    <i r="1">
      <x v="146"/>
      <x v="15"/>
    </i>
    <i t="blank">
      <x v="25"/>
    </i>
    <i>
      <x v="27"/>
      <x v="49"/>
      <x v="15"/>
    </i>
    <i r="1">
      <x v="50"/>
      <x v="15"/>
    </i>
    <i r="1">
      <x v="83"/>
      <x v="15"/>
    </i>
    <i r="1">
      <x v="117"/>
      <x v="15"/>
    </i>
    <i r="1">
      <x v="146"/>
      <x v="15"/>
    </i>
    <i t="blank">
      <x v="27"/>
    </i>
    <i>
      <x v="28"/>
      <x v="64"/>
      <x v="25"/>
    </i>
    <i t="blank">
      <x v="28"/>
    </i>
    <i>
      <x v="29"/>
      <x v="96"/>
      <x v="25"/>
    </i>
    <i t="blank">
      <x v="29"/>
    </i>
    <i>
      <x v="33"/>
      <x v="13"/>
      <x v="5"/>
    </i>
    <i r="1">
      <x v="51"/>
      <x v="5"/>
    </i>
    <i r="1">
      <x v="100"/>
      <x v="5"/>
    </i>
    <i r="1">
      <x v="114"/>
      <x v="5"/>
    </i>
    <i t="blank">
      <x v="33"/>
    </i>
    <i>
      <x v="36"/>
      <x v="4"/>
      <x v="25"/>
    </i>
    <i r="1">
      <x v="23"/>
      <x v="25"/>
    </i>
    <i r="1">
      <x v="38"/>
      <x v="25"/>
    </i>
    <i t="blank">
      <x v="36"/>
    </i>
    <i>
      <x v="40"/>
      <x v="96"/>
      <x v="25"/>
    </i>
    <i t="blank">
      <x v="40"/>
    </i>
    <i>
      <x v="47"/>
      <x v="26"/>
      <x v="15"/>
    </i>
    <i r="1">
      <x v="49"/>
      <x v="15"/>
    </i>
    <i r="1">
      <x v="50"/>
      <x v="15"/>
    </i>
    <i r="1">
      <x v="186"/>
      <x v="15"/>
    </i>
    <i t="blank">
      <x v="47"/>
    </i>
  </rowItems>
  <colItems count="1">
    <i/>
  </colItems>
  <pageFields count="1">
    <pageField fld="49" hier="-1"/>
  </pageFields>
  <dataFields count="1">
    <dataField name="Average of UnitPrice" fld="38" subtotal="average" baseField="47" baseItem="3" numFmtId="39"/>
  </dataFields>
  <formats count="219">
    <format dxfId="273">
      <pivotArea outline="0" collapsedLevelsAreSubtotals="1" fieldPosition="0"/>
    </format>
    <format dxfId="272">
      <pivotArea type="topRight" dataOnly="0" labelOnly="1" outline="0" fieldPosition="0"/>
    </format>
    <format dxfId="271">
      <pivotArea dataOnly="0" labelOnly="1" grandRow="1" outline="0" offset="A256" fieldPosition="0"/>
    </format>
    <format dxfId="270">
      <pivotArea type="all" dataOnly="0" outline="0" fieldPosition="0"/>
    </format>
    <format dxfId="269">
      <pivotArea field="7" type="button" dataOnly="0" labelOnly="1" outline="0"/>
    </format>
    <format dxfId="268">
      <pivotArea field="3" type="button" dataOnly="0" labelOnly="1" outline="0" axis="axisRow" fieldPosition="1"/>
    </format>
    <format dxfId="267">
      <pivotArea field="1" type="button" dataOnly="0" labelOnly="1" outline="0"/>
    </format>
    <format dxfId="266">
      <pivotArea field="45" type="button" dataOnly="0" labelOnly="1" outline="0"/>
    </format>
    <format dxfId="265">
      <pivotArea field="3" type="button" dataOnly="0" labelOnly="1" outline="0" axis="axisRow" fieldPosition="1"/>
    </format>
    <format dxfId="264">
      <pivotArea field="1" type="button" dataOnly="0" labelOnly="1" outline="0"/>
    </format>
    <format dxfId="263">
      <pivotArea field="45" type="button" dataOnly="0" labelOnly="1" outline="0"/>
    </format>
    <format dxfId="262">
      <pivotArea field="3" type="button" dataOnly="0" labelOnly="1" outline="0" axis="axisRow" fieldPosition="1"/>
    </format>
    <format dxfId="261">
      <pivotArea field="7" type="button" dataOnly="0" labelOnly="1" outline="0"/>
    </format>
    <format dxfId="260">
      <pivotArea field="1" type="button" dataOnly="0" labelOnly="1" outline="0"/>
    </format>
    <format dxfId="259">
      <pivotArea field="45" type="button" dataOnly="0" labelOnly="1" outline="0"/>
    </format>
    <format dxfId="258">
      <pivotArea field="3" type="button" dataOnly="0" labelOnly="1" outline="0" axis="axisRow" fieldPosition="1"/>
    </format>
    <format dxfId="257">
      <pivotArea field="7" type="button" dataOnly="0" labelOnly="1" outline="0"/>
    </format>
    <format dxfId="256">
      <pivotArea field="1" type="button" dataOnly="0" labelOnly="1" outline="0"/>
    </format>
    <format dxfId="255">
      <pivotArea field="45" type="button" dataOnly="0" labelOnly="1" outline="0"/>
    </format>
    <format dxfId="254">
      <pivotArea field="3" type="button" dataOnly="0" labelOnly="1" outline="0" axis="axisRow" fieldPosition="1"/>
    </format>
    <format dxfId="253">
      <pivotArea field="7" type="button" dataOnly="0" labelOnly="1" outline="0"/>
    </format>
    <format dxfId="252">
      <pivotArea field="1" type="button" dataOnly="0" labelOnly="1" outline="0"/>
    </format>
    <format dxfId="251">
      <pivotArea field="45" type="button" dataOnly="0" labelOnly="1" outline="0"/>
    </format>
    <format dxfId="250">
      <pivotArea field="3" type="button" dataOnly="0" labelOnly="1" outline="0" axis="axisRow" fieldPosition="1"/>
    </format>
    <format dxfId="249">
      <pivotArea field="7" type="button" dataOnly="0" labelOnly="1" outline="0"/>
    </format>
    <format dxfId="248">
      <pivotArea field="1" type="button" dataOnly="0" labelOnly="1" outline="0"/>
    </format>
    <format dxfId="247">
      <pivotArea field="45" type="button" dataOnly="0" labelOnly="1" outline="0"/>
    </format>
    <format dxfId="246">
      <pivotArea field="6" type="button" dataOnly="0" labelOnly="1" outline="0"/>
    </format>
    <format dxfId="245">
      <pivotArea field="6" type="button" dataOnly="0" labelOnly="1" outline="0"/>
    </format>
    <format dxfId="244">
      <pivotArea field="3" type="button" dataOnly="0" labelOnly="1" outline="0" axis="axisRow" fieldPosition="1"/>
    </format>
    <format dxfId="243">
      <pivotArea field="6" type="button" dataOnly="0" labelOnly="1" outline="0"/>
    </format>
    <format dxfId="242">
      <pivotArea field="7" type="button" dataOnly="0" labelOnly="1" outline="0"/>
    </format>
    <format dxfId="241">
      <pivotArea field="1" type="button" dataOnly="0" labelOnly="1" outline="0"/>
    </format>
    <format dxfId="240">
      <pivotArea field="45" type="button" dataOnly="0" labelOnly="1" outline="0"/>
    </format>
    <format dxfId="239">
      <pivotArea field="3" type="button" dataOnly="0" labelOnly="1" outline="0" axis="axisRow" fieldPosition="1"/>
    </format>
    <format dxfId="238">
      <pivotArea field="6" type="button" dataOnly="0" labelOnly="1" outline="0"/>
    </format>
    <format dxfId="237">
      <pivotArea field="7" type="button" dataOnly="0" labelOnly="1" outline="0"/>
    </format>
    <format dxfId="236">
      <pivotArea field="1" type="button" dataOnly="0" labelOnly="1" outline="0"/>
    </format>
    <format dxfId="235">
      <pivotArea field="45" type="button" dataOnly="0" labelOnly="1" outline="0"/>
    </format>
    <format dxfId="234">
      <pivotArea type="all" dataOnly="0" outline="0" fieldPosition="0"/>
    </format>
    <format dxfId="233">
      <pivotArea field="3" type="button" dataOnly="0" labelOnly="1" outline="0" axis="axisRow" fieldPosition="1"/>
    </format>
    <format dxfId="232">
      <pivotArea field="6" type="button" dataOnly="0" labelOnly="1" outline="0"/>
    </format>
    <format dxfId="231">
      <pivotArea field="7" type="button" dataOnly="0" labelOnly="1" outline="0"/>
    </format>
    <format dxfId="230">
      <pivotArea field="1" type="button" dataOnly="0" labelOnly="1" outline="0"/>
    </format>
    <format dxfId="229">
      <pivotArea field="45" type="button" dataOnly="0" labelOnly="1" outline="0"/>
    </format>
    <format dxfId="228">
      <pivotArea field="3" type="button" dataOnly="0" labelOnly="1" outline="0" axis="axisRow" fieldPosition="1"/>
    </format>
    <format dxfId="227">
      <pivotArea field="6" type="button" dataOnly="0" labelOnly="1" outline="0"/>
    </format>
    <format dxfId="226">
      <pivotArea field="7" type="button" dataOnly="0" labelOnly="1" outline="0"/>
    </format>
    <format dxfId="225">
      <pivotArea field="1" type="button" dataOnly="0" labelOnly="1" outline="0"/>
    </format>
    <format dxfId="224">
      <pivotArea field="45" type="button" dataOnly="0" labelOnly="1" outline="0"/>
    </format>
    <format dxfId="223">
      <pivotArea field="3" type="button" dataOnly="0" labelOnly="1" outline="0" axis="axisRow" fieldPosition="1"/>
    </format>
    <format dxfId="222">
      <pivotArea field="6" type="button" dataOnly="0" labelOnly="1" outline="0"/>
    </format>
    <format dxfId="221">
      <pivotArea field="7" type="button" dataOnly="0" labelOnly="1" outline="0"/>
    </format>
    <format dxfId="220">
      <pivotArea field="1" type="button" dataOnly="0" labelOnly="1" outline="0"/>
    </format>
    <format dxfId="219">
      <pivotArea field="45" type="button" dataOnly="0" labelOnly="1" outline="0"/>
    </format>
    <format dxfId="218">
      <pivotArea field="3" type="button" dataOnly="0" labelOnly="1" outline="0" axis="axisRow" fieldPosition="1"/>
    </format>
    <format dxfId="217">
      <pivotArea field="6" type="button" dataOnly="0" labelOnly="1" outline="0"/>
    </format>
    <format dxfId="216">
      <pivotArea field="7" type="button" dataOnly="0" labelOnly="1" outline="0"/>
    </format>
    <format dxfId="215">
      <pivotArea field="1" type="button" dataOnly="0" labelOnly="1" outline="0"/>
    </format>
    <format dxfId="214">
      <pivotArea field="45" type="button" dataOnly="0" labelOnly="1" outline="0"/>
    </format>
    <format dxfId="213">
      <pivotArea field="3" type="button" dataOnly="0" labelOnly="1" outline="0" axis="axisRow" fieldPosition="1"/>
    </format>
    <format dxfId="212">
      <pivotArea field="6" type="button" dataOnly="0" labelOnly="1" outline="0"/>
    </format>
    <format dxfId="211">
      <pivotArea field="7" type="button" dataOnly="0" labelOnly="1" outline="0"/>
    </format>
    <format dxfId="210">
      <pivotArea field="1" type="button" dataOnly="0" labelOnly="1" outline="0"/>
    </format>
    <format dxfId="209">
      <pivotArea field="45" type="button" dataOnly="0" labelOnly="1" outline="0"/>
    </format>
    <format dxfId="208">
      <pivotArea field="3" type="button" dataOnly="0" labelOnly="1" outline="0" axis="axisRow" fieldPosition="1"/>
    </format>
    <format dxfId="207">
      <pivotArea field="6" type="button" dataOnly="0" labelOnly="1" outline="0"/>
    </format>
    <format dxfId="206">
      <pivotArea field="7" type="button" dataOnly="0" labelOnly="1" outline="0"/>
    </format>
    <format dxfId="205">
      <pivotArea field="1" type="button" dataOnly="0" labelOnly="1" outline="0"/>
    </format>
    <format dxfId="204">
      <pivotArea field="45" type="button" dataOnly="0" labelOnly="1" outline="0"/>
    </format>
    <format dxfId="203">
      <pivotArea field="3" type="button" dataOnly="0" labelOnly="1" outline="0" axis="axisRow" fieldPosition="1"/>
    </format>
    <format dxfId="202">
      <pivotArea field="6" type="button" dataOnly="0" labelOnly="1" outline="0"/>
    </format>
    <format dxfId="201">
      <pivotArea field="7" type="button" dataOnly="0" labelOnly="1" outline="0"/>
    </format>
    <format dxfId="200">
      <pivotArea field="1" type="button" dataOnly="0" labelOnly="1" outline="0"/>
    </format>
    <format dxfId="199">
      <pivotArea field="45" type="button" dataOnly="0" labelOnly="1" outline="0"/>
    </format>
    <format dxfId="198">
      <pivotArea field="3" type="button" dataOnly="0" labelOnly="1" outline="0" axis="axisRow" fieldPosition="1"/>
    </format>
    <format dxfId="197">
      <pivotArea field="6" type="button" dataOnly="0" labelOnly="1" outline="0"/>
    </format>
    <format dxfId="196">
      <pivotArea field="7" type="button" dataOnly="0" labelOnly="1" outline="0"/>
    </format>
    <format dxfId="195">
      <pivotArea field="1" type="button" dataOnly="0" labelOnly="1" outline="0"/>
    </format>
    <format dxfId="194">
      <pivotArea field="45" type="button" dataOnly="0" labelOnly="1" outline="0"/>
    </format>
    <format dxfId="193">
      <pivotArea type="all" dataOnly="0" outline="0" fieldPosition="0"/>
    </format>
    <format dxfId="192">
      <pivotArea field="3" type="button" dataOnly="0" labelOnly="1" outline="0" axis="axisRow" fieldPosition="1"/>
    </format>
    <format dxfId="191">
      <pivotArea field="6" type="button" dataOnly="0" labelOnly="1" outline="0"/>
    </format>
    <format dxfId="190">
      <pivotArea field="7" type="button" dataOnly="0" labelOnly="1" outline="0"/>
    </format>
    <format dxfId="189">
      <pivotArea field="1" type="button" dataOnly="0" labelOnly="1" outline="0"/>
    </format>
    <format dxfId="188">
      <pivotArea field="45" type="button" dataOnly="0" labelOnly="1" outline="0"/>
    </format>
    <format dxfId="187">
      <pivotArea field="3" type="button" dataOnly="0" labelOnly="1" outline="0" axis="axisRow" fieldPosition="1"/>
    </format>
    <format dxfId="186">
      <pivotArea field="6" type="button" dataOnly="0" labelOnly="1" outline="0"/>
    </format>
    <format dxfId="185">
      <pivotArea field="7" type="button" dataOnly="0" labelOnly="1" outline="0"/>
    </format>
    <format dxfId="184">
      <pivotArea field="1" type="button" dataOnly="0" labelOnly="1" outline="0"/>
    </format>
    <format dxfId="183">
      <pivotArea field="45" type="button" dataOnly="0" labelOnly="1" outline="0"/>
    </format>
    <format dxfId="182">
      <pivotArea field="3" type="button" dataOnly="0" labelOnly="1" outline="0" axis="axisRow" fieldPosition="1"/>
    </format>
    <format dxfId="181">
      <pivotArea field="6" type="button" dataOnly="0" labelOnly="1" outline="0"/>
    </format>
    <format dxfId="180">
      <pivotArea field="7" type="button" dataOnly="0" labelOnly="1" outline="0"/>
    </format>
    <format dxfId="179">
      <pivotArea field="1" type="button" dataOnly="0" labelOnly="1" outline="0"/>
    </format>
    <format dxfId="178">
      <pivotArea field="45" type="button" dataOnly="0" labelOnly="1" outline="0"/>
    </format>
    <format dxfId="177">
      <pivotArea type="all" dataOnly="0" outline="0" fieldPosition="0"/>
    </format>
    <format dxfId="176">
      <pivotArea field="3" type="button" dataOnly="0" labelOnly="1" outline="0" axis="axisRow" fieldPosition="1"/>
    </format>
    <format dxfId="175">
      <pivotArea field="6" type="button" dataOnly="0" labelOnly="1" outline="0"/>
    </format>
    <format dxfId="174">
      <pivotArea field="7" type="button" dataOnly="0" labelOnly="1" outline="0"/>
    </format>
    <format dxfId="173">
      <pivotArea field="1" type="button" dataOnly="0" labelOnly="1" outline="0"/>
    </format>
    <format dxfId="172">
      <pivotArea field="45" type="button" dataOnly="0" labelOnly="1" outline="0"/>
    </format>
    <format dxfId="171">
      <pivotArea field="46" type="button" dataOnly="0" labelOnly="1" outline="0"/>
    </format>
    <format dxfId="170">
      <pivotArea field="3" type="button" dataOnly="0" labelOnly="1" outline="0" axis="axisRow" fieldPosition="1"/>
    </format>
    <format dxfId="169">
      <pivotArea field="6" type="button" dataOnly="0" labelOnly="1" outline="0"/>
    </format>
    <format dxfId="168">
      <pivotArea field="7" type="button" dataOnly="0" labelOnly="1" outline="0"/>
    </format>
    <format dxfId="167">
      <pivotArea field="1" type="button" dataOnly="0" labelOnly="1" outline="0"/>
    </format>
    <format dxfId="166">
      <pivotArea field="45" type="button" dataOnly="0" labelOnly="1" outline="0"/>
    </format>
    <format dxfId="165">
      <pivotArea field="46" type="button" dataOnly="0" labelOnly="1" outline="0"/>
    </format>
    <format dxfId="164">
      <pivotArea field="3" type="button" dataOnly="0" labelOnly="1" outline="0" axis="axisRow" fieldPosition="1"/>
    </format>
    <format dxfId="163">
      <pivotArea field="6" type="button" dataOnly="0" labelOnly="1" outline="0"/>
    </format>
    <format dxfId="162">
      <pivotArea field="7" type="button" dataOnly="0" labelOnly="1" outline="0"/>
    </format>
    <format dxfId="161">
      <pivotArea field="1" type="button" dataOnly="0" labelOnly="1" outline="0"/>
    </format>
    <format dxfId="160">
      <pivotArea field="45" type="button" dataOnly="0" labelOnly="1" outline="0"/>
    </format>
    <format dxfId="159">
      <pivotArea field="46" type="button" dataOnly="0" labelOnly="1" outline="0"/>
    </format>
    <format dxfId="158">
      <pivotArea field="3" type="button" dataOnly="0" labelOnly="1" outline="0" axis="axisRow" fieldPosition="1"/>
    </format>
    <format dxfId="157">
      <pivotArea field="6" type="button" dataOnly="0" labelOnly="1" outline="0"/>
    </format>
    <format dxfId="156">
      <pivotArea field="7" type="button" dataOnly="0" labelOnly="1" outline="0"/>
    </format>
    <format dxfId="155">
      <pivotArea field="1" type="button" dataOnly="0" labelOnly="1" outline="0"/>
    </format>
    <format dxfId="154">
      <pivotArea field="45" type="button" dataOnly="0" labelOnly="1" outline="0"/>
    </format>
    <format dxfId="153">
      <pivotArea field="46" type="button" dataOnly="0" labelOnly="1" outline="0"/>
    </format>
    <format dxfId="152">
      <pivotArea field="3" type="button" dataOnly="0" labelOnly="1" outline="0" axis="axisRow" fieldPosition="1"/>
    </format>
    <format dxfId="151">
      <pivotArea field="6" type="button" dataOnly="0" labelOnly="1" outline="0"/>
    </format>
    <format dxfId="150">
      <pivotArea field="7" type="button" dataOnly="0" labelOnly="1" outline="0"/>
    </format>
    <format dxfId="149">
      <pivotArea field="1" type="button" dataOnly="0" labelOnly="1" outline="0"/>
    </format>
    <format dxfId="148">
      <pivotArea field="45" type="button" dataOnly="0" labelOnly="1" outline="0"/>
    </format>
    <format dxfId="147">
      <pivotArea field="46" type="button" dataOnly="0" labelOnly="1" outline="0"/>
    </format>
    <format dxfId="146">
      <pivotArea field="3" type="button" dataOnly="0" labelOnly="1" outline="0" axis="axisRow" fieldPosition="1"/>
    </format>
    <format dxfId="145">
      <pivotArea field="6" type="button" dataOnly="0" labelOnly="1" outline="0"/>
    </format>
    <format dxfId="144">
      <pivotArea field="7" type="button" dataOnly="0" labelOnly="1" outline="0"/>
    </format>
    <format dxfId="143">
      <pivotArea field="1" type="button" dataOnly="0" labelOnly="1" outline="0"/>
    </format>
    <format dxfId="142">
      <pivotArea field="45" type="button" dataOnly="0" labelOnly="1" outline="0"/>
    </format>
    <format dxfId="141">
      <pivotArea field="46" type="button" dataOnly="0" labelOnly="1" outline="0"/>
    </format>
    <format dxfId="140">
      <pivotArea field="3" type="button" dataOnly="0" labelOnly="1" outline="0" axis="axisRow" fieldPosition="1"/>
    </format>
    <format dxfId="139">
      <pivotArea field="6" type="button" dataOnly="0" labelOnly="1" outline="0"/>
    </format>
    <format dxfId="138">
      <pivotArea field="7" type="button" dataOnly="0" labelOnly="1" outline="0"/>
    </format>
    <format dxfId="137">
      <pivotArea field="1" type="button" dataOnly="0" labelOnly="1" outline="0"/>
    </format>
    <format dxfId="136">
      <pivotArea field="45" type="button" dataOnly="0" labelOnly="1" outline="0"/>
    </format>
    <format dxfId="135">
      <pivotArea field="46" type="button" dataOnly="0" labelOnly="1" outline="0"/>
    </format>
    <format dxfId="134">
      <pivotArea field="3" type="button" dataOnly="0" labelOnly="1" outline="0" axis="axisRow" fieldPosition="1"/>
    </format>
    <format dxfId="133">
      <pivotArea field="6" type="button" dataOnly="0" labelOnly="1" outline="0"/>
    </format>
    <format dxfId="132">
      <pivotArea field="7" type="button" dataOnly="0" labelOnly="1" outline="0"/>
    </format>
    <format dxfId="131">
      <pivotArea field="1" type="button" dataOnly="0" labelOnly="1" outline="0"/>
    </format>
    <format dxfId="130">
      <pivotArea field="45" type="button" dataOnly="0" labelOnly="1" outline="0"/>
    </format>
    <format dxfId="129">
      <pivotArea field="46" type="button" dataOnly="0" labelOnly="1" outline="0"/>
    </format>
    <format dxfId="128">
      <pivotArea field="3" type="button" dataOnly="0" labelOnly="1" outline="0" axis="axisRow" fieldPosition="1"/>
    </format>
    <format dxfId="127">
      <pivotArea field="6" type="button" dataOnly="0" labelOnly="1" outline="0"/>
    </format>
    <format dxfId="126">
      <pivotArea field="7" type="button" dataOnly="0" labelOnly="1" outline="0"/>
    </format>
    <format dxfId="125">
      <pivotArea field="1" type="button" dataOnly="0" labelOnly="1" outline="0"/>
    </format>
    <format dxfId="124">
      <pivotArea field="45" type="button" dataOnly="0" labelOnly="1" outline="0"/>
    </format>
    <format dxfId="123">
      <pivotArea field="46" type="button" dataOnly="0" labelOnly="1" outline="0"/>
    </format>
    <format dxfId="122">
      <pivotArea field="3" type="button" dataOnly="0" labelOnly="1" outline="0" axis="axisRow" fieldPosition="1"/>
    </format>
    <format dxfId="121">
      <pivotArea field="6" type="button" dataOnly="0" labelOnly="1" outline="0"/>
    </format>
    <format dxfId="120">
      <pivotArea field="7" type="button" dataOnly="0" labelOnly="1" outline="0"/>
    </format>
    <format dxfId="119">
      <pivotArea field="1" type="button" dataOnly="0" labelOnly="1" outline="0"/>
    </format>
    <format dxfId="118">
      <pivotArea field="45" type="button" dataOnly="0" labelOnly="1" outline="0"/>
    </format>
    <format dxfId="117">
      <pivotArea field="46" type="button" dataOnly="0" labelOnly="1" outline="0"/>
    </format>
    <format dxfId="116">
      <pivotArea field="3" type="button" dataOnly="0" labelOnly="1" outline="0" axis="axisRow" fieldPosition="1"/>
    </format>
    <format dxfId="115">
      <pivotArea field="6" type="button" dataOnly="0" labelOnly="1" outline="0"/>
    </format>
    <format dxfId="114">
      <pivotArea field="7" type="button" dataOnly="0" labelOnly="1" outline="0"/>
    </format>
    <format dxfId="113">
      <pivotArea field="1" type="button" dataOnly="0" labelOnly="1" outline="0"/>
    </format>
    <format dxfId="112">
      <pivotArea field="45" type="button" dataOnly="0" labelOnly="1" outline="0"/>
    </format>
    <format dxfId="111">
      <pivotArea field="46" type="button" dataOnly="0" labelOnly="1" outline="0"/>
    </format>
    <format dxfId="110">
      <pivotArea field="3" type="button" dataOnly="0" labelOnly="1" outline="0" axis="axisRow" fieldPosition="1"/>
    </format>
    <format dxfId="109">
      <pivotArea field="6" type="button" dataOnly="0" labelOnly="1" outline="0"/>
    </format>
    <format dxfId="108">
      <pivotArea field="7" type="button" dataOnly="0" labelOnly="1" outline="0"/>
    </format>
    <format dxfId="107">
      <pivotArea field="1" type="button" dataOnly="0" labelOnly="1" outline="0"/>
    </format>
    <format dxfId="106">
      <pivotArea field="45" type="button" dataOnly="0" labelOnly="1" outline="0"/>
    </format>
    <format dxfId="105">
      <pivotArea field="46" type="button" dataOnly="0" labelOnly="1" outline="0"/>
    </format>
    <format dxfId="104">
      <pivotArea field="3" type="button" dataOnly="0" labelOnly="1" outline="0" axis="axisRow" fieldPosition="1"/>
    </format>
    <format dxfId="103">
      <pivotArea field="6" type="button" dataOnly="0" labelOnly="1" outline="0"/>
    </format>
    <format dxfId="102">
      <pivotArea field="7" type="button" dataOnly="0" labelOnly="1" outline="0"/>
    </format>
    <format dxfId="101">
      <pivotArea field="1" type="button" dataOnly="0" labelOnly="1" outline="0"/>
    </format>
    <format dxfId="100">
      <pivotArea field="45" type="button" dataOnly="0" labelOnly="1" outline="0"/>
    </format>
    <format dxfId="99">
      <pivotArea field="46" type="button" dataOnly="0" labelOnly="1" outline="0"/>
    </format>
    <format dxfId="98">
      <pivotArea field="3" type="button" dataOnly="0" labelOnly="1" outline="0" axis="axisRow" fieldPosition="1"/>
    </format>
    <format dxfId="97">
      <pivotArea field="6" type="button" dataOnly="0" labelOnly="1" outline="0"/>
    </format>
    <format dxfId="96">
      <pivotArea field="7" type="button" dataOnly="0" labelOnly="1" outline="0"/>
    </format>
    <format dxfId="95">
      <pivotArea field="1" type="button" dataOnly="0" labelOnly="1" outline="0"/>
    </format>
    <format dxfId="94">
      <pivotArea field="45" type="button" dataOnly="0" labelOnly="1" outline="0"/>
    </format>
    <format dxfId="93">
      <pivotArea field="46" type="button" dataOnly="0" labelOnly="1" outline="0"/>
    </format>
    <format dxfId="92">
      <pivotArea field="3" type="button" dataOnly="0" labelOnly="1" outline="0" axis="axisRow" fieldPosition="1"/>
    </format>
    <format dxfId="91">
      <pivotArea field="6" type="button" dataOnly="0" labelOnly="1" outline="0"/>
    </format>
    <format dxfId="90">
      <pivotArea field="7" type="button" dataOnly="0" labelOnly="1" outline="0"/>
    </format>
    <format dxfId="89">
      <pivotArea field="1" type="button" dataOnly="0" labelOnly="1" outline="0"/>
    </format>
    <format dxfId="88">
      <pivotArea field="45" type="button" dataOnly="0" labelOnly="1" outline="0"/>
    </format>
    <format dxfId="87">
      <pivotArea field="46" type="button" dataOnly="0" labelOnly="1" outline="0"/>
    </format>
    <format dxfId="86">
      <pivotArea field="3" type="button" dataOnly="0" labelOnly="1" outline="0" axis="axisRow" fieldPosition="1"/>
    </format>
    <format dxfId="85">
      <pivotArea field="6" type="button" dataOnly="0" labelOnly="1" outline="0"/>
    </format>
    <format dxfId="84">
      <pivotArea field="7" type="button" dataOnly="0" labelOnly="1" outline="0"/>
    </format>
    <format dxfId="83">
      <pivotArea field="1" type="button" dataOnly="0" labelOnly="1" outline="0"/>
    </format>
    <format dxfId="82">
      <pivotArea field="24" type="button" dataOnly="0" labelOnly="1" outline="0"/>
    </format>
    <format dxfId="81">
      <pivotArea field="45" type="button" dataOnly="0" labelOnly="1" outline="0"/>
    </format>
    <format dxfId="80">
      <pivotArea field="46" type="button" dataOnly="0" labelOnly="1" outline="0"/>
    </format>
    <format dxfId="79">
      <pivotArea field="35" type="button" dataOnly="0" labelOnly="1" outline="0" axis="axisRow" fieldPosition="2"/>
    </format>
    <format dxfId="78">
      <pivotArea field="3" type="button" dataOnly="0" labelOnly="1" outline="0" axis="axisRow" fieldPosition="1"/>
    </format>
    <format dxfId="77">
      <pivotArea field="1" type="button" dataOnly="0" labelOnly="1" outline="0"/>
    </format>
    <format dxfId="76">
      <pivotArea field="24" type="button" dataOnly="0" labelOnly="1" outline="0"/>
    </format>
    <format dxfId="75">
      <pivotArea field="45" type="button" dataOnly="0" labelOnly="1" outline="0"/>
    </format>
    <format dxfId="74">
      <pivotArea field="46" type="button" dataOnly="0" labelOnly="1" outline="0"/>
    </format>
    <format dxfId="73">
      <pivotArea field="35" type="button" dataOnly="0" labelOnly="1" outline="0" axis="axisRow" fieldPosition="2"/>
    </format>
    <format dxfId="72">
      <pivotArea field="7" type="button" dataOnly="0" labelOnly="1" outline="0"/>
    </format>
    <format dxfId="71">
      <pivotArea field="6" type="button" dataOnly="0" labelOnly="1" outline="0"/>
    </format>
    <format dxfId="70">
      <pivotArea field="7" type="button" dataOnly="0" labelOnly="1" outline="0"/>
    </format>
    <format dxfId="69">
      <pivotArea field="6" type="button" dataOnly="0" labelOnly="1" outline="0"/>
    </format>
    <format dxfId="68">
      <pivotArea field="6" type="button" dataOnly="0" labelOnly="1" outline="0"/>
    </format>
    <format dxfId="67">
      <pivotArea outline="0" fieldPosition="0">
        <references count="1">
          <reference field="4294967294" count="1">
            <x v="0"/>
          </reference>
        </references>
      </pivotArea>
    </format>
    <format dxfId="66">
      <pivotArea field="49" type="button" dataOnly="0" labelOnly="1" outline="0" axis="axisPage" fieldPosition="0"/>
    </format>
    <format dxfId="65">
      <pivotArea field="47" type="button" dataOnly="0" labelOnly="1" outline="0" axis="axisRow" fieldPosition="0"/>
    </format>
    <format dxfId="64">
      <pivotArea field="3" type="button" dataOnly="0" labelOnly="1" outline="0" axis="axisRow" fieldPosition="1"/>
    </format>
    <format dxfId="63">
      <pivotArea field="45" type="button" dataOnly="0" labelOnly="1" outline="0"/>
    </format>
    <format dxfId="62">
      <pivotArea field="49" type="button" dataOnly="0" labelOnly="1" outline="0" axis="axisPage" fieldPosition="0"/>
    </format>
    <format dxfId="61">
      <pivotArea field="47" type="button" dataOnly="0" labelOnly="1" outline="0" axis="axisRow" fieldPosition="0"/>
    </format>
    <format dxfId="60">
      <pivotArea field="3" type="button" dataOnly="0" labelOnly="1" outline="0" axis="axisRow" fieldPosition="1"/>
    </format>
    <format dxfId="59">
      <pivotArea field="45" type="button" dataOnly="0" labelOnly="1" outline="0"/>
    </format>
    <format dxfId="58">
      <pivotArea dataOnly="0" labelOnly="1" outline="0" fieldPosition="0">
        <references count="1">
          <reference field="49" count="0"/>
        </references>
      </pivotArea>
    </format>
    <format dxfId="57">
      <pivotArea dataOnly="0" labelOnly="1" outline="0" fieldPosition="0">
        <references count="1">
          <reference field="47" count="0"/>
        </references>
      </pivotArea>
    </format>
    <format dxfId="56">
      <pivotArea field="49" type="button" dataOnly="0" labelOnly="1" outline="0" axis="axisPage" fieldPosition="0"/>
    </format>
    <format dxfId="55">
      <pivotArea dataOnly="0" labelOnly="1" outline="0" fieldPosition="0">
        <references count="1">
          <reference field="49" count="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PivotTable5" cacheId="2" applyNumberFormats="0" applyBorderFormats="0" applyFontFormats="0" applyPatternFormats="0" applyAlignmentFormats="0" applyWidthHeightFormats="1" dataCaption="Values" errorCaption="0" showError="1" missingCaption="0" updatedVersion="4" minRefreshableVersion="3" showDrill="0" rowGrandTotals="0" itemPrintTitles="1" createdVersion="5" indent="0" compact="0" compactData="0" gridDropZones="1" multipleFieldFilters="0" fieldListSortAscending="1">
  <location ref="W11:Z30" firstHeaderRow="2" firstDataRow="2" firstDataCol="3" rowPageCount="1" colPageCount="1"/>
  <pivotFields count="52">
    <pivotField compact="0" outline="0" showAll="0" defaultSubtotal="0"/>
    <pivotField compact="0" outline="0" multipleItemSelectionAllowed="1" showAll="0" defaultSubtotal="0">
      <items count="126">
        <item x="107"/>
        <item x="93"/>
        <item x="92"/>
        <item x="91"/>
        <item x="90"/>
        <item x="49"/>
        <item x="33"/>
        <item x="11"/>
        <item x="8"/>
        <item x="105"/>
        <item x="104"/>
        <item x="103"/>
        <item x="58"/>
        <item x="57"/>
        <item x="34"/>
        <item x="21"/>
        <item x="4"/>
        <item x="3"/>
        <item x="2"/>
        <item x="125"/>
        <item x="124"/>
        <item x="123"/>
        <item x="121"/>
        <item x="122"/>
        <item x="118"/>
        <item x="117"/>
        <item x="116"/>
        <item x="115"/>
        <item x="114"/>
        <item x="113"/>
        <item x="120"/>
        <item x="119"/>
        <item x="112"/>
        <item x="111"/>
        <item x="110"/>
        <item x="109"/>
        <item x="108"/>
        <item x="106"/>
        <item x="102"/>
        <item x="101"/>
        <item x="100"/>
        <item x="99"/>
        <item x="98"/>
        <item x="97"/>
        <item x="96"/>
        <item x="95"/>
        <item x="94"/>
        <item x="54"/>
        <item x="44"/>
        <item x="41"/>
        <item x="38"/>
        <item x="36"/>
        <item x="24"/>
        <item x="20"/>
        <item x="9"/>
        <item x="5"/>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6"/>
        <item x="55"/>
        <item x="53"/>
        <item x="52"/>
        <item x="51"/>
        <item x="50"/>
        <item x="48"/>
        <item x="47"/>
        <item x="46"/>
        <item x="45"/>
        <item x="43"/>
        <item x="42"/>
        <item x="40"/>
        <item x="39"/>
        <item x="37"/>
        <item x="35"/>
        <item x="32"/>
        <item x="31"/>
        <item x="30"/>
        <item x="29"/>
        <item x="28"/>
        <item x="27"/>
        <item x="17"/>
        <item x="18"/>
        <item x="19"/>
        <item x="22"/>
        <item x="23"/>
        <item x="25"/>
        <item x="26"/>
        <item x="10"/>
        <item x="12"/>
        <item x="13"/>
        <item x="14"/>
        <item x="15"/>
        <item x="16"/>
        <item x="0"/>
        <item x="1"/>
        <item x="6"/>
        <item x="7"/>
      </items>
      <extLst>
        <ext xmlns:x14="http://schemas.microsoft.com/office/spreadsheetml/2009/9/main" uri="{2946ED86-A175-432a-8AC1-64E0C546D7DE}">
          <x14:pivotField fillDownLabels="1"/>
        </ext>
      </extLst>
    </pivotField>
    <pivotField compact="0" outline="0" showAll="0" defaultSubtotal="0"/>
    <pivotField axis="axisRow" compact="0" outline="0" multipleItemSelectionAllowed="1" showAll="0" sortType="descending" defaultSubtotal="0">
      <items count="794">
        <item x="0"/>
        <item x="1"/>
        <item x="2"/>
        <item x="3"/>
        <item x="4"/>
        <item x="5"/>
        <item x="6"/>
        <item x="9"/>
        <item x="8"/>
        <item x="11"/>
        <item x="7"/>
        <item x="12"/>
        <item x="14"/>
        <item x="15"/>
        <item x="13"/>
        <item x="16"/>
        <item x="18"/>
        <item x="19"/>
        <item x="10"/>
        <item x="17"/>
        <item x="20"/>
        <item x="22"/>
        <item x="23"/>
        <item x="25"/>
        <item x="24"/>
        <item x="21"/>
        <item x="26"/>
        <item x="28"/>
        <item x="27"/>
        <item x="30"/>
        <item x="32"/>
        <item x="31"/>
        <item x="29"/>
        <item x="33"/>
        <item x="36"/>
        <item x="38"/>
        <item x="37"/>
        <item x="39"/>
        <item x="40"/>
        <item x="44"/>
        <item x="43"/>
        <item x="45"/>
        <item x="35"/>
        <item x="46"/>
        <item x="34"/>
        <item x="41"/>
        <item x="47"/>
        <item x="42"/>
        <item x="48"/>
        <item x="50"/>
        <item x="49"/>
        <item x="51"/>
        <item m="1" x="599"/>
        <item x="53"/>
        <item x="56"/>
        <item x="55"/>
        <item x="54"/>
        <item x="57"/>
        <item x="52"/>
        <item x="58"/>
        <item x="59"/>
        <item x="87"/>
        <item x="60"/>
        <item x="63"/>
        <item x="84"/>
        <item x="62"/>
        <item x="61"/>
        <item x="64"/>
        <item x="88"/>
        <item x="66"/>
        <item x="65"/>
        <item x="67"/>
        <item x="69"/>
        <item x="68"/>
        <item x="70"/>
        <item x="71"/>
        <item x="89"/>
        <item x="73"/>
        <item x="72"/>
        <item x="86"/>
        <item x="74"/>
        <item x="90"/>
        <item x="75"/>
        <item x="94"/>
        <item x="91"/>
        <item x="76"/>
        <item x="77"/>
        <item x="78"/>
        <item x="79"/>
        <item x="92"/>
        <item x="80"/>
        <item x="93"/>
        <item x="81"/>
        <item x="82"/>
        <item x="83"/>
        <item x="95"/>
        <item x="85"/>
        <item x="96"/>
        <item x="97"/>
        <item x="98"/>
        <item x="99"/>
        <item x="101"/>
        <item x="100"/>
        <item x="102"/>
        <item x="103"/>
        <item x="104"/>
        <item x="107"/>
        <item x="108"/>
        <item x="109"/>
        <item x="110"/>
        <item x="111"/>
        <item x="105"/>
        <item x="112"/>
        <item x="113"/>
        <item x="114"/>
        <item x="115"/>
        <item x="117"/>
        <item x="118"/>
        <item x="116"/>
        <item x="119"/>
        <item x="120"/>
        <item x="122"/>
        <item x="121"/>
        <item x="123"/>
        <item x="124"/>
        <item x="106"/>
        <item x="125"/>
        <item x="126"/>
        <item x="128"/>
        <item x="130"/>
        <item x="129"/>
        <item x="131"/>
        <item x="133"/>
        <item x="132"/>
        <item x="135"/>
        <item x="136"/>
        <item x="137"/>
        <item x="127"/>
        <item x="141"/>
        <item x="140"/>
        <item x="138"/>
        <item x="139"/>
        <item x="142"/>
        <item x="143"/>
        <item x="134"/>
        <item m="1" x="498"/>
        <item x="145"/>
        <item x="149"/>
        <item x="146"/>
        <item x="144"/>
        <item x="147"/>
        <item x="150"/>
        <item x="151"/>
        <item x="152"/>
        <item x="153"/>
        <item x="155"/>
        <item m="1" x="489"/>
        <item x="158"/>
        <item x="157"/>
        <item x="154"/>
        <item x="159"/>
        <item x="156"/>
        <item x="160"/>
        <item x="161"/>
        <item x="163"/>
        <item x="162"/>
        <item m="1" x="493"/>
        <item m="1" x="208"/>
        <item x="167"/>
        <item m="1" x="790"/>
        <item m="1" x="483"/>
        <item m="1" x="783"/>
        <item x="168"/>
        <item x="166"/>
        <item x="164"/>
        <item x="165"/>
        <item x="169"/>
        <item x="170"/>
        <item x="171"/>
        <item m="1" x="679"/>
        <item m="1" x="364"/>
        <item m="1" x="667"/>
        <item m="1" x="788"/>
        <item m="1" x="481"/>
        <item m="1" x="781"/>
        <item m="1" x="475"/>
        <item x="172"/>
        <item m="1" x="470"/>
        <item m="1" x="768"/>
        <item x="173"/>
        <item m="1" x="760"/>
        <item m="1" x="455"/>
        <item m="1" x="444"/>
        <item m="1" x="745"/>
        <item m="1" x="434"/>
        <item m="1" x="734"/>
        <item m="1" x="423"/>
        <item m="1" x="724"/>
        <item m="1" x="411"/>
        <item m="1" x="713"/>
        <item m="1" x="401"/>
        <item x="175"/>
        <item m="1" x="390"/>
        <item x="176"/>
        <item m="1" x="377"/>
        <item m="1" x="677"/>
        <item m="1" x="362"/>
        <item m="1" x="665"/>
        <item m="1" x="352"/>
        <item m="1" x="653"/>
        <item m="1" x="338"/>
        <item m="1" x="637"/>
        <item m="1" x="774"/>
        <item x="174"/>
        <item m="1" x="766"/>
        <item m="1" x="462"/>
        <item m="1" x="758"/>
        <item m="1" x="453"/>
        <item x="177"/>
        <item m="1" x="442"/>
        <item x="179"/>
        <item m="1" x="432"/>
        <item x="178"/>
        <item m="1" x="421"/>
        <item m="1" x="722"/>
        <item m="1" x="409"/>
        <item m="1" x="711"/>
        <item m="1" x="399"/>
        <item m="1" x="700"/>
        <item m="1" x="388"/>
        <item m="1" x="688"/>
        <item m="1" x="375"/>
        <item m="1" x="675"/>
        <item m="1" x="360"/>
        <item m="1" x="663"/>
        <item m="1" x="350"/>
        <item m="1" x="651"/>
        <item x="180"/>
        <item m="1" x="635"/>
        <item x="181"/>
        <item m="1" x="620"/>
        <item m="1" x="311"/>
        <item m="1" x="607"/>
        <item m="1" x="451"/>
        <item x="182"/>
        <item m="1" x="440"/>
        <item m="1" x="742"/>
        <item m="1" x="430"/>
        <item m="1" x="731"/>
        <item m="1" x="419"/>
        <item m="1" x="720"/>
        <item m="1" x="407"/>
        <item m="1" x="709"/>
        <item m="1" x="397"/>
        <item m="1" x="698"/>
        <item m="1" x="386"/>
        <item x="183"/>
        <item m="1" x="373"/>
        <item x="184"/>
        <item x="185"/>
        <item m="1" x="661"/>
        <item m="1" x="348"/>
        <item m="1" x="649"/>
        <item m="1" x="335"/>
        <item m="1" x="633"/>
        <item m="1" x="322"/>
        <item m="1" x="618"/>
        <item x="186"/>
        <item m="1" x="605"/>
        <item x="187"/>
        <item m="1" x="592"/>
        <item m="1" x="289"/>
        <item m="1" x="580"/>
        <item m="1" x="740"/>
        <item m="1" x="428"/>
        <item m="1" x="729"/>
        <item m="1" x="417"/>
        <item m="1" x="718"/>
        <item x="188"/>
        <item m="1" x="707"/>
        <item x="189"/>
        <item m="1" x="696"/>
        <item m="1" x="384"/>
        <item m="1" x="685"/>
        <item m="1" x="370"/>
        <item m="1" x="672"/>
        <item m="1" x="357"/>
        <item m="1" x="659"/>
        <item m="1" x="346"/>
        <item m="1" x="647"/>
        <item m="1" x="333"/>
        <item m="1" x="631"/>
        <item m="1" x="320"/>
        <item m="1" x="616"/>
        <item m="1" x="308"/>
        <item m="1" x="603"/>
        <item m="1" x="297"/>
        <item m="1" x="590"/>
        <item x="192"/>
        <item x="193"/>
        <item m="1" x="569"/>
        <item m="1" x="279"/>
        <item m="1" x="568"/>
        <item x="194"/>
        <item m="1" x="557"/>
        <item x="190"/>
        <item m="1" x="705"/>
        <item m="1" x="372"/>
        <item m="1" x="394"/>
        <item x="195"/>
        <item m="1" x="382"/>
        <item m="1" x="683"/>
        <item m="1" x="368"/>
        <item x="196"/>
        <item m="1" x="355"/>
        <item m="1" x="657"/>
        <item m="1" x="630"/>
        <item m="1" x="344"/>
        <item m="1" x="645"/>
        <item m="1" x="331"/>
        <item m="1" x="628"/>
        <item m="1" x="318"/>
        <item m="1" x="306"/>
        <item m="1" x="601"/>
        <item x="197"/>
        <item m="1" x="588"/>
        <item m="1" x="286"/>
        <item m="1" x="577"/>
        <item x="198"/>
        <item m="1" x="565"/>
        <item m="1" x="270"/>
        <item m="1" x="555"/>
        <item x="199"/>
        <item m="1" x="547"/>
        <item m="1" x="256"/>
        <item m="1" x="539"/>
        <item m="1" x="693"/>
        <item m="1" x="380"/>
        <item m="1" x="681"/>
        <item m="1" x="366"/>
        <item m="1" x="669"/>
        <item x="200"/>
        <item m="1" x="655"/>
        <item m="1" x="342"/>
        <item m="1" x="643"/>
        <item m="1" x="329"/>
        <item m="1" x="626"/>
        <item m="1" x="316"/>
        <item m="1" x="613"/>
        <item m="1" x="304"/>
        <item m="1" x="598"/>
        <item m="1" x="294"/>
        <item m="1" x="586"/>
        <item m="1" x="284"/>
        <item m="1" x="575"/>
        <item m="1" x="276"/>
        <item m="1" x="563"/>
        <item m="1" x="268"/>
        <item m="1" x="553"/>
        <item m="1" x="262"/>
        <item m="1" x="545"/>
        <item m="1" x="255"/>
        <item m="1" x="537"/>
        <item m="1" x="248"/>
        <item m="1" x="531"/>
        <item m="1" x="241"/>
        <item m="1" x="524"/>
        <item m="1" x="340"/>
        <item m="1" x="641"/>
        <item m="1" x="327"/>
        <item m="1" x="624"/>
        <item m="1" x="314"/>
        <item m="1" x="611"/>
        <item m="1" x="302"/>
        <item m="1" x="596"/>
        <item m="1" x="292"/>
        <item m="1" x="584"/>
        <item m="1" x="282"/>
        <item m="1" x="573"/>
        <item m="1" x="274"/>
        <item m="1" x="561"/>
        <item m="1" x="266"/>
        <item m="1" x="551"/>
        <item m="1" x="260"/>
        <item m="1" x="543"/>
        <item m="1" x="253"/>
        <item m="1" x="535"/>
        <item m="1" x="246"/>
        <item m="1" x="529"/>
        <item m="1" x="239"/>
        <item m="1" x="522"/>
        <item x="201"/>
        <item m="1" x="517"/>
        <item m="1" x="230"/>
        <item m="1" x="511"/>
        <item m="1" x="639"/>
        <item m="1" x="325"/>
        <item m="1" x="622"/>
        <item x="202"/>
        <item m="1" x="609"/>
        <item m="1" x="300"/>
        <item m="1" x="594"/>
        <item x="203"/>
        <item m="1" x="582"/>
        <item x="204"/>
        <item m="1" x="571"/>
        <item m="1" x="272"/>
        <item m="1" x="559"/>
        <item x="205"/>
        <item m="1" x="549"/>
        <item m="1" x="258"/>
        <item m="1" x="541"/>
        <item m="1" x="251"/>
        <item m="1" x="533"/>
        <item m="1" x="244"/>
        <item m="1" x="527"/>
        <item x="206"/>
        <item m="1" x="520"/>
        <item m="1" x="234"/>
        <item m="1" x="515"/>
        <item m="1" x="228"/>
        <item m="1" x="509"/>
        <item m="1" x="224"/>
        <item m="1" x="505"/>
        <item m="1" x="219"/>
        <item m="1" x="242"/>
        <item m="1" x="525"/>
        <item m="1" x="236"/>
        <item m="1" x="518"/>
        <item m="1" x="232"/>
        <item m="1" x="513"/>
        <item m="1" x="226"/>
        <item m="1" x="507"/>
        <item m="1" x="222"/>
        <item m="1" x="503"/>
        <item m="1" x="217"/>
        <item m="1" x="499"/>
        <item m="1" x="214"/>
        <item x="191"/>
        <item m="1" x="211"/>
        <item m="1" x="491"/>
        <item m="1" x="793"/>
        <item m="1" x="486"/>
        <item m="1" x="786"/>
        <item m="1" x="479"/>
        <item m="1" x="779"/>
        <item x="148"/>
        <item m="1" x="772"/>
        <item m="1" x="467"/>
        <item m="1" x="764"/>
        <item m="1" x="459"/>
        <item m="1" x="756"/>
        <item m="1" x="448"/>
        <item m="1" x="749"/>
        <item m="1" x="438"/>
        <item m="1" x="738"/>
        <item m="1" x="512"/>
        <item m="1" x="225"/>
        <item m="1" x="506"/>
        <item m="1" x="221"/>
        <item m="1" x="502"/>
        <item m="1" x="216"/>
        <item m="1" x="497"/>
        <item m="1" x="213"/>
        <item m="1" x="231"/>
        <item m="1" x="495"/>
        <item m="1" x="210"/>
        <item m="1" x="490"/>
        <item m="1" x="792"/>
        <item m="1" x="485"/>
        <item m="1" x="785"/>
        <item m="1" x="478"/>
        <item m="1" x="778"/>
        <item m="1" x="473"/>
        <item m="1" x="771"/>
        <item m="1" x="466"/>
        <item m="1" x="763"/>
        <item m="1" x="458"/>
        <item m="1" x="755"/>
        <item m="1" x="447"/>
        <item m="1" x="748"/>
        <item m="1" x="437"/>
        <item m="1" x="737"/>
        <item m="1" x="426"/>
        <item m="1" x="727"/>
        <item m="1" x="414"/>
        <item m="1" x="716"/>
        <item m="1" x="220"/>
        <item m="1" x="501"/>
        <item m="1" x="215"/>
        <item m="1" x="496"/>
        <item m="1" x="212"/>
        <item m="1" x="494"/>
        <item m="1" x="209"/>
        <item m="1" x="488"/>
        <item m="1" x="791"/>
        <item m="1" x="484"/>
        <item m="1" x="784"/>
        <item m="1" x="477"/>
        <item m="1" x="777"/>
        <item m="1" x="472"/>
        <item m="1" x="770"/>
        <item m="1" x="465"/>
        <item m="1" x="762"/>
        <item m="1" x="457"/>
        <item m="1" x="754"/>
        <item m="1" x="446"/>
        <item m="1" x="747"/>
        <item m="1" x="436"/>
        <item m="1" x="736"/>
        <item m="1" x="425"/>
        <item m="1" x="726"/>
        <item m="1" x="413"/>
        <item m="1" x="715"/>
        <item m="1" x="403"/>
        <item m="1" x="703"/>
        <item m="1" x="392"/>
        <item m="1" x="691"/>
        <item m="1" x="492"/>
        <item m="1" x="207"/>
        <item m="1" x="487"/>
        <item m="1" x="789"/>
        <item m="1" x="482"/>
        <item m="1" x="782"/>
        <item m="1" x="476"/>
        <item m="1" x="776"/>
        <item m="1" x="471"/>
        <item m="1" x="769"/>
        <item m="1" x="464"/>
        <item m="1" x="761"/>
        <item m="1" x="456"/>
        <item m="1" x="753"/>
        <item m="1" x="445"/>
        <item m="1" x="746"/>
        <item m="1" x="435"/>
        <item m="1" x="735"/>
        <item m="1" x="424"/>
        <item m="1" x="725"/>
        <item m="1" x="412"/>
        <item m="1" x="714"/>
        <item m="1" x="402"/>
        <item m="1" x="702"/>
        <item m="1" x="391"/>
        <item m="1" x="690"/>
        <item m="1" x="378"/>
        <item m="1" x="678"/>
        <item m="1" x="363"/>
        <item m="1" x="666"/>
        <item m="1" x="787"/>
        <item m="1" x="480"/>
        <item m="1" x="780"/>
        <item m="1" x="474"/>
        <item m="1" x="775"/>
        <item m="1" x="469"/>
        <item m="1" x="767"/>
        <item m="1" x="463"/>
        <item m="1" x="759"/>
        <item m="1" x="454"/>
        <item m="1" x="752"/>
        <item m="1" x="443"/>
        <item m="1" x="744"/>
        <item m="1" x="433"/>
        <item m="1" x="733"/>
        <item m="1" x="422"/>
        <item m="1" x="723"/>
        <item m="1" x="410"/>
        <item m="1" x="712"/>
        <item m="1" x="400"/>
        <item m="1" x="701"/>
        <item m="1" x="389"/>
        <item m="1" x="689"/>
        <item m="1" x="376"/>
        <item m="1" x="676"/>
        <item m="1" x="361"/>
        <item m="1" x="664"/>
        <item m="1" x="351"/>
        <item m="1" x="652"/>
        <item m="1" x="337"/>
        <item m="1" x="636"/>
        <item m="1" x="773"/>
        <item m="1" x="468"/>
        <item m="1" x="765"/>
        <item m="1" x="461"/>
        <item m="1" x="757"/>
        <item m="1" x="452"/>
        <item m="1" x="751"/>
        <item m="1" x="441"/>
        <item m="1" x="743"/>
        <item m="1" x="431"/>
        <item m="1" x="732"/>
        <item m="1" x="420"/>
        <item m="1" x="721"/>
        <item m="1" x="408"/>
        <item m="1" x="710"/>
        <item m="1" x="398"/>
        <item m="1" x="699"/>
        <item m="1" x="387"/>
        <item m="1" x="687"/>
        <item m="1" x="374"/>
        <item m="1" x="674"/>
        <item m="1" x="359"/>
        <item m="1" x="662"/>
        <item m="1" x="449"/>
        <item m="1" x="349"/>
        <item m="1" x="650"/>
        <item m="1" x="336"/>
        <item m="1" x="634"/>
        <item m="1" x="323"/>
        <item m="1" x="619"/>
        <item m="1" x="310"/>
        <item m="1" x="606"/>
        <item m="1" x="450"/>
        <item m="1" x="750"/>
        <item m="1" x="439"/>
        <item m="1" x="741"/>
        <item m="1" x="429"/>
        <item m="1" x="730"/>
        <item m="1" x="418"/>
        <item m="1" x="719"/>
        <item m="1" x="406"/>
        <item m="1" x="708"/>
        <item m="1" x="396"/>
        <item m="1" x="697"/>
        <item m="1" x="385"/>
        <item m="1" x="686"/>
        <item m="1" x="371"/>
        <item m="1" x="673"/>
        <item m="1" x="358"/>
        <item m="1" x="660"/>
        <item m="1" x="347"/>
        <item m="1" x="648"/>
        <item m="1" x="334"/>
        <item m="1" x="632"/>
        <item m="1" x="321"/>
        <item m="1" x="617"/>
        <item m="1" x="309"/>
        <item m="1" x="604"/>
        <item m="1" x="298"/>
        <item m="1" x="591"/>
        <item m="1" x="288"/>
        <item m="1" x="579"/>
        <item m="1" x="739"/>
        <item m="1" x="427"/>
        <item m="1" x="728"/>
        <item m="1" x="416"/>
        <item m="1" x="717"/>
        <item m="1" x="405"/>
        <item m="1" x="706"/>
        <item m="1" x="395"/>
        <item m="1" x="695"/>
        <item m="1" x="383"/>
        <item m="1" x="684"/>
        <item m="1" x="369"/>
        <item m="1" x="671"/>
        <item m="1" x="356"/>
        <item m="1" x="658"/>
        <item m="1" x="345"/>
        <item m="1" x="646"/>
        <item m="1" x="332"/>
        <item m="1" x="629"/>
        <item m="1" x="319"/>
        <item m="1" x="615"/>
        <item m="1" x="307"/>
        <item m="1" x="602"/>
        <item m="1" x="296"/>
        <item m="1" x="589"/>
        <item m="1" x="287"/>
        <item m="1" x="578"/>
        <item m="1" x="278"/>
        <item m="1" x="567"/>
        <item m="1" x="556"/>
        <item m="1" x="404"/>
        <item m="1" x="704"/>
        <item m="1" x="393"/>
        <item m="1" x="694"/>
        <item m="1" x="381"/>
        <item m="1" x="682"/>
        <item m="1" x="367"/>
        <item m="1" x="670"/>
        <item m="1" x="354"/>
        <item m="1" x="656"/>
        <item m="1" x="343"/>
        <item m="1" x="644"/>
        <item m="1" x="330"/>
        <item m="1" x="627"/>
        <item m="1" x="317"/>
        <item m="1" x="614"/>
        <item m="1" x="305"/>
        <item m="1" x="600"/>
        <item m="1" x="295"/>
        <item m="1" x="587"/>
        <item m="1" x="566"/>
        <item m="1" x="285"/>
        <item m="1" x="576"/>
        <item m="1" x="277"/>
        <item m="1" x="415"/>
        <item m="1" x="564"/>
        <item m="1" x="269"/>
        <item m="1" x="554"/>
        <item m="1" x="263"/>
        <item m="1" x="546"/>
        <item m="1" x="538"/>
        <item m="1" x="692"/>
        <item m="1" x="379"/>
        <item m="1" x="680"/>
        <item m="1" x="365"/>
        <item m="1" x="668"/>
        <item m="1" x="353"/>
        <item m="1" x="654"/>
        <item m="1" x="341"/>
        <item m="1" x="642"/>
        <item m="1" x="328"/>
        <item m="1" x="625"/>
        <item m="1" x="315"/>
        <item m="1" x="612"/>
        <item m="1" x="303"/>
        <item m="1" x="597"/>
        <item m="1" x="293"/>
        <item m="1" x="585"/>
        <item m="1" x="283"/>
        <item m="1" x="574"/>
        <item m="1" x="275"/>
        <item m="1" x="562"/>
        <item m="1" x="267"/>
        <item m="1" x="552"/>
        <item m="1" x="261"/>
        <item m="1" x="544"/>
        <item m="1" x="254"/>
        <item m="1" x="536"/>
        <item m="1" x="247"/>
        <item m="1" x="530"/>
        <item m="1" x="240"/>
        <item m="1" x="523"/>
        <item m="1" x="339"/>
        <item m="1" x="640"/>
        <item m="1" x="326"/>
        <item m="1" x="623"/>
        <item m="1" x="313"/>
        <item m="1" x="610"/>
        <item m="1" x="301"/>
        <item m="1" x="595"/>
        <item m="1" x="291"/>
        <item m="1" x="583"/>
        <item m="1" x="281"/>
        <item m="1" x="460"/>
        <item m="1" x="572"/>
        <item m="1" x="273"/>
        <item m="1" x="560"/>
        <item m="1" x="265"/>
        <item m="1" x="550"/>
        <item m="1" x="259"/>
        <item m="1" x="542"/>
        <item m="1" x="249"/>
        <item m="1" x="252"/>
        <item m="1" x="534"/>
        <item m="1" x="245"/>
        <item m="1" x="528"/>
        <item m="1" x="238"/>
        <item m="1" x="521"/>
        <item m="1" x="235"/>
        <item m="1" x="516"/>
        <item m="1" x="229"/>
        <item m="1" x="510"/>
        <item m="1" x="638"/>
        <item m="1" x="324"/>
        <item m="1" x="621"/>
        <item m="1" x="312"/>
        <item m="1" x="608"/>
        <item m="1" x="299"/>
        <item m="1" x="593"/>
        <item m="1" x="290"/>
        <item m="1" x="581"/>
        <item m="1" x="280"/>
        <item m="1" x="570"/>
        <item m="1" x="271"/>
        <item m="1" x="558"/>
        <item m="1" x="264"/>
        <item m="1" x="548"/>
        <item m="1" x="257"/>
        <item m="1" x="540"/>
        <item m="1" x="250"/>
        <item m="1" x="532"/>
        <item m="1" x="243"/>
        <item m="1" x="526"/>
        <item m="1" x="237"/>
        <item m="1" x="519"/>
        <item m="1" x="233"/>
        <item m="1" x="514"/>
        <item m="1" x="227"/>
        <item m="1" x="508"/>
        <item m="1" x="223"/>
        <item m="1" x="504"/>
        <item m="1" x="218"/>
        <item m="1" x="500"/>
      </items>
      <extLst>
        <ext xmlns:x14="http://schemas.microsoft.com/office/spreadsheetml/2009/9/main" uri="{2946ED86-A175-432a-8AC1-64E0C546D7DE}">
          <x14:pivotField fillDownLabels="1"/>
        </ext>
      </extLst>
    </pivotField>
    <pivotField compact="0" outline="0" showAll="0" defaultSubtotal="0"/>
    <pivotField compact="0" outline="0" multipleItemSelectionAllowed="1" showAll="0"/>
    <pivotField compact="0" outline="0" multipleItemSelectionAllowed="1" showAll="0" defaultSubtotal="0">
      <items count="69">
        <item m="1" x="58"/>
        <item m="1" x="32"/>
        <item m="1" x="12"/>
        <item m="1" x="15"/>
        <item m="1" x="47"/>
        <item m="1" x="67"/>
        <item m="1" x="63"/>
        <item m="1" x="35"/>
        <item m="1" x="23"/>
        <item m="1" x="49"/>
        <item m="1" x="54"/>
        <item m="1" x="13"/>
        <item m="1" x="48"/>
        <item m="1" x="24"/>
        <item m="1" x="57"/>
        <item m="1" x="55"/>
        <item m="1" x="39"/>
        <item m="1" x="33"/>
        <item m="1" x="65"/>
        <item m="1" x="38"/>
        <item m="1" x="40"/>
        <item m="1" x="50"/>
        <item m="1" x="37"/>
        <item x="0"/>
        <item m="1" x="46"/>
        <item m="1" x="29"/>
        <item m="1" x="68"/>
        <item m="1" x="18"/>
        <item m="1" x="66"/>
        <item m="1" x="59"/>
        <item m="1" x="62"/>
        <item m="1" x="19"/>
        <item m="1" x="43"/>
        <item m="1" x="51"/>
        <item m="1" x="11"/>
        <item m="1" x="21"/>
        <item m="1" x="45"/>
        <item m="1" x="16"/>
        <item m="1" x="60"/>
        <item m="1" x="20"/>
        <item m="1" x="64"/>
        <item m="1" x="10"/>
        <item m="1" x="42"/>
        <item m="1" x="56"/>
        <item m="1" x="34"/>
        <item m="1" x="17"/>
        <item x="2"/>
        <item m="1" x="36"/>
        <item x="1"/>
        <item m="1" x="27"/>
        <item m="1" x="25"/>
        <item m="1" x="22"/>
        <item m="1" x="26"/>
        <item m="1" x="41"/>
        <item m="1" x="31"/>
        <item m="1" x="30"/>
        <item x="7"/>
        <item m="1" x="61"/>
        <item x="5"/>
        <item x="9"/>
        <item m="1" x="28"/>
        <item x="8"/>
        <item m="1" x="44"/>
        <item m="1" x="53"/>
        <item m="1" x="14"/>
        <item m="1" x="52"/>
        <item x="6"/>
        <item x="3"/>
        <item x="4"/>
      </items>
      <extLst>
        <ext xmlns:x14="http://schemas.microsoft.com/office/spreadsheetml/2009/9/main" uri="{2946ED86-A175-432a-8AC1-64E0C546D7DE}">
          <x14:pivotField fillDownLabels="1"/>
        </ext>
      </extLst>
    </pivotField>
    <pivotField compact="0" outline="0" multipleItemSelectionAllowed="1" showAll="0" defaultSubtotal="0">
      <items count="171">
        <item m="1" x="16"/>
        <item m="1" x="28"/>
        <item m="1" x="159"/>
        <item m="1" x="23"/>
        <item m="1" x="126"/>
        <item m="1" x="127"/>
        <item m="1" x="81"/>
        <item m="1" x="130"/>
        <item m="1" x="75"/>
        <item m="1" x="125"/>
        <item m="1" x="150"/>
        <item m="1" x="134"/>
        <item m="1" x="160"/>
        <item m="1" x="113"/>
        <item m="1" x="91"/>
        <item m="1" x="47"/>
        <item m="1" x="71"/>
        <item m="1" x="155"/>
        <item m="1" x="143"/>
        <item m="1" x="146"/>
        <item m="1" x="82"/>
        <item m="1" x="18"/>
        <item m="1" x="65"/>
        <item m="1" x="148"/>
        <item m="1" x="27"/>
        <item m="1" x="139"/>
        <item m="1" x="89"/>
        <item m="1" x="147"/>
        <item m="1" x="48"/>
        <item m="1" x="31"/>
        <item m="1" x="12"/>
        <item m="1" x="41"/>
        <item m="1" x="135"/>
        <item m="1" x="133"/>
        <item m="1" x="128"/>
        <item m="1" x="129"/>
        <item m="1" x="109"/>
        <item m="1" x="44"/>
        <item m="1" x="68"/>
        <item m="1" x="153"/>
        <item m="1" x="123"/>
        <item m="1" x="22"/>
        <item m="1" x="164"/>
        <item m="1" x="110"/>
        <item m="1" x="105"/>
        <item m="1" x="37"/>
        <item m="1" x="120"/>
        <item m="1" x="119"/>
        <item m="1" x="122"/>
        <item m="1" x="4"/>
        <item m="1" x="114"/>
        <item m="1" x="117"/>
        <item m="1" x="96"/>
        <item m="1" x="49"/>
        <item m="1" x="124"/>
        <item m="1" x="112"/>
        <item m="1" x="57"/>
        <item m="1" x="83"/>
        <item m="1" x="87"/>
        <item m="1" x="94"/>
        <item m="1" x="90"/>
        <item m="1" x="34"/>
        <item m="1" x="144"/>
        <item m="1" x="142"/>
        <item m="1" x="154"/>
        <item m="1" x="97"/>
        <item m="1" x="67"/>
        <item m="1" x="167"/>
        <item m="1" x="84"/>
        <item m="1" x="8"/>
        <item m="1" x="29"/>
        <item m="1" x="24"/>
        <item m="1" x="26"/>
        <item m="1" x="9"/>
        <item m="1" x="56"/>
        <item m="1" x="40"/>
        <item m="1" x="131"/>
        <item m="1" x="62"/>
        <item m="1" x="54"/>
        <item m="1" x="61"/>
        <item m="1" x="19"/>
        <item m="1" x="163"/>
        <item m="1" x="73"/>
        <item m="1" x="32"/>
        <item m="1" x="33"/>
        <item m="1" x="46"/>
        <item m="1" x="20"/>
        <item m="1" x="102"/>
        <item m="1" x="166"/>
        <item m="1" x="85"/>
        <item m="1" x="151"/>
        <item m="1" x="38"/>
        <item m="1" x="36"/>
        <item m="1" x="136"/>
        <item m="1" x="77"/>
        <item m="1" x="5"/>
        <item m="1" x="80"/>
        <item m="1" x="35"/>
        <item m="1" x="42"/>
        <item m="1" x="72"/>
        <item m="1" x="45"/>
        <item m="1" x="116"/>
        <item m="1" x="95"/>
        <item m="1" x="70"/>
        <item m="1" x="55"/>
        <item m="1" x="79"/>
        <item m="1" x="76"/>
        <item m="1" x="145"/>
        <item m="1" x="108"/>
        <item m="1" x="59"/>
        <item m="1" x="152"/>
        <item m="1" x="14"/>
        <item m="1" x="50"/>
        <item m="1" x="107"/>
        <item m="1" x="169"/>
        <item m="1" x="60"/>
        <item m="1" x="6"/>
        <item m="1" x="78"/>
        <item m="1" x="93"/>
        <item m="1" x="162"/>
        <item m="1" x="21"/>
        <item m="1" x="52"/>
        <item m="1" x="86"/>
        <item m="1" x="63"/>
        <item m="1" x="121"/>
        <item m="1" x="137"/>
        <item m="1" x="51"/>
        <item m="1" x="39"/>
        <item m="1" x="98"/>
        <item m="1" x="158"/>
        <item m="1" x="157"/>
        <item m="1" x="165"/>
        <item m="1" x="161"/>
        <item m="1" x="69"/>
        <item m="1" x="106"/>
        <item m="1" x="101"/>
        <item m="1" x="104"/>
        <item m="1" x="103"/>
        <item m="1" x="141"/>
        <item m="1" x="170"/>
        <item m="1" x="64"/>
        <item m="1" x="10"/>
        <item m="1" x="100"/>
        <item m="1" x="111"/>
        <item m="1" x="138"/>
        <item m="1" x="115"/>
        <item m="1" x="66"/>
        <item m="1" x="7"/>
        <item m="1" x="99"/>
        <item m="1" x="43"/>
        <item m="1" x="118"/>
        <item m="1" x="3"/>
        <item m="1" x="168"/>
        <item m="1" x="149"/>
        <item m="1" x="53"/>
        <item m="1" x="88"/>
        <item m="1" x="58"/>
        <item m="1" x="25"/>
        <item m="1" x="15"/>
        <item m="1" x="11"/>
        <item m="1" x="30"/>
        <item m="1" x="132"/>
        <item m="1" x="156"/>
        <item m="1" x="13"/>
        <item m="1" x="140"/>
        <item m="1" x="92"/>
        <item x="0"/>
        <item x="1"/>
        <item m="1" x="74"/>
        <item m="1" x="17"/>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95">
        <item m="1" x="80"/>
        <item m="1" x="87"/>
        <item m="1" x="91"/>
        <item x="27"/>
        <item x="14"/>
        <item x="13"/>
        <item m="1" x="92"/>
        <item m="1" x="84"/>
        <item m="1" x="94"/>
        <item m="1" x="75"/>
        <item x="56"/>
        <item x="31"/>
        <item m="1" x="77"/>
        <item m="1" x="93"/>
        <item m="1" x="86"/>
        <item m="1" x="71"/>
        <item m="1" x="89"/>
        <item m="1" x="82"/>
        <item m="1" x="76"/>
        <item x="51"/>
        <item m="1" x="85"/>
        <item m="1" x="70"/>
        <item m="1" x="81"/>
        <item m="1" x="88"/>
        <item m="1" x="72"/>
        <item x="69"/>
        <item x="60"/>
        <item m="1" x="90"/>
        <item m="1" x="74"/>
        <item x="15"/>
        <item x="66"/>
        <item x="65"/>
        <item x="58"/>
        <item x="68"/>
        <item x="17"/>
        <item x="25"/>
        <item x="29"/>
        <item x="28"/>
        <item x="46"/>
        <item x="35"/>
        <item x="42"/>
        <item x="2"/>
        <item x="59"/>
        <item x="44"/>
        <item m="1" x="79"/>
        <item x="57"/>
        <item m="1" x="83"/>
        <item x="30"/>
        <item m="1" x="78"/>
        <item x="18"/>
        <item x="11"/>
        <item x="24"/>
        <item x="9"/>
        <item x="0"/>
        <item x="67"/>
        <item x="48"/>
        <item m="1" x="73"/>
        <item x="47"/>
        <item x="12"/>
        <item x="37"/>
        <item x="61"/>
        <item x="62"/>
        <item x="63"/>
        <item x="64"/>
        <item x="6"/>
        <item x="55"/>
        <item x="36"/>
        <item x="34"/>
        <item x="4"/>
        <item x="3"/>
        <item x="19"/>
        <item x="20"/>
        <item x="21"/>
        <item x="54"/>
        <item x="53"/>
        <item x="16"/>
        <item x="52"/>
        <item x="32"/>
        <item x="7"/>
        <item x="1"/>
        <item x="49"/>
        <item x="50"/>
        <item x="43"/>
        <item x="41"/>
        <item x="39"/>
        <item x="40"/>
        <item x="45"/>
        <item x="33"/>
        <item x="10"/>
        <item x="38"/>
        <item x="8"/>
        <item x="5"/>
        <item x="26"/>
        <item x="23"/>
        <item x="2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7">
        <item m="1" x="23"/>
        <item m="1" x="15"/>
        <item m="1" x="24"/>
        <item x="2"/>
        <item m="1" x="10"/>
        <item x="1"/>
        <item m="1" x="18"/>
        <item m="1" x="21"/>
        <item m="1" x="11"/>
        <item m="1" x="26"/>
        <item m="1" x="22"/>
        <item m="1" x="16"/>
        <item m="1" x="14"/>
        <item x="7"/>
        <item m="1" x="17"/>
        <item x="5"/>
        <item x="9"/>
        <item m="1" x="19"/>
        <item x="8"/>
        <item m="1" x="25"/>
        <item m="1" x="13"/>
        <item x="0"/>
        <item m="1" x="12"/>
        <item m="1" x="20"/>
        <item x="6"/>
        <item x="3"/>
        <item x="4"/>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sortType="ascending" defaultSubtotal="0">
      <items count="3336">
        <item m="1" x="70"/>
        <item m="1" x="1988"/>
        <item m="1" x="833"/>
        <item m="1" x="1802"/>
        <item m="1" x="127"/>
        <item m="1" x="2090"/>
        <item m="1" x="178"/>
        <item m="1" x="678"/>
        <item m="1" x="613"/>
        <item m="1" x="2175"/>
        <item m="1" x="251"/>
        <item m="1" x="618"/>
        <item m="1" x="173"/>
        <item m="1" x="2830"/>
        <item m="1" x="551"/>
        <item m="1" x="133"/>
        <item m="1" x="633"/>
        <item m="1" x="1902"/>
        <item m="1" x="2561"/>
        <item m="1" x="3327"/>
        <item m="1" x="358"/>
        <item m="1" x="2930"/>
        <item m="1" x="1738"/>
        <item m="1" x="364"/>
        <item m="1" x="703"/>
        <item m="1" x="2183"/>
        <item m="1" x="2033"/>
        <item m="1" x="2451"/>
        <item m="1" x="2203"/>
        <item m="1" x="2293"/>
        <item m="1" x="1395"/>
        <item m="1" x="2655"/>
        <item m="1" x="1328"/>
        <item m="1" x="2789"/>
        <item m="1" x="2909"/>
        <item m="1" x="943"/>
        <item m="1" x="90"/>
        <item m="1" x="2449"/>
        <item m="1" x="1366"/>
        <item m="1" x="2685"/>
        <item m="1" x="2354"/>
        <item m="1" x="1379"/>
        <item m="1" x="2070"/>
        <item m="1" x="1931"/>
        <item m="1" x="297"/>
        <item m="1" x="669"/>
        <item m="1" x="384"/>
        <item m="1" x="3294"/>
        <item m="1" x="2590"/>
        <item m="1" x="1654"/>
        <item m="1" x="2898"/>
        <item m="1" x="1651"/>
        <item m="1" x="3166"/>
        <item m="1" x="2044"/>
        <item m="1" x="2110"/>
        <item m="1" x="1205"/>
        <item m="1" x="2337"/>
        <item m="1" x="1058"/>
        <item m="1" x="453"/>
        <item m="1" x="819"/>
        <item m="1" x="3140"/>
        <item m="1" x="2609"/>
        <item m="1" x="597"/>
        <item m="1" x="648"/>
        <item m="1" x="2516"/>
        <item m="1" x="2192"/>
        <item m="1" x="2232"/>
        <item m="1" x="1858"/>
        <item m="1" x="2129"/>
        <item m="1" x="1734"/>
        <item m="1" x="2096"/>
        <item m="1" x="2121"/>
        <item m="1" x="732"/>
        <item m="1" x="1795"/>
        <item m="1" x="2737"/>
        <item m="1" x="2704"/>
        <item m="1" x="1385"/>
        <item m="1" x="2848"/>
        <item m="1" x="2884"/>
        <item m="1" x="2021"/>
        <item m="1" x="2463"/>
        <item m="1" x="2174"/>
        <item m="1" x="1421"/>
        <item m="1" x="1966"/>
        <item m="1" x="270"/>
        <item m="1" x="3270"/>
        <item m="1" x="3180"/>
        <item m="1" x="979"/>
        <item m="1" x="3085"/>
        <item m="1" x="981"/>
        <item m="1" x="2730"/>
        <item m="1" x="125"/>
        <item m="1" x="698"/>
        <item m="1" x="540"/>
        <item m="1" x="1448"/>
        <item m="1" x="2688"/>
        <item m="1" x="2689"/>
        <item m="1" x="451"/>
        <item m="1" x="3121"/>
        <item m="1" x="2426"/>
        <item m="1" x="2351"/>
        <item m="1" x="1480"/>
        <item m="1" x="1766"/>
        <item m="1" x="486"/>
        <item m="1" x="2701"/>
        <item m="1" x="2374"/>
        <item m="1" x="1220"/>
        <item m="1" x="911"/>
        <item m="1" x="475"/>
        <item m="1" x="1505"/>
        <item m="1" x="2052"/>
        <item m="1" x="223"/>
        <item m="1" x="724"/>
        <item m="1" x="1681"/>
        <item m="1" x="89"/>
        <item m="1" x="2692"/>
        <item m="1" x="2434"/>
        <item m="1" x="1389"/>
        <item m="1" x="2943"/>
        <item m="1" x="2563"/>
        <item m="1" x="326"/>
        <item m="1" x="799"/>
        <item m="1" x="974"/>
        <item m="1" x="1410"/>
        <item m="1" x="2756"/>
        <item m="1" x="1353"/>
        <item m="1" x="713"/>
        <item m="1" x="2610"/>
        <item m="1" x="808"/>
        <item m="1" x="232"/>
        <item m="1" x="3006"/>
        <item m="1" x="87"/>
        <item m="1" x="2433"/>
        <item m="1" x="1882"/>
        <item m="1" x="741"/>
        <item m="1" x="1067"/>
        <item m="1" x="1278"/>
        <item m="1" x="1844"/>
        <item m="1" x="3179"/>
        <item m="1" x="1132"/>
        <item m="1" x="2294"/>
        <item m="1" x="757"/>
        <item m="1" x="736"/>
        <item m="1" x="906"/>
        <item m="1" x="785"/>
        <item m="1" x="962"/>
        <item m="1" x="320"/>
        <item m="1" x="1809"/>
        <item m="1" x="284"/>
        <item m="1" x="1563"/>
        <item m="1" x="2618"/>
        <item m="1" x="3002"/>
        <item m="1" x="3203"/>
        <item m="1" x="2881"/>
        <item m="1" x="2383"/>
        <item m="1" x="649"/>
        <item m="1" x="858"/>
        <item m="1" x="1146"/>
        <item m="1" x="1657"/>
        <item m="1" x="1696"/>
        <item m="1" x="1721"/>
        <item m="1" x="3138"/>
        <item m="1" x="245"/>
        <item m="1" x="1587"/>
        <item m="1" x="1449"/>
        <item m="1" x="160"/>
        <item m="1" x="106"/>
        <item m="1" x="793"/>
        <item m="1" x="2671"/>
        <item m="1" x="3275"/>
        <item m="1" x="489"/>
        <item m="1" x="528"/>
        <item m="1" x="3091"/>
        <item m="1" x="3027"/>
        <item m="1" x="2952"/>
        <item m="1" x="1030"/>
        <item m="1" x="1457"/>
        <item m="1" x="1092"/>
        <item m="1" x="2916"/>
        <item m="1" x="1811"/>
        <item m="1" x="2008"/>
        <item m="1" x="1891"/>
        <item m="1" x="3157"/>
        <item m="1" x="119"/>
        <item m="1" x="1173"/>
        <item m="1" x="1645"/>
        <item m="1" x="1556"/>
        <item m="1" x="1623"/>
        <item m="1" x="1683"/>
        <item m="1" x="2553"/>
        <item m="1" x="2691"/>
        <item m="1" x="1163"/>
        <item m="1" x="2497"/>
        <item m="1" x="2978"/>
        <item m="1" x="2302"/>
        <item m="1" x="1903"/>
        <item m="1" x="1720"/>
        <item m="1" x="294"/>
        <item m="1" x="375"/>
        <item m="1" x="2425"/>
        <item m="1" x="2783"/>
        <item m="1" x="3192"/>
        <item m="1" x="2370"/>
        <item m="1" x="1692"/>
        <item m="1" x="1964"/>
        <item m="1" x="1265"/>
        <item m="1" x="182"/>
        <item m="1" x="1846"/>
        <item m="1" x="1835"/>
        <item m="1" x="2048"/>
        <item m="1" x="1838"/>
        <item m="1" x="2765"/>
        <item m="1" x="2639"/>
        <item m="1" x="1552"/>
        <item m="1" x="2051"/>
        <item m="1" x="2437"/>
        <item m="1" x="932"/>
        <item m="1" x="298"/>
        <item m="1" x="1028"/>
        <item m="1" x="2573"/>
        <item m="1" x="1049"/>
        <item m="1" x="2015"/>
        <item m="1" x="1686"/>
        <item m="1" x="1798"/>
        <item m="1" x="760"/>
        <item m="1" x="1154"/>
        <item m="1" x="276"/>
        <item m="1" x="889"/>
        <item m="1" x="1778"/>
        <item m="1" x="907"/>
        <item m="1" x="1314"/>
        <item m="1" x="131"/>
        <item m="1" x="593"/>
        <item m="1" x="2062"/>
        <item m="1" x="1221"/>
        <item m="1" x="990"/>
        <item m="1" x="2435"/>
        <item m="1" x="3315"/>
        <item m="1" x="3287"/>
        <item m="1" x="1765"/>
        <item m="1" x="772"/>
        <item m="1" x="323"/>
        <item m="1" x="1228"/>
        <item m="1" x="2264"/>
        <item m="1" x="2407"/>
        <item m="1" x="756"/>
        <item m="1" x="3083"/>
        <item m="1" x="1983"/>
        <item m="1" x="1579"/>
        <item m="1" x="1502"/>
        <item m="1" x="2177"/>
        <item m="1" x="1684"/>
        <item m="1" x="1803"/>
        <item m="1" x="222"/>
        <item m="1" x="112"/>
        <item m="1" x="2199"/>
        <item m="1" x="958"/>
        <item m="1" x="388"/>
        <item m="1" x="1805"/>
        <item m="1" x="1534"/>
        <item m="1" x="1155"/>
        <item m="1" x="1586"/>
        <item m="1" x="1588"/>
        <item m="1" x="1548"/>
        <item m="1" x="1160"/>
        <item m="1" x="369"/>
        <item m="1" x="682"/>
        <item m="1" x="3266"/>
        <item m="1" x="951"/>
        <item m="1" x="357"/>
        <item m="1" x="3050"/>
        <item m="1" x="379"/>
        <item m="1" x="132"/>
        <item m="1" x="1251"/>
        <item m="1" x="2085"/>
        <item m="1" x="2456"/>
        <item m="1" x="561"/>
        <item m="1" x="1218"/>
        <item m="1" x="1610"/>
        <item m="1" x="3282"/>
        <item m="1" x="3231"/>
        <item m="1" x="3284"/>
        <item m="1" x="1120"/>
        <item m="1" x="2115"/>
        <item m="1" x="815"/>
        <item m="1" x="3224"/>
        <item m="1" x="3302"/>
        <item m="1" x="2076"/>
        <item m="1" x="584"/>
        <item m="1" x="2251"/>
        <item m="1" x="474"/>
        <item m="1" x="3195"/>
        <item m="1" x="429"/>
        <item m="1" x="1329"/>
        <item m="1" x="983"/>
        <item m="1" x="1189"/>
        <item m="1" x="1878"/>
        <item m="1" x="121"/>
        <item m="1" x="1506"/>
        <item m="1" x="645"/>
        <item m="1" x="308"/>
        <item m="1" x="1694"/>
        <item m="1" x="2269"/>
        <item m="1" x="2215"/>
        <item m="1" x="1908"/>
        <item m="1" x="2938"/>
        <item m="1" x="1998"/>
        <item m="1" x="2717"/>
        <item m="1" x="1797"/>
        <item m="1" x="476"/>
        <item m="1" x="3259"/>
        <item m="1" x="891"/>
        <item m="1" x="2274"/>
        <item m="1" x="1215"/>
        <item m="1" x="1597"/>
        <item m="1" x="2343"/>
        <item m="1" x="2315"/>
        <item m="1" x="2487"/>
        <item m="1" x="1674"/>
        <item m="1" x="1178"/>
        <item m="1" x="226"/>
        <item m="1" x="2917"/>
        <item m="1" x="957"/>
        <item m="1" x="1397"/>
        <item m="1" x="2597"/>
        <item m="1" x="3268"/>
        <item m="1" x="2892"/>
        <item m="1" x="2893"/>
        <item m="1" x="3279"/>
        <item m="1" x="3191"/>
        <item m="1" x="3066"/>
        <item m="1" x="1775"/>
        <item m="1" x="103"/>
        <item m="1" x="2341"/>
        <item m="1" x="493"/>
        <item m="1" x="2672"/>
        <item m="1" x="1666"/>
        <item m="1" x="814"/>
        <item m="1" x="1559"/>
        <item m="1" x="831"/>
        <item m="1" x="1628"/>
        <item m="1" x="1396"/>
        <item m="1" x="1042"/>
        <item m="1" x="961"/>
        <item m="1" x="763"/>
        <item m="1" x="1510"/>
        <item m="1" x="1664"/>
        <item m="1" x="2159"/>
        <item m="1" x="949"/>
        <item m="1" x="1914"/>
        <item m="1" x="3155"/>
        <item m="1" x="2956"/>
        <item m="1" x="3247"/>
        <item m="1" x="240"/>
        <item m="1" x="1295"/>
        <item m="1" x="1753"/>
        <item m="1" x="2517"/>
        <item x="4"/>
        <item x="2"/>
        <item x="3"/>
        <item x="15"/>
        <item m="1" x="1223"/>
        <item m="1" x="517"/>
        <item x="27"/>
        <item x="68"/>
        <item x="55"/>
        <item x="39"/>
        <item x="29"/>
        <item x="56"/>
        <item x="67"/>
        <item x="10"/>
        <item m="1" x="1569"/>
        <item x="40"/>
        <item x="64"/>
        <item x="58"/>
        <item x="53"/>
        <item m="1" x="2841"/>
        <item m="1" x="2847"/>
        <item m="1" x="610"/>
        <item m="1" x="663"/>
        <item m="1" x="838"/>
        <item m="1" x="695"/>
        <item m="1" x="916"/>
        <item m="1" x="495"/>
        <item m="1" x="936"/>
        <item m="1" x="2889"/>
        <item m="1" x="2887"/>
        <item m="1" x="659"/>
        <item m="1" x="1399"/>
        <item m="1" x="1052"/>
        <item m="1" x="1498"/>
        <item m="1" x="1020"/>
        <item m="1" x="1698"/>
        <item m="1" x="3326"/>
        <item m="1" x="1890"/>
        <item m="1" x="2627"/>
        <item m="1" x="925"/>
        <item m="1" x="2911"/>
        <item m="1" x="2757"/>
        <item m="1" x="2149"/>
        <item m="1" x="3303"/>
        <item m="1" x="1358"/>
        <item x="28"/>
        <item m="1" x="596"/>
        <item m="1" x="3307"/>
        <item x="47"/>
        <item m="1" x="751"/>
        <item x="5"/>
        <item m="1" x="1571"/>
        <item x="48"/>
        <item m="1" x="1388"/>
        <item x="59"/>
        <item x="41"/>
        <item m="1" x="165"/>
        <item x="30"/>
        <item x="38"/>
        <item x="42"/>
        <item x="61"/>
        <item x="62"/>
        <item x="63"/>
        <item m="1" x="1129"/>
        <item m="1" x="1864"/>
        <item m="1" x="3201"/>
        <item m="1" x="749"/>
        <item m="1" x="2406"/>
        <item m="1" x="664"/>
        <item m="1" x="2713"/>
        <item m="1" x="1665"/>
        <item m="1" x="1355"/>
        <item m="1" x="933"/>
        <item x="16"/>
        <item m="1" x="1688"/>
        <item x="14"/>
        <item x="8"/>
        <item x="66"/>
        <item m="1" x="2910"/>
        <item m="1" x="2443"/>
        <item m="1" x="2823"/>
        <item m="1" x="2146"/>
        <item m="1" x="1487"/>
        <item m="1" x="1605"/>
        <item m="1" x="1226"/>
        <item m="1" x="2860"/>
        <item m="1" x="638"/>
        <item m="1" x="3009"/>
        <item m="1" x="1181"/>
        <item m="1" x="1972"/>
        <item m="1" x="2528"/>
        <item m="1" x="1536"/>
        <item m="1" x="3291"/>
        <item m="1" x="2010"/>
        <item m="1" x="556"/>
        <item m="1" x="2522"/>
        <item m="1" x="987"/>
        <item m="1" x="3045"/>
        <item m="1" x="1577"/>
        <item m="1" x="1832"/>
        <item m="1" x="221"/>
        <item m="1" x="1892"/>
        <item m="1" x="738"/>
        <item x="52"/>
        <item m="1" x="2801"/>
        <item x="43"/>
        <item x="44"/>
        <item m="1" x="531"/>
        <item x="45"/>
        <item x="46"/>
        <item m="1" x="2670"/>
        <item x="13"/>
        <item x="25"/>
        <item x="65"/>
        <item m="1" x="1345"/>
        <item m="1" x="620"/>
        <item m="1" x="631"/>
        <item m="1" x="1857"/>
        <item m="1" x="406"/>
        <item m="1" x="1276"/>
        <item m="1" x="1060"/>
        <item x="9"/>
        <item m="1" x="728"/>
        <item m="1" x="1352"/>
        <item m="1" x="3143"/>
        <item m="1" x="774"/>
        <item m="1" x="371"/>
        <item m="1" x="2562"/>
        <item m="1" x="1208"/>
        <item m="1" x="144"/>
        <item m="1" x="1259"/>
        <item m="1" x="2498"/>
        <item m="1" x="2394"/>
        <item m="1" x="2361"/>
        <item m="1" x="2095"/>
        <item m="1" x="3169"/>
        <item m="1" x="1182"/>
        <item m="1" x="2029"/>
        <item m="1" x="3037"/>
        <item m="1" x="2824"/>
        <item m="1" x="1827"/>
        <item m="1" x="2035"/>
        <item m="1" x="317"/>
        <item m="1" x="1547"/>
        <item m="1" x="138"/>
        <item m="1" x="1794"/>
        <item m="1" x="968"/>
        <item m="1" x="3320"/>
        <item m="1" x="555"/>
        <item m="1" x="565"/>
        <item m="1" x="3229"/>
        <item m="1" x="1095"/>
        <item m="1" x="603"/>
        <item m="1" x="2828"/>
        <item m="1" x="370"/>
        <item m="1" x="2959"/>
        <item m="1" x="918"/>
        <item m="1" x="2965"/>
        <item m="1" x="1064"/>
        <item m="1" x="684"/>
        <item m="1" x="428"/>
        <item m="1" x="1787"/>
        <item m="1" x="928"/>
        <item m="1" x="1456"/>
        <item m="1" x="2245"/>
        <item m="1" x="2744"/>
        <item m="1" x="2321"/>
        <item m="1" x="3051"/>
        <item m="1" x="573"/>
        <item m="1" x="2791"/>
        <item m="1" x="3095"/>
        <item m="1" x="1501"/>
        <item m="1" x="2408"/>
        <item m="1" x="3232"/>
        <item m="1" x="2595"/>
        <item m="1" x="85"/>
        <item m="1" x="376"/>
        <item m="1" x="3123"/>
        <item m="1" x="564"/>
        <item m="1" x="2509"/>
        <item m="1" x="2966"/>
        <item m="1" x="252"/>
        <item m="1" x="2849"/>
        <item m="1" x="558"/>
        <item m="1" x="386"/>
        <item m="1" x="1057"/>
        <item m="1" x="1641"/>
        <item m="1" x="1911"/>
        <item m="1" x="2651"/>
        <item m="1" x="3150"/>
        <item m="1" x="1517"/>
        <item m="1" x="1507"/>
        <item m="1" x="2420"/>
        <item m="1" x="2873"/>
        <item m="1" x="753"/>
        <item m="1" x="881"/>
        <item m="1" x="2770"/>
        <item m="1" x="2421"/>
        <item m="1" x="258"/>
        <item m="1" x="777"/>
        <item m="1" x="2631"/>
        <item m="1" x="2678"/>
        <item m="1" x="2755"/>
        <item m="1" x="2391"/>
        <item m="1" x="1245"/>
        <item m="1" x="1499"/>
        <item m="1" x="3102"/>
        <item m="1" x="803"/>
        <item m="1" x="3242"/>
        <item m="1" x="2229"/>
        <item m="1" x="3239"/>
        <item m="1" x="2564"/>
        <item m="1" x="1703"/>
        <item m="1" x="1390"/>
        <item m="1" x="1769"/>
        <item m="1" x="174"/>
        <item m="1" x="653"/>
        <item m="1" x="998"/>
        <item m="1" x="3208"/>
        <item m="1" x="2599"/>
        <item m="1" x="2669"/>
        <item m="1" x="395"/>
        <item m="1" x="331"/>
        <item m="1" x="1461"/>
        <item m="1" x="2334"/>
        <item m="1" x="447"/>
        <item m="1" x="1087"/>
        <item m="1" x="2326"/>
        <item m="1" x="2252"/>
        <item m="1" x="1780"/>
        <item m="1" x="2227"/>
        <item m="1" x="2329"/>
        <item m="1" x="2308"/>
        <item m="1" x="2134"/>
        <item m="1" x="2116"/>
        <item m="1" x="2491"/>
        <item m="1" x="285"/>
        <item m="1" x="2228"/>
        <item m="1" x="353"/>
        <item m="1" x="1969"/>
        <item m="1" x="1557"/>
        <item m="1" x="2152"/>
        <item m="1" x="2703"/>
        <item m="1" x="115"/>
        <item m="1" x="389"/>
        <item m="1" x="1537"/>
        <item m="1" x="1428"/>
        <item m="1" x="1333"/>
        <item m="1" x="2211"/>
        <item m="1" x="3148"/>
        <item m="1" x="2657"/>
        <item m="1" x="504"/>
        <item m="1" x="421"/>
        <item m="1" x="1304"/>
        <item m="1" x="2186"/>
        <item m="1" x="3126"/>
        <item m="1" x="2852"/>
        <item m="1" x="2117"/>
        <item m="1" x="1944"/>
        <item m="1" x="2802"/>
        <item m="1" x="1719"/>
        <item m="1" x="2222"/>
        <item m="1" x="1570"/>
        <item m="1" x="1904"/>
        <item m="1" x="1634"/>
        <item m="1" x="195"/>
        <item m="1" x="454"/>
        <item m="1" x="3117"/>
        <item m="1" x="95"/>
        <item m="1" x="1951"/>
        <item m="1" x="220"/>
        <item m="1" x="991"/>
        <item m="1" x="2540"/>
        <item m="1" x="2305"/>
        <item m="1" x="2774"/>
        <item m="1" x="2082"/>
        <item m="1" x="3128"/>
        <item m="1" x="1121"/>
        <item m="1" x="1392"/>
        <item m="1" x="768"/>
        <item m="1" x="1010"/>
        <item m="1" x="283"/>
        <item m="1" x="213"/>
        <item m="1" x="2169"/>
        <item m="1" x="1206"/>
        <item m="1" x="1166"/>
        <item m="1" x="2486"/>
        <item m="1" x="2469"/>
        <item m="1" x="2481"/>
        <item m="1" x="362"/>
        <item m="1" x="365"/>
        <item m="1" x="321"/>
        <item m="1" x="2905"/>
        <item m="1" x="2804"/>
        <item m="1" x="328"/>
        <item m="1" x="1302"/>
        <item m="1" x="868"/>
        <item m="1" x="731"/>
        <item m="1" x="937"/>
        <item m="1" x="805"/>
        <item m="1" x="2696"/>
        <item m="1" x="1026"/>
        <item m="1" x="3228"/>
        <item m="1" x="1697"/>
        <item m="1" x="1486"/>
        <item m="1" x="1419"/>
        <item m="1" x="975"/>
        <item m="1" x="1126"/>
        <item m="1" x="1022"/>
        <item m="1" x="1630"/>
        <item m="1" x="2640"/>
        <item m="1" x="3124"/>
        <item m="1" x="1883"/>
        <item m="1" x="725"/>
        <item m="1" x="2810"/>
        <item m="1" x="2633"/>
        <item m="1" x="900"/>
        <item m="1" x="497"/>
        <item m="1" x="288"/>
        <item m="1" x="1102"/>
        <item m="1" x="887"/>
        <item m="1" x="2568"/>
        <item m="1" x="2220"/>
        <item m="1" x="2381"/>
        <item m="1" x="2474"/>
        <item m="1" x="1821"/>
        <item m="1" x="1745"/>
        <item m="1" x="1777"/>
        <item m="1" x="2624"/>
        <item m="1" x="1995"/>
        <item m="1" x="1568"/>
        <item m="1" x="1147"/>
        <item m="1" x="1008"/>
        <item m="1" x="278"/>
        <item m="1" x="3043"/>
        <item m="1" x="2821"/>
        <item m="1" x="2585"/>
        <item m="1" x="1572"/>
        <item m="1" x="1518"/>
        <item m="1" x="734"/>
        <item m="1" x="2041"/>
        <item m="1" x="205"/>
        <item m="1" x="218"/>
        <item m="1" x="3288"/>
        <item m="1" x="2201"/>
        <item m="1" x="2681"/>
        <item m="1" x="1308"/>
        <item m="1" x="2853"/>
        <item x="1"/>
        <item m="1" x="2054"/>
        <item m="1" x="2197"/>
        <item m="1" x="1466"/>
        <item m="1" x="559"/>
        <item m="1" x="985"/>
        <item m="1" x="1767"/>
        <item m="1" x="1801"/>
        <item m="1" x="128"/>
        <item m="1" x="505"/>
        <item m="1" x="1021"/>
        <item m="1" x="2151"/>
        <item m="1" x="529"/>
        <item m="1" x="2673"/>
        <item m="1" x="707"/>
        <item m="1" x="714"/>
        <item m="1" x="1238"/>
        <item m="1" x="1394"/>
        <item m="1" x="194"/>
        <item m="1" x="2098"/>
        <item m="1" x="2591"/>
        <item m="1" x="196"/>
        <item m="1" x="2376"/>
        <item m="1" x="1687"/>
        <item m="1" x="1037"/>
        <item m="1" x="880"/>
        <item m="1" x="2709"/>
        <item m="1" x="1290"/>
        <item m="1" x="3312"/>
        <item m="1" x="2996"/>
        <item m="1" x="407"/>
        <item m="1" x="1594"/>
        <item m="1" x="2547"/>
        <item m="1" x="1075"/>
        <item m="1" x="146"/>
        <item m="1" x="2262"/>
        <item m="1" x="238"/>
        <item m="1" x="2024"/>
        <item m="1" x="291"/>
        <item m="1" x="249"/>
        <item m="1" x="560"/>
        <item m="1" x="1551"/>
        <item m="1" x="1718"/>
        <item m="1" x="204"/>
        <item m="1" x="2056"/>
        <item m="1" x="1319"/>
        <item m="1" x="1519"/>
        <item m="1" x="1348"/>
        <item m="1" x="1578"/>
        <item m="1" x="1747"/>
        <item m="1" x="2271"/>
        <item m="1" x="623"/>
        <item m="1" x="563"/>
        <item m="1" x="2224"/>
        <item m="1" x="1522"/>
        <item m="1" x="1624"/>
        <item m="1" x="3178"/>
        <item m="1" x="1191"/>
        <item m="1" x="1168"/>
        <item m="1" x="3130"/>
        <item m="1" x="1331"/>
        <item m="1" x="2985"/>
        <item m="1" x="1196"/>
        <item m="1" x="1091"/>
        <item m="1" x="674"/>
        <item m="1" x="1617"/>
        <item m="1" x="2291"/>
        <item m="1" x="680"/>
        <item m="1" x="2414"/>
        <item m="1" x="1472"/>
        <item m="1" x="1981"/>
        <item m="1" x="2667"/>
        <item m="1" x="1725"/>
        <item m="1" x="1359"/>
        <item m="1" x="2647"/>
        <item m="1" x="1225"/>
        <item m="1" x="2488"/>
        <item m="1" x="1620"/>
        <item m="1" x="3118"/>
        <item m="1" x="1669"/>
        <item m="1" x="2832"/>
        <item m="1" x="852"/>
        <item m="1" x="2290"/>
        <item m="1" x="616"/>
        <item m="1" x="956"/>
        <item m="1" x="2812"/>
        <item m="1" x="622"/>
        <item m="1" x="3012"/>
        <item m="1" x="3088"/>
        <item m="1" x="647"/>
        <item m="1" x="2675"/>
        <item m="1" x="479"/>
        <item m="1" x="2822"/>
        <item m="1" x="1373"/>
        <item m="1" x="2935"/>
        <item m="1" x="816"/>
        <item m="1" x="2304"/>
        <item m="1" x="2702"/>
        <item m="1" x="566"/>
        <item m="1" x="2178"/>
        <item m="1" x="2941"/>
        <item m="1" x="2969"/>
        <item m="1" x="677"/>
        <item m="1" x="1236"/>
        <item m="1" x="1044"/>
        <item m="1" x="1553"/>
        <item m="1" x="1743"/>
        <item m="1" x="466"/>
        <item m="1" x="1326"/>
        <item m="1" x="1068"/>
        <item m="1" x="2311"/>
        <item m="1" x="2102"/>
        <item m="1" x="2444"/>
        <item m="1" x="2555"/>
        <item m="1" x="533"/>
        <item m="1" x="2556"/>
        <item m="1" x="2963"/>
        <item m="1" x="902"/>
        <item m="1" x="948"/>
        <item m="1" x="2773"/>
        <item m="1" x="913"/>
        <item m="1" x="661"/>
        <item m="1" x="804"/>
        <item m="1" x="104"/>
        <item m="1" x="74"/>
        <item m="1" x="256"/>
        <item m="1" x="202"/>
        <item m="1" x="1211"/>
        <item m="1" x="1108"/>
        <item m="1" x="1408"/>
        <item m="1" x="922"/>
        <item m="1" x="3174"/>
        <item m="1" x="3215"/>
        <item m="1" x="3110"/>
        <item m="1" x="865"/>
        <item m="1" x="1230"/>
        <item m="1" x="2690"/>
        <item m="1" x="312"/>
        <item m="1" x="3071"/>
        <item m="1" x="1343"/>
        <item m="1" x="1700"/>
        <item m="1" x="1096"/>
        <item m="1" x="1841"/>
        <item m="1" x="3031"/>
        <item m="1" x="1757"/>
        <item m="1" x="412"/>
        <item m="1" x="1468"/>
        <item x="34"/>
        <item m="1" x="333"/>
        <item m="1" x="363"/>
        <item m="1" x="3015"/>
        <item m="1" x="2768"/>
        <item m="1" x="2605"/>
        <item m="1" x="2040"/>
        <item m="1" x="78"/>
        <item m="1" x="550"/>
        <item m="1" x="1949"/>
        <item m="1" x="2213"/>
        <item m="1" x="2364"/>
        <item m="1" x="874"/>
        <item m="1" x="2030"/>
        <item m="1" x="1429"/>
        <item m="1" x="1644"/>
        <item m="1" x="1945"/>
        <item m="1" x="2896"/>
        <item m="1" x="1330"/>
        <item m="1" x="2218"/>
        <item m="1" x="1377"/>
        <item m="1" x="2273"/>
        <item m="1" x="1740"/>
        <item m="1" x="2906"/>
        <item m="1" x="1335"/>
        <item m="1" x="1528"/>
        <item m="1" x="237"/>
        <item m="1" x="1782"/>
        <item m="1" x="2442"/>
        <item m="1" x="711"/>
        <item m="1" x="1514"/>
        <item m="1" x="1593"/>
        <item m="1" x="1867"/>
        <item m="1" x="1682"/>
        <item m="1" x="2395"/>
        <item m="1" x="595"/>
        <item m="1" x="589"/>
        <item m="1" x="2630"/>
        <item m="1" x="217"/>
        <item m="1" x="1762"/>
        <item m="1" x="1543"/>
        <item m="1" x="1047"/>
        <item m="1" x="1272"/>
        <item m="1" x="3034"/>
        <item m="1" x="1746"/>
        <item m="1" x="764"/>
        <item m="1" x="1383"/>
        <item m="1" x="1110"/>
        <item m="1" x="992"/>
        <item m="1" x="3250"/>
        <item m="1" x="473"/>
        <item m="1" x="997"/>
        <item m="1" x="1554"/>
        <item m="1" x="1837"/>
        <item m="1" x="3059"/>
        <item m="1" x="1763"/>
        <item m="1" x="2511"/>
        <item m="1" x="2796"/>
        <item m="1" x="337"/>
        <item m="1" x="2289"/>
        <item m="1" x="2727"/>
        <item m="1" x="2809"/>
        <item m="1" x="1497"/>
        <item m="1" x="1671"/>
        <item m="1" x="2984"/>
        <item m="1" x="302"/>
        <item m="1" x="1161"/>
        <item m="1" x="491"/>
        <item m="1" x="740"/>
        <item m="1" x="702"/>
        <item m="1" x="2836"/>
        <item m="1" x="2999"/>
        <item m="1" x="1962"/>
        <item m="1" x="1889"/>
        <item m="1" x="2084"/>
        <item m="1" x="1430"/>
        <item m="1" x="953"/>
        <item m="1" x="1851"/>
        <item m="1" x="1561"/>
        <item m="1" x="3026"/>
        <item m="1" x="569"/>
        <item m="1" x="306"/>
        <item m="1" x="2107"/>
        <item m="1" x="2504"/>
        <item m="1" x="1137"/>
        <item m="1" x="2880"/>
        <item m="1" x="1626"/>
        <item m="1" x="2128"/>
        <item m="1" x="2539"/>
        <item m="1" x="2136"/>
        <item m="1" x="1973"/>
        <item m="1" x="149"/>
        <item m="1" x="894"/>
        <item m="1" x="3167"/>
        <item m="1" x="3210"/>
        <item m="1" x="1071"/>
        <item m="1" x="2130"/>
        <item m="1" x="2977"/>
        <item m="1" x="1025"/>
        <item m="1" x="726"/>
        <item m="1" x="1054"/>
        <item m="1" x="225"/>
        <item m="1" x="1839"/>
        <item m="1" x="1960"/>
        <item m="1" x="1216"/>
        <item m="1" x="1582"/>
        <item m="1" x="3160"/>
        <item m="1" x="522"/>
        <item m="1" x="2588"/>
        <item m="1" x="2296"/>
        <item m="1" x="2982"/>
        <item m="1" x="2409"/>
        <item m="1" x="2124"/>
        <item m="1" x="2652"/>
        <item m="1" x="1661"/>
        <item m="1" x="2560"/>
        <item m="1" x="455"/>
        <item m="1" x="2843"/>
        <item m="1" x="142"/>
        <item m="1" x="2524"/>
        <item m="1" x="2844"/>
        <item m="1" x="2300"/>
        <item m="1" x="646"/>
        <item m="1" x="1367"/>
        <item m="1" x="1175"/>
        <item m="1" x="2366"/>
        <item m="1" x="488"/>
        <item m="1" x="836"/>
        <item m="1" x="1520"/>
        <item m="1" x="2960"/>
        <item m="1" x="1447"/>
        <item m="1" x="1414"/>
        <item m="1" x="2806"/>
        <item m="1" x="2068"/>
        <item m="1" x="2936"/>
        <item m="1" x="467"/>
        <item m="1" x="1124"/>
        <item m="1" x="329"/>
        <item m="1" x="1247"/>
        <item m="1" x="1089"/>
        <item m="1" x="448"/>
        <item m="1" x="1145"/>
        <item m="1" x="2993"/>
        <item m="1" x="201"/>
        <item m="1" x="3199"/>
        <item m="1" x="1420"/>
        <item m="1" x="2749"/>
        <item x="7"/>
        <item m="1" x="797"/>
        <item m="1" x="2752"/>
        <item m="1" x="1090"/>
        <item m="1" x="1760"/>
        <item m="1" x="2101"/>
        <item m="1" x="3308"/>
        <item m="1" x="3056"/>
        <item m="1" x="2057"/>
        <item m="1" x="2931"/>
        <item m="1" x="1477"/>
        <item m="1" x="2700"/>
        <item m="1" x="2519"/>
        <item m="1" x="2500"/>
        <item m="1" x="1489"/>
        <item m="1" x="1400"/>
        <item m="1" x="2254"/>
        <item m="1" x="110"/>
        <item m="1" x="157"/>
        <item m="1" x="2986"/>
        <item m="1" x="2763"/>
        <item m="1" x="886"/>
        <item m="1" x="644"/>
        <item m="1" x="367"/>
        <item m="1" x="643"/>
        <item m="1" x="494"/>
        <item m="1" x="3272"/>
        <item m="1" x="1629"/>
        <item m="1" x="72"/>
        <item m="1" x="939"/>
        <item m="1" x="1825"/>
        <item m="1" x="2840"/>
        <item m="1" x="2953"/>
        <item m="1" x="163"/>
        <item m="1" x="2761"/>
        <item m="1" x="2813"/>
        <item m="1" x="823"/>
        <item m="1" x="468"/>
        <item m="1" x="1362"/>
        <item m="1" x="879"/>
        <item m="1" x="1256"/>
        <item m="1" x="1848"/>
        <item m="1" x="93"/>
        <item m="1" x="1649"/>
        <item m="1" x="3156"/>
        <item m="1" x="2257"/>
        <item m="1" x="827"/>
        <item m="1" x="1881"/>
        <item m="1" x="587"/>
        <item m="1" x="1776"/>
        <item m="1" x="181"/>
        <item m="1" x="141"/>
        <item m="1" x="1584"/>
        <item m="1" x="2659"/>
        <item m="1" x="2157"/>
        <item m="1" x="1638"/>
        <item m="1" x="1790"/>
        <item m="1" x="1081"/>
        <item m="1" x="2436"/>
        <item m="1" x="938"/>
        <item m="1" x="947"/>
        <item m="1" x="2924"/>
        <item m="1" x="1033"/>
        <item m="1" x="3122"/>
        <item m="1" x="1865"/>
        <item m="1" x="431"/>
        <item m="1" x="611"/>
        <item m="1" x="1659"/>
        <item m="1" x="324"/>
        <item m="1" x="1714"/>
        <item m="1" x="1927"/>
        <item m="1" x="2465"/>
        <item m="1" x="758"/>
        <item m="1" x="3058"/>
        <item m="1" x="1602"/>
        <item m="1" x="2150"/>
        <item m="1" x="2998"/>
        <item m="1" x="945"/>
        <item m="1" x="1913"/>
        <item m="1" x="2747"/>
        <item m="1" x="2219"/>
        <item m="1" x="3137"/>
        <item m="1" x="415"/>
        <item m="1" x="3198"/>
        <item m="1" x="1426"/>
        <item m="1" x="2990"/>
        <item m="1" x="2280"/>
        <item m="1" x="1018"/>
        <item m="1" x="2485"/>
        <item m="1" x="268"/>
        <item m="1" x="134"/>
        <item m="1" x="315"/>
        <item m="1" x="2792"/>
        <item m="1" x="2684"/>
        <item m="1" x="2862"/>
        <item m="1" x="88"/>
        <item m="1" x="2845"/>
        <item m="1" x="1806"/>
        <item m="1" x="3133"/>
        <item m="1" x="2016"/>
        <item m="1" x="1134"/>
        <item m="1" x="1305"/>
        <item m="1" x="1342"/>
        <item m="1" x="1658"/>
        <item m="1" x="3295"/>
        <item m="1" x="1898"/>
        <item m="1" x="851"/>
        <item m="1" x="897"/>
        <item m="1" x="1997"/>
        <item m="1" x="484"/>
        <item m="1" x="3297"/>
        <item m="1" x="1986"/>
        <item m="1" x="2162"/>
        <item m="1" x="1741"/>
        <item m="1" x="1580"/>
        <item m="1" x="1701"/>
        <item m="1" x="469"/>
        <item m="1" x="2583"/>
        <item m="1" x="1099"/>
        <item m="1" x="599"/>
        <item m="1" x="156"/>
        <item m="1" x="1198"/>
        <item m="1" x="854"/>
        <item m="1" x="2794"/>
        <item m="1" x="1606"/>
        <item m="1" x="413"/>
        <item m="1" x="895"/>
        <item m="1" x="1689"/>
        <item m="1" x="1078"/>
        <item m="1" x="637"/>
        <item m="1" x="2039"/>
        <item m="1" x="2886"/>
        <item m="1" x="1662"/>
        <item m="1" x="1177"/>
        <item m="1" x="2495"/>
        <item m="1" x="2275"/>
        <item m="1" x="612"/>
        <item m="1" x="652"/>
        <item m="1" x="2529"/>
        <item m="1" x="553"/>
        <item m="1" x="794"/>
        <item m="1" x="2720"/>
        <item m="1" x="2242"/>
        <item m="1" x="1340"/>
        <item m="1" x="3063"/>
        <item m="1" x="1481"/>
        <item m="1" x="3013"/>
        <item m="1" x="352"/>
        <item m="1" x="452"/>
        <item m="1" x="272"/>
        <item m="1" x="471"/>
        <item m="1" x="2026"/>
        <item m="1" x="800"/>
        <item m="1" x="2446"/>
        <item m="1" x="2992"/>
        <item m="1" x="876"/>
        <item m="1" x="870"/>
        <item m="1" x="3260"/>
        <item m="1" x="2751"/>
        <item m="1" x="1894"/>
        <item m="1" x="3070"/>
        <item m="1" x="1855"/>
        <item m="1" x="2422"/>
        <item m="1" x="1282"/>
        <item m="1" x="2868"/>
        <item m="1" x="1284"/>
        <item m="1" x="1739"/>
        <item m="1" x="1640"/>
        <item m="1" x="2277"/>
        <item m="1" x="1351"/>
        <item m="1" x="255"/>
        <item m="1" x="970"/>
        <item m="1" x="1627"/>
        <item m="1" x="3241"/>
        <item m="1" x="1915"/>
        <item m="1" x="1214"/>
        <item m="1" x="1618"/>
        <item m="1" x="1647"/>
        <item m="1" x="397"/>
        <item m="1" x="1187"/>
        <item m="1" x="1482"/>
        <item m="1" x="3131"/>
        <item m="1" x="2259"/>
        <item m="1" x="135"/>
        <item m="1" x="507"/>
        <item m="1" x="2838"/>
        <item m="1" x="692"/>
        <item m="1" x="1127"/>
        <item m="1" x="568"/>
        <item m="1" x="862"/>
        <item m="1" x="670"/>
        <item m="1" x="1702"/>
        <item m="1" x="2608"/>
        <item m="1" x="3097"/>
        <item m="1" x="3030"/>
        <item m="1" x="1540"/>
        <item m="1" x="1364"/>
        <item m="1" x="3305"/>
        <item m="1" x="1106"/>
        <item m="1" x="2601"/>
        <item m="1" x="2319"/>
        <item m="1" x="1027"/>
        <item m="1" x="1603"/>
        <item m="1" x="1982"/>
        <item m="1" x="1164"/>
        <item m="1" x="1512"/>
        <item m="1" x="1562"/>
        <item m="1" x="3151"/>
        <item m="1" x="3188"/>
        <item m="1" x="1000"/>
        <item m="1" x="393"/>
        <item m="1" x="538"/>
        <item m="1" x="924"/>
        <item m="1" x="2775"/>
        <item m="1" x="3100"/>
        <item m="1" x="2375"/>
        <item m="1" x="2307"/>
        <item m="1" x="2348"/>
        <item m="1" x="2165"/>
        <item m="1" x="1051"/>
        <item m="1" x="1495"/>
        <item m="1" x="1815"/>
        <item m="1" x="1504"/>
        <item m="1" x="2478"/>
        <item m="1" x="2499"/>
        <item m="1" x="582"/>
        <item m="1" x="361"/>
        <item m="1" x="2722"/>
        <item m="1" x="1716"/>
        <item m="1" x="2607"/>
        <item m="1" x="545"/>
        <item x="17"/>
        <item m="1" x="2338"/>
        <item m="1" x="820"/>
        <item m="1" x="1332"/>
        <item m="1" x="2184"/>
        <item m="1" x="2328"/>
        <item m="1" x="837"/>
        <item m="1" x="839"/>
        <item m="1" x="848"/>
        <item m="1" x="931"/>
        <item m="1" x="2139"/>
        <item m="1" x="2046"/>
        <item m="1" x="1772"/>
        <item m="1" x="336"/>
        <item m="1" x="418"/>
        <item m="1" x="1491"/>
        <item m="1" x="3005"/>
        <item m="1" x="83"/>
        <item m="1" x="2617"/>
        <item m="1" x="449"/>
        <item m="1" x="2158"/>
        <item m="1" x="1670"/>
        <item m="1" x="2454"/>
        <item m="1" x="2462"/>
        <item m="1" x="666"/>
        <item m="1" x="810"/>
        <item m="1" x="2067"/>
        <item m="1" x="1880"/>
        <item m="1" x="1567"/>
        <item m="1" x="2106"/>
        <item m="1" x="1872"/>
        <item m="1" x="1558"/>
        <item m="1" x="2851"/>
        <item x="57"/>
        <item m="1" x="1942"/>
        <item m="1" x="1239"/>
        <item m="1" x="2483"/>
        <item m="1" x="1515"/>
        <item m="1" x="3046"/>
        <item m="1" x="1934"/>
        <item m="1" x="3196"/>
        <item m="1" x="2718"/>
        <item m="1" x="1541"/>
        <item m="1" x="242"/>
        <item m="1" x="1529"/>
        <item m="1" x="1984"/>
        <item m="1" x="113"/>
        <item m="1" x="1546"/>
        <item m="1" x="1158"/>
        <item m="1" x="282"/>
        <item m="1" x="1761"/>
        <item m="1" x="1953"/>
        <item m="1" x="606"/>
        <item m="1" x="2602"/>
        <item m="1" x="2145"/>
        <item m="1" x="247"/>
        <item m="1" x="2901"/>
        <item m="1" x="1059"/>
        <item m="1" x="2820"/>
        <item m="1" x="2168"/>
        <item m="1" x="1656"/>
        <item m="1" x="2198"/>
        <item m="1" x="1017"/>
        <item m="1" x="2592"/>
        <item m="1" x="3172"/>
        <item m="1" x="2648"/>
        <item m="1" x="1544"/>
        <item m="1" x="403"/>
        <item m="1" x="2831"/>
        <item m="1" x="2937"/>
        <item m="1" x="1612"/>
        <item m="1" x="123"/>
        <item m="1" x="1470"/>
        <item m="1" x="359"/>
        <item m="1" x="464"/>
        <item m="1" x="955"/>
        <item m="1" x="927"/>
        <item m="1" x="1464"/>
        <item m="1" x="2133"/>
        <item m="1" x="2138"/>
        <item m="1" x="2143"/>
        <item m="1" x="1300"/>
        <item m="1" x="1980"/>
        <item m="1" x="1003"/>
        <item m="1" x="1590"/>
        <item m="1" x="2622"/>
        <item m="1" x="330"/>
        <item m="1" x="869"/>
        <item m="1" x="871"/>
        <item m="1" x="506"/>
        <item m="1" x="2066"/>
        <item m="1" x="1921"/>
        <item m="1" x="2309"/>
        <item m="1" x="1063"/>
        <item m="1" x="2127"/>
        <item m="1" x="439"/>
        <item m="1" x="301"/>
        <item m="1" x="1636"/>
        <item m="1" x="1285"/>
        <item m="1" x="921"/>
        <item m="1" x="3062"/>
        <item m="1" x="1788"/>
        <item m="1" x="1622"/>
        <item m="1" x="373"/>
        <item m="1" x="124"/>
        <item m="1" x="2196"/>
        <item m="1" x="792"/>
        <item m="1" x="628"/>
        <item m="1" x="120"/>
        <item m="1" x="1930"/>
        <item m="1" x="748"/>
        <item m="1" x="2644"/>
        <item m="1" x="1928"/>
        <item m="1" x="2569"/>
        <item m="1" x="2570"/>
        <item m="1" x="210"/>
        <item m="1" x="2520"/>
        <item m="1" x="3135"/>
        <item m="1" x="1905"/>
        <item m="1" x="2439"/>
        <item m="1" x="3052"/>
        <item m="1" x="2904"/>
        <item m="1" x="1693"/>
        <item m="1" x="2031"/>
        <item m="1" x="586"/>
        <item m="1" x="2538"/>
        <item m="1" x="427"/>
        <item m="1" x="699"/>
        <item m="1" x="211"/>
        <item m="1" x="782"/>
        <item m="1" x="1483"/>
        <item m="1" x="2577"/>
        <item m="1" x="514"/>
        <item m="1" x="1826"/>
        <item m="1" x="960"/>
        <item m="1" x="1717"/>
        <item m="1" x="1531"/>
        <item m="1" x="2891"/>
        <item m="1" x="1478"/>
        <item m="1" x="277"/>
        <item m="1" x="842"/>
        <item m="1" x="430"/>
        <item m="1" x="973"/>
        <item m="1" x="1676"/>
        <item m="1" x="2780"/>
        <item m="1" x="720"/>
        <item m="1" x="2419"/>
        <item m="1" x="3014"/>
        <item m="1" x="1526"/>
        <item m="1" x="2735"/>
        <item m="1" x="3304"/>
        <item m="1" x="1125"/>
        <item m="1" x="3112"/>
        <item m="1" x="802"/>
        <item m="1" x="1338"/>
        <item m="1" x="1237"/>
        <item m="1" x="952"/>
        <item m="1" x="1549"/>
        <item m="1" x="482"/>
        <item m="1" x="2758"/>
        <item m="1" x="1895"/>
        <item m="1" x="3278"/>
        <item m="1" x="3257"/>
        <item m="1" x="571"/>
        <item m="1" x="2336"/>
        <item m="1" x="296"/>
        <item m="1" x="853"/>
        <item m="1" x="2714"/>
        <item m="1" x="1843"/>
        <item m="1" x="1861"/>
        <item m="1" x="3165"/>
        <item m="1" x="273"/>
        <item m="1" x="1186"/>
        <item m="1" x="950"/>
        <item m="1" x="534"/>
        <item m="1" x="3299"/>
        <item m="1" x="457"/>
        <item m="1" x="1334"/>
        <item m="1" x="2396"/>
        <item m="1" x="102"/>
        <item m="1" x="2258"/>
        <item m="1" x="1417"/>
        <item m="1" x="705"/>
        <item x="33"/>
        <item x="12"/>
        <item m="1" x="773"/>
        <item m="1" x="2005"/>
        <item m="1" x="3060"/>
        <item m="1" x="3154"/>
        <item m="1" x="2759"/>
        <item m="1" x="2814"/>
        <item m="1" x="1296"/>
        <item m="1" x="1289"/>
        <item m="1" x="1156"/>
        <item m="1" x="1530"/>
        <item m="1" x="209"/>
        <item m="1" x="2118"/>
        <item m="1" x="244"/>
        <item m="1" x="458"/>
        <item m="1" x="1893"/>
        <item m="1" x="3217"/>
        <item m="1" x="1887"/>
        <item m="1" x="1613"/>
        <item m="1" x="1907"/>
        <item m="1" x="3029"/>
        <item m="1" x="527"/>
        <item m="1" x="2441"/>
        <item m="1" x="2707"/>
        <item m="1" x="2445"/>
        <item m="1" x="2012"/>
        <item m="1" x="2729"/>
        <item m="1" x="2480"/>
        <item m="1" x="396"/>
        <item m="1" x="539"/>
        <item m="1" x="3300"/>
        <item m="1" x="3129"/>
        <item m="1" x="2632"/>
        <item m="1" x="2089"/>
        <item m="1" x="1652"/>
        <item m="1" x="456"/>
        <item m="1" x="3022"/>
        <item m="1" x="1253"/>
        <item m="1" x="3181"/>
        <item m="1" x="2144"/>
        <item m="1" x="2708"/>
        <item m="1" x="1943"/>
        <item m="1" x="80"/>
        <item m="1" x="2594"/>
        <item m="1" x="1494"/>
        <item m="1" x="442"/>
        <item m="1" x="3296"/>
        <item m="1" x="1941"/>
        <item m="1" x="2578"/>
        <item m="1" x="1098"/>
        <item m="1" x="1813"/>
        <item m="1" x="601"/>
        <item m="1" x="1350"/>
        <item m="1" x="583"/>
        <item m="1" x="2616"/>
        <item m="1" x="733"/>
        <item m="1" x="459"/>
        <item m="1" x="2505"/>
        <item m="1" x="3234"/>
        <item m="1" x="2292"/>
        <item m="1" x="542"/>
        <item m="1" x="923"/>
        <item m="1" x="1446"/>
        <item m="1" x="914"/>
        <item m="1" x="3076"/>
        <item m="1" x="2858"/>
        <item m="1" x="2739"/>
        <item m="1" x="1252"/>
        <item m="1" x="1368"/>
        <item m="1" x="2223"/>
        <item m="1" x="2404"/>
        <item m="1" x="166"/>
        <item m="1" x="3324"/>
        <item m="1" x="2261"/>
        <item m="1" x="3080"/>
        <item m="1" x="690"/>
        <item m="1" x="2389"/>
        <item m="1" x="1185"/>
        <item m="1" x="2241"/>
        <item m="1" x="1375"/>
        <item m="1" x="2111"/>
        <item m="1" x="3141"/>
        <item m="1" x="1808"/>
        <item m="1" x="1493"/>
        <item m="1" x="290"/>
        <item m="1" x="1347"/>
        <item m="1" x="860"/>
        <item m="1" x="1935"/>
        <item m="1" x="2036"/>
        <item m="1" x="3113"/>
        <item m="1" x="2387"/>
        <item m="1" x="2450"/>
        <item m="1" x="672"/>
        <item m="1" x="1503"/>
        <item m="1" x="3223"/>
        <item m="1" x="2732"/>
        <item m="1" x="1320"/>
        <item m="1" x="2914"/>
        <item m="1" x="109"/>
        <item m="1" x="3093"/>
        <item m="1" x="2037"/>
        <item m="1" x="2514"/>
        <item m="1" x="346"/>
        <item m="1" x="1117"/>
        <item m="1" x="2007"/>
        <item m="1" x="1277"/>
        <item m="1" x="2642"/>
        <item m="1" x="685"/>
        <item m="1" x="3035"/>
        <item m="1" x="3158"/>
        <item m="1" x="704"/>
        <item m="1" x="3145"/>
        <item m="1" x="2721"/>
        <item m="1" x="2579"/>
        <item m="1" x="2377"/>
        <item m="1" x="366"/>
        <item m="1" x="523"/>
        <item m="1" x="818"/>
        <item m="1" x="470"/>
        <item m="1" x="499"/>
        <item m="1" x="259"/>
        <item m="1" x="2523"/>
        <item m="1" x="3264"/>
        <item m="1" x="1398"/>
        <item m="1" x="2131"/>
        <item m="1" x="1200"/>
        <item m="1" x="2398"/>
        <item m="1" x="235"/>
        <item m="1" x="1987"/>
        <item m="1" x="478"/>
        <item m="1" x="443"/>
        <item m="1" x="3271"/>
        <item m="1" x="1323"/>
        <item m="1" x="1072"/>
        <item m="1" x="2715"/>
        <item m="1" x="3018"/>
        <item m="1" x="855"/>
        <item m="1" x="577"/>
        <item m="1" x="754"/>
        <item m="1" x="1197"/>
        <item m="1" x="977"/>
        <item m="1" x="171"/>
        <item m="1" x="2003"/>
        <item m="1" x="2530"/>
        <item m="1" x="1084"/>
        <item m="1" x="2738"/>
        <item m="1" x="665"/>
        <item m="1" x="2534"/>
        <item m="1" x="1036"/>
        <item m="1" x="2743"/>
        <item m="1" x="2231"/>
        <item m="1" x="1789"/>
        <item m="1" x="512"/>
        <item m="1" x="81"/>
        <item m="1" x="747"/>
        <item m="1" x="701"/>
        <item m="1" x="1600"/>
        <item m="1" x="2064"/>
        <item m="1" x="718"/>
        <item m="1" x="1339"/>
        <item m="1" x="2846"/>
        <item m="1" x="188"/>
        <item m="1" x="1007"/>
        <item m="1" x="2468"/>
        <item m="1" x="1750"/>
        <item m="1" x="2492"/>
        <item m="1" x="2899"/>
        <item m="1" x="3073"/>
        <item m="1" x="1371"/>
        <item m="1" x="3248"/>
        <item m="1" x="2193"/>
        <item m="1" x="2912"/>
        <item m="1" x="1906"/>
        <item m="1" x="3147"/>
        <item m="1" x="863"/>
        <item m="1" x="2861"/>
        <item m="1" x="105"/>
        <item m="1" x="2019"/>
        <item m="1" x="2857"/>
        <item m="1" x="626"/>
        <item m="1" x="1207"/>
        <item m="1" x="549"/>
        <item m="1" x="2731"/>
        <item m="1" x="1001"/>
        <item m="1" x="3023"/>
        <item m="1" x="2081"/>
        <item m="1" x="2957"/>
        <item m="1" x="3177"/>
        <item m="1" x="1704"/>
        <item m="1" x="759"/>
        <item m="1" x="594"/>
        <item m="1" x="1454"/>
        <item m="1" x="2543"/>
        <item m="1" x="2510"/>
        <item m="1" x="1824"/>
        <item m="1" x="3220"/>
        <item m="1" x="2867"/>
        <item m="1" x="1555"/>
        <item m="1" x="1297"/>
        <item m="1" x="2795"/>
        <item m="1" x="2558"/>
        <item m="1" x="250"/>
        <item m="1" x="1382"/>
        <item m="1" x="1255"/>
        <item m="1" x="118"/>
        <item m="1" x="1939"/>
        <item m="1" x="1850"/>
        <item m="1" x="2949"/>
        <item m="1" x="1783"/>
        <item m="1" x="915"/>
        <item m="1" x="414"/>
        <item m="1" x="675"/>
        <item m="1" x="1677"/>
        <item m="1" x="2397"/>
        <item m="1" x="2100"/>
        <item m="1" x="671"/>
        <item m="1" x="338"/>
        <item m="1" x="537"/>
        <item m="1" x="130"/>
        <item m="1" x="1524"/>
        <item m="1" x="2994"/>
        <item m="1" x="1341"/>
        <item m="1" x="1004"/>
        <item m="1" x="3274"/>
        <item m="1" x="1046"/>
        <item m="1" x="1201"/>
        <item m="1" x="2078"/>
        <item m="1" x="1637"/>
        <item m="1" x="2327"/>
        <item m="1" x="3183"/>
        <item m="1" x="1479"/>
        <item m="1" x="2628"/>
        <item m="1" x="1860"/>
        <item m="1" x="2762"/>
        <item m="1" x="920"/>
        <item m="1" x="2286"/>
        <item x="37"/>
        <item m="1" x="716"/>
        <item m="1" x="1957"/>
        <item m="1" x="1770"/>
        <item m="1" x="2279"/>
        <item m="1" x="2535"/>
        <item m="1" x="2922"/>
        <item m="1" x="3049"/>
        <item m="1" x="2473"/>
        <item m="1" x="2390"/>
        <item m="1" x="503"/>
        <item m="1" x="2470"/>
        <item m="1" x="2105"/>
        <item m="1" x="872"/>
        <item m="1" x="1598"/>
        <item m="1" x="1386"/>
        <item m="1" x="1435"/>
        <item m="1" x="2629"/>
        <item m="1" x="423"/>
        <item m="1" x="1800"/>
        <item m="1" x="752"/>
        <item m="1" x="2637"/>
        <item m="1" x="591"/>
        <item m="1" x="867"/>
        <item m="1" x="2923"/>
        <item m="1" x="2546"/>
        <item m="1" x="2928"/>
        <item m="1" x="2950"/>
        <item m="1" x="177"/>
        <item m="1" x="2976"/>
        <item m="1" x="2368"/>
        <item m="1" x="3265"/>
        <item m="1" x="2769"/>
        <item m="1" x="2027"/>
        <item m="1" x="2120"/>
        <item m="1" x="745"/>
        <item m="1" x="1321"/>
        <item m="1" x="1202"/>
        <item m="1" x="1786"/>
        <item m="1" x="224"/>
        <item m="1" x="687"/>
        <item m="1" x="243"/>
        <item m="1" x="1425"/>
        <item m="1" x="2649"/>
        <item m="1" x="345"/>
        <item m="1" x="2207"/>
        <item m="1" x="650"/>
        <item m="1" x="2187"/>
        <item m="1" x="2113"/>
        <item m="1" x="3236"/>
        <item m="1" x="2344"/>
        <item m="1" x="1267"/>
        <item m="1" x="1310"/>
        <item m="1" x="463"/>
        <item m="1" x="322"/>
        <item m="1" x="2438"/>
        <item m="1" x="3101"/>
        <item m="1" x="651"/>
        <item m="1" x="1159"/>
        <item m="1" x="776"/>
        <item m="1" x="2975"/>
        <item m="1" x="2584"/>
        <item m="1" x="1337"/>
        <item m="1" x="1303"/>
        <item m="1" x="2580"/>
        <item m="1" x="398"/>
        <item m="1" x="1490"/>
        <item m="1" x="3301"/>
        <item m="1" x="2108"/>
        <item m="1" x="2951"/>
        <item m="1" x="162"/>
        <item m="1" x="1963"/>
        <item m="1" x="518"/>
        <item m="1" x="1792"/>
        <item m="1" x="1270"/>
        <item m="1" x="2385"/>
        <item m="1" x="1884"/>
        <item m="1" x="1919"/>
        <item m="1" x="2447"/>
        <item m="1" x="2362"/>
        <item m="1" x="2017"/>
        <item m="1" x="2508"/>
        <item m="1" x="2536"/>
        <item m="1" x="1755"/>
        <item m="1" x="888"/>
        <item m="1" x="2072"/>
        <item m="1" x="1012"/>
        <item m="1" x="856"/>
        <item m="1" x="1188"/>
        <item m="1" x="2697"/>
        <item m="1" x="2581"/>
        <item m="1" x="2864"/>
        <item m="1" x="1050"/>
        <item m="1" x="1450"/>
        <item m="1" x="200"/>
        <item m="1" x="2698"/>
        <item m="1" x="176"/>
        <item m="1" x="2088"/>
        <item m="1" x="1599"/>
        <item m="1" x="1708"/>
        <item m="1" x="84"/>
        <item m="1" x="746"/>
        <item m="1" x="1219"/>
        <item m="1" x="755"/>
        <item m="1" x="882"/>
        <item m="1" x="642"/>
        <item m="1" x="1411"/>
        <item m="1" x="1866"/>
        <item m="1" x="2049"/>
        <item m="1" x="1764"/>
        <item m="1" x="2787"/>
        <item m="1" x="441"/>
        <item m="1" x="662"/>
        <item m="1" x="1292"/>
        <item m="1" x="2850"/>
        <item m="1" x="635"/>
        <item m="1" x="409"/>
        <item m="1" x="588"/>
        <item m="1" x="2834"/>
        <item m="1" x="1999"/>
        <item m="1" x="2541"/>
        <item m="1" x="1709"/>
        <item m="1" x="2206"/>
        <item m="1" x="1910"/>
        <item m="1" x="114"/>
        <item m="1" x="191"/>
        <item m="1" x="140"/>
        <item m="1" x="744"/>
        <item m="1" x="1157"/>
        <item m="1" x="1229"/>
        <item m="1" x="1019"/>
        <item m="1" x="1257"/>
        <item m="1" x="2172"/>
        <item m="1" x="2557"/>
        <item m="1" x="1301"/>
        <item m="1" x="2566"/>
        <item m="1" x="2587"/>
        <item m="1" x="617"/>
        <item m="1" x="2988"/>
        <item m="1" x="2908"/>
        <item m="1" x="824"/>
        <item m="1" x="592"/>
        <item m="1" x="492"/>
        <item m="1" x="246"/>
        <item m="1" x="1834"/>
        <item m="1" x="1015"/>
        <item m="1" x="2225"/>
        <item m="1" x="786"/>
        <item m="1" x="719"/>
        <item m="1" x="2216"/>
        <item m="1" x="280"/>
        <item m="1" x="2475"/>
        <item m="1" x="536"/>
        <item m="1" x="2270"/>
        <item m="1" x="3309"/>
        <item m="1" x="1542"/>
        <item x="19"/>
        <item m="1" x="619"/>
        <item x="20"/>
        <item m="1" x="417"/>
        <item m="1" x="965"/>
        <item x="21"/>
        <item m="1" x="234"/>
        <item m="1" x="1532"/>
        <item m="1" x="1422"/>
        <item m="1" x="866"/>
        <item m="1" x="164"/>
        <item m="1" x="3016"/>
        <item m="1" x="630"/>
        <item m="1" x="2303"/>
        <item m="1" x="2266"/>
        <item m="1" x="686"/>
        <item m="1" x="3068"/>
        <item m="1" x="532"/>
        <item m="1" x="2281"/>
        <item m="1" x="2803"/>
        <item m="1" x="3003"/>
        <item m="1" x="3115"/>
        <item m="1" x="1900"/>
        <item m="1" x="2137"/>
        <item m="1" x="432"/>
        <item m="1" x="356"/>
        <item m="1" x="694"/>
        <item m="1" x="3084"/>
        <item m="1" x="1635"/>
        <item m="1" x="1831"/>
        <item m="1" x="2710"/>
        <item m="1" x="1781"/>
        <item m="1" x="513"/>
        <item m="1" x="2430"/>
        <item m="1" x="3222"/>
        <item m="1" x="1920"/>
        <item m="1" x="2574"/>
        <item m="1" x="2156"/>
        <item m="1" x="1011"/>
        <item m="1" x="3182"/>
        <item m="1" x="1500"/>
        <item m="1" x="2332"/>
        <item m="1" x="2979"/>
        <item m="1" x="1535"/>
        <item m="1" x="1573"/>
        <item m="1" x="1105"/>
        <item m="1" x="286"/>
        <item m="1" x="1093"/>
        <item m="1" x="167"/>
        <item m="1" x="1403"/>
        <item m="1" x="2009"/>
        <item m="1" x="2987"/>
        <item m="1" x="2384"/>
        <item m="1" x="2109"/>
        <item m="1" x="1985"/>
        <item m="1" x="1667"/>
        <item m="1" x="3065"/>
        <item m="1" x="2798"/>
        <item m="1" x="2856"/>
        <item m="1" x="2818"/>
        <item m="1" x="305"/>
        <item m="1" x="2604"/>
        <item m="1" x="1432"/>
        <item m="1" x="2074"/>
        <item m="1" x="1241"/>
        <item m="1" x="1318"/>
        <item m="1" x="206"/>
        <item m="1" x="1006"/>
        <item m="1" x="861"/>
        <item m="1" x="1751"/>
        <item m="1" x="3325"/>
        <item m="1" x="1956"/>
        <item m="1" x="187"/>
        <item m="1" x="2119"/>
        <item m="1" x="1646"/>
        <item m="1" x="2413"/>
        <item m="1" x="2114"/>
        <item m="1" x="917"/>
        <item m="1" x="1140"/>
        <item m="1" x="2606"/>
        <item m="1" x="2427"/>
        <item m="1" x="864"/>
        <item m="1" x="567"/>
        <item m="1" x="604"/>
        <item m="1" x="2666"/>
        <item m="1" x="2842"/>
        <item m="1" x="999"/>
        <item m="1" x="2537"/>
        <item m="1" x="3079"/>
        <item m="1" x="3194"/>
        <item m="1" x="2260"/>
        <item m="1" x="1852"/>
        <item m="1" x="2894"/>
        <item m="1" x="1369"/>
        <item m="1" x="1190"/>
        <item m="1" x="2045"/>
        <item m="1" x="969"/>
        <item m="1" x="2711"/>
        <item m="1" x="1444"/>
        <item m="1" x="3316"/>
        <item m="1" x="1675"/>
        <item m="1" x="197"/>
        <item m="1" x="2544"/>
        <item m="1" x="1947"/>
        <item m="1" x="2871"/>
        <item m="1" x="515"/>
        <item m="1" x="2182"/>
        <item m="1" x="2611"/>
        <item m="1" x="2235"/>
        <item m="1" x="602"/>
        <item m="1" x="535"/>
        <item m="1" x="787"/>
        <item m="1" x="1991"/>
        <item m="1" x="2921"/>
        <item m="1" x="2496"/>
        <item m="1" x="715"/>
        <item m="1" x="2494"/>
        <item m="1" x="2502"/>
        <item m="1" x="835"/>
        <item m="1" x="801"/>
        <item m="1" x="2099"/>
        <item m="1" x="73"/>
        <item m="1" x="408"/>
        <item m="1" x="700"/>
        <item m="1" x="1965"/>
        <item m="1" x="1380"/>
        <item m="1" x="2918"/>
        <item m="1" x="812"/>
        <item m="1" x="1723"/>
        <item m="1" x="2001"/>
        <item m="1" x="1592"/>
        <item m="1" x="3187"/>
        <item m="1" x="2287"/>
        <item m="1" x="2440"/>
        <item m="1" x="1069"/>
        <item m="1" x="2004"/>
        <item m="1" x="729"/>
        <item m="1" x="1917"/>
        <item m="1" x="1869"/>
        <item m="1" x="207"/>
        <item m="1" x="1151"/>
        <item m="1" x="274"/>
        <item m="1" x="1438"/>
        <item m="1" x="438"/>
        <item m="1" x="519"/>
        <item m="1" x="1254"/>
        <item m="1" x="2533"/>
        <item m="1" x="2964"/>
        <item m="1" x="1014"/>
        <item m="1" x="2876"/>
        <item m="1" x="1653"/>
        <item m="1" x="1260"/>
        <item m="1" x="1043"/>
        <item m="1" x="1779"/>
        <item m="1" x="2614"/>
        <item m="1" x="254"/>
        <item m="1" x="1384"/>
        <item m="1" x="3064"/>
        <item m="1" x="2615"/>
        <item m="1" x="1856"/>
        <item m="1" x="3116"/>
        <item m="1" x="1070"/>
        <item m="1" x="2356"/>
        <item m="1" x="1576"/>
        <item m="1" x="3086"/>
        <item m="1" x="3322"/>
        <item m="1" x="1233"/>
        <item m="1" x="909"/>
        <item m="1" x="392"/>
        <item m="1" x="1715"/>
        <item m="1" x="1273"/>
        <item m="1" x="2559"/>
        <item m="1" x="3004"/>
        <item m="1" x="1929"/>
        <item m="1" x="526"/>
        <item m="1" x="605"/>
        <item m="1" x="1179"/>
        <item m="1" x="2038"/>
        <item m="1" x="2359"/>
        <item m="1" x="1948"/>
        <item m="1" x="2736"/>
        <item m="1" x="3298"/>
        <item m="1" x="2233"/>
        <item m="1" x="1101"/>
        <item m="1" x="989"/>
        <item m="1" x="1094"/>
        <item m="1" x="2415"/>
        <item m="1" x="766"/>
        <item m="1" x="1994"/>
        <item m="1" x="1346"/>
        <item m="1" x="2379"/>
        <item m="1" x="275"/>
        <item m="1" x="3238"/>
        <item m="1" x="2324"/>
        <item m="1" x="184"/>
        <item m="1" x="1748"/>
        <item m="1" x="1678"/>
        <item m="1" x="1485"/>
        <item m="1" x="2991"/>
        <item m="1" x="2902"/>
        <item m="1" x="509"/>
        <item m="1" x="2885"/>
        <item m="1" x="2479"/>
        <item m="1" x="2355"/>
        <item m="1" x="1784"/>
        <item m="1" x="1097"/>
        <item m="1" x="1406"/>
        <item m="1" x="524"/>
        <item m="1" x="2077"/>
        <item m="1" x="2352"/>
        <item m="1" x="2283"/>
        <item m="1" x="416"/>
        <item m="1" x="508"/>
        <item m="1" x="1123"/>
        <item m="1" x="2253"/>
        <item m="1" x="2997"/>
        <item m="1" x="2086"/>
        <item m="1" x="640"/>
        <item m="1" x="2621"/>
        <item m="1" x="3255"/>
        <item m="1" x="1437"/>
        <item m="1" x="1616"/>
        <item m="1" x="444"/>
        <item m="1" x="2431"/>
        <item m="1" x="3281"/>
        <item m="1" x="1830"/>
        <item m="1" x="2927"/>
        <item m="1" x="2457"/>
        <item m="1" x="1136"/>
        <item m="1" x="988"/>
        <item m="1" x="607"/>
        <item m="1" x="1416"/>
        <item m="1" x="717"/>
        <item m="1" x="487"/>
        <item m="1" x="2267"/>
        <item m="1" x="1879"/>
        <item m="1" x="2323"/>
        <item m="1" x="1086"/>
        <item m="1" x="1222"/>
        <item m="1" x="2507"/>
        <item m="1" x="91"/>
        <item m="1" x="2811"/>
        <item m="1" x="1976"/>
        <item m="1" x="472"/>
        <item m="1" x="1735"/>
        <item m="1" x="3267"/>
        <item m="1" x="3273"/>
        <item m="1" x="2554"/>
        <item m="1" x="343"/>
        <item m="1" x="1311"/>
        <item m="1" x="1874"/>
        <item m="1" x="1441"/>
        <item m="1" x="2746"/>
        <item m="1" x="780"/>
        <item m="1" x="2874"/>
        <item m="1" x="2728"/>
        <item m="1" x="926"/>
        <item m="1" x="3212"/>
        <item m="1" x="2221"/>
        <item m="1" x="2349"/>
        <item m="1" x="3054"/>
        <item m="1" x="3149"/>
        <item m="1" x="3289"/>
        <item m="1" x="1258"/>
        <item m="1" x="1977"/>
        <item m="1" x="2243"/>
        <item m="1" x="2472"/>
        <item m="1" x="2925"/>
        <item m="1" x="1909"/>
        <item m="1" x="2022"/>
        <item m="1" x="910"/>
        <item m="1" x="3077"/>
        <item m="1" x="265"/>
        <item m="1" x="1611"/>
        <item m="1" x="935"/>
        <item m="1" x="627"/>
        <item m="1" x="2011"/>
        <item m="1" x="433"/>
        <item m="1" x="1633"/>
        <item m="1" x="1210"/>
        <item m="1" x="576"/>
        <item m="1" x="2897"/>
        <item m="1" x="600"/>
        <item m="1" x="185"/>
        <item m="1" x="2575"/>
        <item m="1" x="1707"/>
        <item m="1" x="995"/>
        <item m="1" x="798"/>
        <item m="1" x="3081"/>
        <item m="1" x="511"/>
        <item m="1" x="590"/>
        <item m="1" x="3119"/>
        <item m="1" x="2340"/>
        <item m="1" x="2200"/>
        <item m="1" x="289"/>
        <item m="1" x="2140"/>
        <item m="1" x="2766"/>
        <item m="1" x="1150"/>
        <item m="1" x="1508"/>
        <item m="1" x="2781"/>
        <item m="1" x="3061"/>
        <item m="1" x="2087"/>
        <item m="1" x="147"/>
        <item m="1" x="2025"/>
        <item m="1" x="342"/>
        <item m="1" x="2954"/>
        <item m="1" x="1294"/>
        <item m="1" x="2501"/>
        <item m="1" x="1031"/>
        <item m="1" x="401"/>
        <item m="1" x="3038"/>
        <item m="1" x="2298"/>
        <item m="1" x="1888"/>
        <item m="1" x="3103"/>
        <item m="1" x="554"/>
        <item m="1" x="2372"/>
        <item m="1" x="3176"/>
        <item m="1" x="1475"/>
        <item m="1" x="1170"/>
        <item m="1" x="3319"/>
        <item m="1" x="830"/>
        <item m="1" x="3019"/>
        <item m="1" x="1896"/>
        <item m="1" x="2636"/>
        <item m="1" x="212"/>
        <item m="1" x="813"/>
        <item m="1" x="136"/>
        <item m="1" x="2412"/>
        <item m="1" x="2028"/>
        <item m="1" x="890"/>
        <item m="1" x="1249"/>
        <item m="1" x="2776"/>
        <item m="1" x="2002"/>
        <item m="1" x="3263"/>
        <item m="1" x="1538"/>
        <item m="1" x="1217"/>
        <item m="1" x="1299"/>
        <item m="1" x="129"/>
        <item m="1" x="1793"/>
        <item m="1" x="1862"/>
        <item m="1" x="1118"/>
        <item m="1" x="264"/>
        <item m="1" x="437"/>
        <item m="1" x="99"/>
        <item m="1" x="1961"/>
        <item m="1" x="1680"/>
        <item m="1" x="2645"/>
        <item m="1" x="762"/>
        <item m="1" x="1148"/>
        <item m="1" x="1104"/>
        <item m="1" x="1492"/>
        <item m="1" x="1103"/>
        <item m="1" x="2205"/>
        <item m="1" x="2786"/>
        <item m="1" x="3221"/>
        <item m="1" x="2058"/>
        <item m="1" x="2947"/>
        <item m="1" x="2322"/>
        <item m="1" x="944"/>
        <item m="1" x="2239"/>
        <item m="1" x="405"/>
        <item m="1" x="3067"/>
        <item m="1" x="3108"/>
        <item m="1" x="1073"/>
        <item m="1" x="2464"/>
        <item m="1" x="840"/>
        <item m="1" x="904"/>
        <item m="1" x="978"/>
        <item m="1" x="3069"/>
        <item m="1" x="3072"/>
        <item m="1" x="3226"/>
        <item m="1" x="634"/>
        <item m="1" x="340"/>
        <item m="1" x="2526"/>
        <item m="1" x="3090"/>
        <item m="1" x="1471"/>
        <item m="1" x="1381"/>
        <item m="1" x="2400"/>
        <item m="1" x="1818"/>
        <item m="1" x="3010"/>
        <item m="1" x="2018"/>
        <item m="1" x="2358"/>
        <item m="1" x="575"/>
        <item m="1" x="3152"/>
        <item m="1" x="520"/>
        <item m="1" x="139"/>
        <item m="1" x="781"/>
        <item m="1" x="883"/>
        <item m="1" x="1971"/>
        <item m="1" x="2006"/>
        <item m="1" x="1785"/>
        <item m="1" x="2284"/>
        <item x="11"/>
        <item m="1" x="2712"/>
        <item m="1" x="1871"/>
        <item m="1" x="3209"/>
        <item m="1" x="3334"/>
        <item m="1" x="2448"/>
        <item m="1" x="3032"/>
        <item m="1" x="2142"/>
        <item m="1" x="2771"/>
        <item m="1" x="1631"/>
        <item m="1" x="1897"/>
        <item m="1" x="1932"/>
        <item m="1" x="2234"/>
        <item m="1" x="2163"/>
        <item m="1" x="2301"/>
        <item m="1" x="3184"/>
        <item m="1" x="180"/>
        <item m="1" x="208"/>
        <item m="1" x="354"/>
        <item m="1" x="516"/>
        <item m="1" x="3283"/>
        <item m="1" x="1564"/>
        <item m="1" x="2682"/>
        <item m="1" x="877"/>
        <item m="1" x="263"/>
        <item m="1" x="2989"/>
        <item m="1" x="2970"/>
        <item m="1" x="79"/>
        <item m="1" x="3213"/>
        <item m="1" x="3310"/>
        <item m="1" x="2392"/>
        <item m="1" x="1199"/>
        <item m="1" x="2097"/>
        <item m="1" x="2342"/>
        <item m="1" x="3197"/>
        <item m="1" x="1009"/>
        <item m="1" x="1032"/>
        <item m="1" x="1112"/>
        <item m="1" x="1194"/>
        <item m="1" x="1212"/>
        <item m="1" x="2668"/>
        <item m="1" x="2865"/>
        <item m="1" x="3332"/>
        <item m="1" x="2490"/>
        <item m="1" x="2423"/>
        <item m="1" x="2132"/>
        <item m="1" x="1404"/>
        <item m="1" x="2550"/>
        <item m="1" x="351"/>
        <item m="1" x="2793"/>
        <item m="1" x="480"/>
        <item m="1" x="1144"/>
        <item m="1" x="2285"/>
        <item m="1" x="97"/>
        <item m="1" x="2549"/>
        <item m="1" x="230"/>
        <item m="1" x="3246"/>
        <item m="1" x="1313"/>
        <item m="1" x="552"/>
        <item m="1" x="1992"/>
        <item m="1" x="1306"/>
        <item m="1" x="893"/>
        <item m="1" x="1325"/>
        <item m="1" x="1434"/>
        <item m="1" x="279"/>
        <item m="1" x="1545"/>
        <item m="1" x="2014"/>
        <item m="1" x="3048"/>
        <item m="1" x="311"/>
        <item m="1" x="2247"/>
        <item m="1" x="2237"/>
        <item m="1" x="1143"/>
        <item m="1" x="1378"/>
        <item m="1" x="1836"/>
        <item m="1" x="986"/>
        <item m="1" x="972"/>
        <item m="1" x="2210"/>
        <item m="1" x="2013"/>
        <item m="1" x="3105"/>
        <item m="1" x="2135"/>
        <item m="1" x="347"/>
        <item m="1" x="1085"/>
        <item m="1" x="743"/>
        <item m="1" x="168"/>
        <item m="1" x="2369"/>
        <item m="1" x="2141"/>
        <item m="1" x="1607"/>
        <item m="1" x="2571"/>
        <item m="1" x="1736"/>
        <item m="1" x="1621"/>
        <item x="26"/>
        <item m="1" x="1854"/>
        <item m="1" x="3000"/>
        <item m="1" x="1655"/>
        <item m="1" x="1133"/>
        <item m="1" x="723"/>
        <item m="1" x="3142"/>
        <item m="1" x="1840"/>
        <item m="1" x="380"/>
        <item m="1" x="1283"/>
        <item m="1" x="789"/>
        <item m="1" x="1469"/>
        <item m="1" x="1511"/>
        <item m="1" x="1979"/>
        <item m="1" x="271"/>
        <item m="1" x="941"/>
        <item m="1" x="3186"/>
        <item m="1" x="1660"/>
        <item m="1" x="809"/>
        <item m="1" x="1730"/>
        <item m="1" x="2687"/>
        <item m="1" x="3161"/>
        <item m="1" x="1863"/>
        <item m="1" x="2371"/>
        <item m="1" x="3175"/>
        <item m="1" x="1724"/>
        <item m="1" x="3082"/>
        <item m="1" x="1474"/>
        <item m="1" x="2882"/>
        <item m="1" x="1165"/>
        <item m="1" x="660"/>
        <item m="1" x="1967"/>
        <item m="1" x="3256"/>
        <item m="1" x="261"/>
        <item m="1" x="1609"/>
        <item m="1" x="1713"/>
        <item m="1" x="984"/>
        <item m="1" x="2238"/>
        <item m="1" x="3207"/>
        <item m="1" x="2282"/>
        <item m="1" x="1248"/>
        <item m="1" x="3205"/>
        <item m="1" x="1401"/>
        <item m="1" x="2740"/>
        <item m="1" x="657"/>
        <item m="1" x="2065"/>
        <item m="1" x="3053"/>
        <item m="1" x="1722"/>
        <item x="35"/>
        <item m="1" x="2363"/>
        <item m="1" x="3096"/>
        <item m="1" x="1131"/>
        <item m="1" x="1604"/>
        <item m="1" x="1728"/>
        <item m="1" x="2185"/>
        <item m="1" x="2318"/>
        <item m="1" x="229"/>
        <item m="1" x="2779"/>
        <item m="1" x="722"/>
        <item m="1" x="2784"/>
        <item m="1" x="2399"/>
        <item m="1" x="3106"/>
        <item m="1" x="1038"/>
        <item m="1" x="779"/>
        <item m="1" x="1842"/>
        <item m="1" x="614"/>
        <item m="1" x="1632"/>
        <item m="1" x="770"/>
        <item m="1" x="1817"/>
        <item m="1" x="625"/>
        <item m="1" x="2325"/>
        <item m="1" x="959"/>
        <item m="1" x="1243"/>
        <item m="1" x="2244"/>
        <item m="1" x="2195"/>
        <item m="1" x="2596"/>
        <item m="1" x="1814"/>
        <item m="1" x="1415"/>
        <item m="1" x="1442"/>
        <item m="1" x="440"/>
        <item m="1" x="419"/>
        <item m="1" x="2214"/>
        <item m="1" x="1816"/>
        <item m="1" x="3261"/>
        <item m="1" x="2866"/>
        <item m="1" x="1458"/>
        <item m="1" x="1460"/>
        <item m="1" x="2955"/>
        <item m="1" x="1993"/>
        <item m="1" x="1756"/>
        <item m="1" x="183"/>
        <item m="1" x="696"/>
        <item x="69"/>
        <item m="1" x="1016"/>
        <item m="1" x="1859"/>
        <item x="49"/>
        <item x="60"/>
        <item x="54"/>
        <item x="50"/>
        <item m="1" x="295"/>
        <item m="1" x="2933"/>
        <item m="1" x="1916"/>
        <item m="1" x="2582"/>
        <item x="18"/>
        <item m="1" x="1224"/>
        <item m="1" x="2545"/>
        <item m="1" x="96"/>
        <item m="1" x="1527"/>
        <item m="1" x="2330"/>
        <item m="1" x="1402"/>
        <item m="1" x="3146"/>
        <item m="1" x="2973"/>
        <item m="1" x="2346"/>
        <item m="1" x="3254"/>
        <item m="1" x="339"/>
        <item m="1" x="316"/>
        <item m="1" x="2208"/>
        <item m="1" x="562"/>
        <item m="1" x="500"/>
        <item m="1" x="706"/>
        <item m="1" x="1184"/>
        <item m="1" x="1142"/>
        <item m="1" x="2945"/>
        <item m="1" x="2288"/>
        <item m="1" x="1180"/>
        <item m="1" x="75"/>
        <item m="1" x="3292"/>
        <item m="1" x="1625"/>
        <item m="1" x="3111"/>
        <item m="1" x="1240"/>
        <item m="1" x="2797"/>
        <item m="1" x="2104"/>
        <item m="1" x="2542"/>
        <item m="1" x="2094"/>
        <item m="1" x="828"/>
        <item m="1" x="2080"/>
        <item m="1" x="896"/>
        <item m="1" x="189"/>
        <item x="23"/>
        <item m="1" x="86"/>
        <item m="1" x="1918"/>
        <item m="1" x="2967"/>
        <item m="1" x="368"/>
        <item m="1" x="1370"/>
        <item m="1" x="319"/>
        <item m="1" x="624"/>
        <item m="1" x="465"/>
        <item m="1" x="1451"/>
        <item m="1" x="2567"/>
        <item m="1" x="2122"/>
        <item m="1" x="632"/>
        <item m="1" x="1459"/>
        <item m="1" x="1336"/>
        <item m="1" x="2482"/>
        <item m="1" x="1521"/>
        <item m="1" x="1899"/>
        <item m="1" x="1424"/>
        <item m="1" x="1433"/>
        <item m="1" x="1271"/>
        <item m="1" x="3331"/>
        <item m="1" x="2306"/>
        <item m="1" x="1234"/>
        <item m="1" x="2458"/>
        <item m="1" x="1204"/>
        <item m="1" x="228"/>
        <item m="1" x="1453"/>
        <item m="1" x="873"/>
        <item m="1" x="2460"/>
        <item m="1" x="1950"/>
        <item m="1" x="2589"/>
        <item m="1" x="1167"/>
        <item m="1" x="2532"/>
        <item m="1" x="2572"/>
        <item m="1" x="544"/>
        <item m="1" x="3171"/>
        <item m="1" x="2073"/>
        <item m="1" x="155"/>
        <item m="1" x="3007"/>
        <item m="1" x="769"/>
        <item m="1" x="2895"/>
        <item m="1" x="1924"/>
        <item m="1" x="1614"/>
        <item m="1" x="2189"/>
        <item m="1" x="1796"/>
        <item m="1" x="3042"/>
        <item m="1" x="2265"/>
        <item m="1" x="425"/>
        <item m="1" x="832"/>
        <item m="1" x="2380"/>
        <item m="1" x="233"/>
        <item m="1" x="1706"/>
        <item m="1" x="2829"/>
        <item m="1" x="1176"/>
        <item m="1" x="1539"/>
        <item m="1" x="3134"/>
        <item m="1" x="1925"/>
        <item m="1" x="976"/>
        <item m="1" x="845"/>
        <item m="1" x="1975"/>
        <item m="1" x="2103"/>
        <item m="1" x="1162"/>
        <item m="1" x="2665"/>
        <item m="1" x="1357"/>
        <item m="1" x="1690"/>
        <item m="1" x="1877"/>
        <item m="1" x="656"/>
        <item m="1" x="844"/>
        <item m="1" x="847"/>
        <item m="1" x="581"/>
        <item m="1" x="94"/>
        <item m="1" x="2335"/>
        <item x="22"/>
        <item m="1" x="117"/>
        <item m="1" x="1039"/>
        <item m="1" x="215"/>
        <item x="36"/>
        <item m="1" x="2626"/>
        <item m="1" x="585"/>
        <item m="1" x="2531"/>
        <item m="1" x="1516"/>
        <item m="1" x="1082"/>
        <item m="1" x="2060"/>
        <item m="1" x="1171"/>
        <item m="1" x="2816"/>
        <item m="1" x="1705"/>
        <item m="1" x="3162"/>
        <item m="1" x="791"/>
        <item m="1" x="1316"/>
        <item m="1" x="1990"/>
        <item m="1" x="1029"/>
        <item m="1" x="1901"/>
        <item m="1" x="3328"/>
        <item m="1" x="1413"/>
        <item m="1" x="1309"/>
        <item m="1" x="460"/>
        <item m="1" x="2679"/>
        <item m="1" x="655"/>
        <item m="1" x="3277"/>
        <item m="1" x="1250"/>
        <item m="1" x="2023"/>
        <item m="1" x="899"/>
        <item m="1" x="3211"/>
        <item m="1" x="822"/>
        <item m="1" x="2790"/>
        <item m="1" x="930"/>
        <item m="1" x="980"/>
        <item m="1" x="821"/>
        <item m="1" x="673"/>
        <item m="1" x="300"/>
        <item m="1" x="1752"/>
        <item m="1" x="152"/>
        <item m="1" x="1484"/>
        <item m="1" x="2378"/>
        <item m="1" x="1774"/>
        <item m="1" x="2230"/>
        <item m="1" x="1349"/>
        <item m="1" x="2942"/>
        <item m="1" x="1077"/>
        <item m="1" x="2879"/>
        <item m="1" x="2983"/>
        <item m="1" x="387"/>
        <item m="1" x="2032"/>
        <item m="1" x="2782"/>
        <item m="1" x="2191"/>
        <item m="1" x="2147"/>
        <item m="1" x="3104"/>
        <item m="1" x="2063"/>
        <item m="1" x="2461"/>
        <item m="1" x="3269"/>
        <item m="1" x="3164"/>
        <item m="1" x="525"/>
        <item m="1" x="1845"/>
        <item m="1" x="3249"/>
        <item m="1" x="1172"/>
        <item m="1" x="767"/>
        <item m="1" x="1409"/>
        <item m="1" x="2603"/>
        <item m="1" x="2695"/>
        <item m="1" x="710"/>
        <item m="1" x="3214"/>
        <item m="1" x="3170"/>
        <item m="1" x="169"/>
        <item m="1" x="2466"/>
        <item m="1" x="2634"/>
        <item m="1" x="1079"/>
        <item m="1" x="1387"/>
        <item m="1" x="2656"/>
        <item m="1" x="434"/>
        <item m="1" x="3206"/>
        <item m="1" x="2310"/>
        <item m="1" x="2948"/>
        <item m="1" x="2075"/>
        <item m="1" x="2598"/>
        <item m="1" x="1327"/>
        <item m="1" x="391"/>
        <item m="1" x="1405"/>
        <item m="1" x="826"/>
        <item m="1" x="3078"/>
        <item m="1" x="1820"/>
        <item m="1" x="381"/>
        <item m="1" x="101"/>
        <item m="1" x="2411"/>
        <item m="1" x="885"/>
        <item m="1" x="402"/>
        <item m="1" x="2619"/>
        <item m="1" x="850"/>
        <item m="1" x="2913"/>
        <item m="1" x="1566"/>
        <item m="1" x="2180"/>
        <item m="1" x="1213"/>
        <item m="1" x="834"/>
        <item m="1" x="2246"/>
        <item m="1" x="996"/>
        <item m="1" x="2317"/>
        <item m="1" x="2170"/>
        <item m="1" x="2339"/>
        <item m="1" x="260"/>
        <item m="1" x="1439"/>
        <item m="1" x="2071"/>
        <item m="1" x="2365"/>
        <item m="1" x="2939"/>
        <item m="1" x="3136"/>
        <item m="1" x="3075"/>
        <item m="1" x="3098"/>
        <item m="1" x="572"/>
        <item m="1" x="2506"/>
        <item m="1" x="1829"/>
        <item m="1" x="360"/>
        <item m="1" x="2489"/>
        <item m="1" x="481"/>
        <item m="1" x="485"/>
        <item m="1" x="3173"/>
        <item m="1" x="2808"/>
        <item m="1" x="122"/>
        <item m="1" x="1550"/>
        <item m="1" x="1452"/>
        <item m="1" x="385"/>
        <item m="1" x="2525"/>
        <item m="1" x="1227"/>
        <item m="1" x="3313"/>
        <item m="1" x="461"/>
        <item m="1" x="2981"/>
        <item m="1" x="1138"/>
        <item m="1" x="2653"/>
        <item m="1" x="1262"/>
        <item m="1" x="2734"/>
        <item m="1" x="1119"/>
        <item m="1" x="2171"/>
        <item m="1" x="3120"/>
        <item m="1" x="1393"/>
        <item m="1" x="3139"/>
        <item m="1" x="2276"/>
        <item m="1" x="1149"/>
        <item m="1" x="1523"/>
        <item m="1" x="2263"/>
        <item m="1" x="2854"/>
        <item m="1" x="1639"/>
        <item m="1" x="667"/>
        <item m="1" x="2551"/>
        <item m="1" x="829"/>
        <item m="1" x="2586"/>
        <item m="1" x="2694"/>
        <item m="1" x="3233"/>
        <item m="1" x="2788"/>
        <item m="1" x="2173"/>
        <item m="1" x="578"/>
        <item m="1" x="1940"/>
        <item m="1" x="843"/>
        <item m="1" x="1759"/>
        <item m="1" x="3317"/>
        <item m="1" x="742"/>
        <item m="1" x="2405"/>
        <item m="1" x="3020"/>
        <item m="1" x="3044"/>
        <item m="1" x="1828"/>
        <item m="1" x="2726"/>
        <item m="1" x="1275"/>
        <item m="1" x="1356"/>
        <item m="1" x="775"/>
        <item m="1" x="2360"/>
        <item m="1" x="668"/>
        <item m="1" x="1412"/>
        <item m="1" x="383"/>
        <item x="32"/>
        <item x="24"/>
        <item m="1" x="1954"/>
        <item x="0"/>
        <item x="51"/>
        <item m="1" x="2083"/>
        <item x="31"/>
        <item m="1" x="2153"/>
        <item m="1" x="1365"/>
        <item m="1" x="3092"/>
        <item m="1" x="3314"/>
        <item m="1" x="2807"/>
        <item m="1" x="966"/>
        <item m="1" x="1286"/>
        <item m="1" x="2643"/>
        <item m="1" x="859"/>
        <item m="1" x="2091"/>
        <item m="1" x="2432"/>
        <item m="1" x="3189"/>
        <item m="1" x="1135"/>
        <item m="1" x="349"/>
        <item m="1" x="2576"/>
        <item m="1" x="3280"/>
        <item m="1" x="2299"/>
        <item m="1" x="2827"/>
        <item m="1" x="1642"/>
        <item m="1" x="2932"/>
        <item m="1" x="2154"/>
        <item m="1" x="2388"/>
        <item m="1" x="908"/>
        <item m="1" x="2825"/>
        <item m="1" x="1317"/>
        <item m="1" x="1849"/>
        <item m="1" x="404"/>
        <item m="1" x="1731"/>
        <item m="1" x="299"/>
        <item m="1" x="2565"/>
        <item m="1" x="2373"/>
        <item m="1" x="693"/>
        <item m="1" x="2754"/>
        <item m="1" x="3323"/>
        <item m="1" x="1875"/>
        <item m="1" x="450"/>
        <item m="1" x="98"/>
        <item m="1" x="2742"/>
        <item m="1" x="1231"/>
        <item m="1" x="1376"/>
        <item m="1" x="1672"/>
        <item m="1" x="1673"/>
        <item x="6"/>
        <item m="1" x="3243"/>
        <item m="1" x="219"/>
        <item m="1" x="257"/>
        <item m="1" x="350"/>
        <item m="1" x="1045"/>
        <item m="1" x="1024"/>
        <item m="1" x="1053"/>
        <item m="1" x="3024"/>
        <item m="1" x="3028"/>
        <item m="1" x="1065"/>
        <item m="1" x="3041"/>
        <item m="1" x="2250"/>
        <item m="1" x="3089"/>
        <item m="1" x="3109"/>
        <item m="1" x="1959"/>
        <item m="1" x="1263"/>
        <item m="1" x="2635"/>
        <item m="1" x="557"/>
        <item m="1" x="1193"/>
        <item m="1" x="737"/>
        <item m="1" x="2660"/>
        <item m="1" x="1114"/>
        <item m="1" x="3039"/>
        <item m="1" x="2429"/>
        <item m="1" x="1440"/>
        <item m="1" x="598"/>
        <item m="1" x="2204"/>
        <item m="1" x="1679"/>
        <item m="1" x="3153"/>
        <item m="1" x="1488"/>
        <item m="1" x="236"/>
        <item m="1" x="2455"/>
        <item m="1" x="547"/>
        <item m="1" x="739"/>
        <item m="1" x="2357"/>
        <item m="1" x="2613"/>
        <item m="1" x="2750"/>
        <item m="1" x="410"/>
        <item m="1" x="1023"/>
        <item m="1" x="309"/>
        <item m="1" x="2092"/>
        <item m="1" x="689"/>
        <item m="1" x="100"/>
        <item m="1" x="2946"/>
        <item m="1" x="1465"/>
        <item m="1" x="1712"/>
        <item m="1" x="1467"/>
        <item m="1" x="1870"/>
        <item m="1" x="679"/>
        <item m="1" x="1436"/>
        <item m="1" x="2418"/>
        <item m="1" x="2907"/>
        <item m="1" x="1812"/>
        <item m="1" x="2331"/>
        <item m="1" x="2980"/>
        <item m="1" x="2055"/>
        <item m="1" x="857"/>
        <item m="1" x="2313"/>
        <item m="1" x="796"/>
        <item m="1" x="107"/>
        <item m="1" x="790"/>
        <item m="1" x="1922"/>
        <item m="1" x="1938"/>
        <item m="1" x="1139"/>
        <item m="1" x="548"/>
        <item m="1" x="2915"/>
        <item m="1" x="1427"/>
        <item m="1" x="1726"/>
        <item m="1" x="1268"/>
        <item m="1" x="898"/>
        <item m="1" x="2047"/>
        <item m="1" x="1080"/>
        <item m="1" x="1955"/>
        <item m="1" x="1619"/>
        <item m="1" x="1589"/>
        <item m="1" x="2785"/>
        <item m="1" x="1868"/>
        <item m="1" x="993"/>
        <item m="1" x="2833"/>
        <item m="1" x="1737"/>
        <item m="1" x="771"/>
        <item m="1" x="2190"/>
        <item m="1" x="2593"/>
        <item m="1" x="3252"/>
        <item m="1" x="2513"/>
        <item m="1" x="510"/>
        <item m="1" x="878"/>
        <item m="1" x="1242"/>
        <item m="1" x="394"/>
        <item m="1" x="483"/>
        <item m="1" x="281"/>
        <item m="1" x="2745"/>
        <item m="1" x="1742"/>
        <item m="1" x="2256"/>
        <item m="1" x="2518"/>
        <item m="1" x="2515"/>
        <item m="1" x="691"/>
        <item m="1" x="3168"/>
        <item m="1" x="1691"/>
        <item m="1" x="580"/>
        <item m="1" x="2417"/>
        <item m="1" x="307"/>
        <item m="1" x="2209"/>
        <item m="1" x="1372"/>
        <item m="1" x="2725"/>
        <item m="1" x="1431"/>
        <item m="1" x="1192"/>
        <item m="1" x="198"/>
        <item m="1" x="1833"/>
        <item m="1" x="1100"/>
        <item m="1" x="3230"/>
        <item m="1" x="1055"/>
        <item m="1" x="709"/>
        <item m="1" x="1152"/>
        <item m="1" x="2778"/>
        <item m="1" x="1005"/>
        <item m="1" x="2248"/>
        <item m="1" x="2527"/>
        <item m="1" x="1423"/>
        <item m="1" x="2000"/>
        <item m="1" x="1727"/>
        <item m="1" x="2367"/>
        <item m="1" x="2382"/>
        <item m="1" x="435"/>
        <item m="1" x="2226"/>
        <item m="1" x="783"/>
        <item m="1" x="2753"/>
        <item m="1" x="2777"/>
        <item m="1" x="3285"/>
        <item m="1" x="248"/>
        <item m="1" x="1583"/>
        <item m="1" x="2333"/>
        <item m="1" x="1322"/>
        <item m="1" x="2805"/>
        <item m="1" x="2872"/>
        <item m="1" x="77"/>
        <item m="1" x="1280"/>
        <item m="1" x="1581"/>
        <item m="1" x="761"/>
        <item m="1" x="348"/>
        <item m="1" x="436"/>
        <item m="1" x="807"/>
        <item m="1" x="227"/>
        <item m="1" x="3040"/>
        <item m="1" x="292"/>
        <item m="1" x="2188"/>
        <item m="1" x="1847"/>
        <item m="1" x="1729"/>
        <item m="1" x="543"/>
        <item m="1" x="849"/>
        <item m="1" x="203"/>
        <item m="1" x="2995"/>
        <item m="1" x="159"/>
        <item m="1" x="1970"/>
        <item m="1" x="426"/>
        <item m="1" x="2772"/>
        <item m="1" x="3235"/>
        <item m="1" x="1974"/>
        <item m="1" x="817"/>
        <item m="1" x="2623"/>
        <item m="1" x="3057"/>
        <item m="1" x="2484"/>
        <item m="1" x="806"/>
        <item m="1" x="3318"/>
        <item m="1" x="2393"/>
        <item m="1" x="2043"/>
        <item m="1" x="92"/>
        <item m="1" x="3163"/>
        <item m="1" x="1525"/>
        <item m="1" x="1153"/>
        <item m="1" x="1749"/>
        <item m="1" x="2641"/>
        <item m="1" x="1591"/>
        <item m="1" x="1989"/>
        <item m="1" x="420"/>
        <item m="1" x="2477"/>
        <item m="1" x="2493"/>
        <item m="1" x="490"/>
        <item m="1" x="193"/>
        <item m="1" x="1418"/>
        <item m="1" x="1923"/>
        <item m="1" x="1946"/>
        <item m="1" x="2240"/>
        <item m="1" x="2161"/>
        <item m="1" x="2883"/>
        <item m="1" x="2452"/>
        <item m="1" x="3107"/>
        <item m="1" x="2760"/>
        <item m="1" x="712"/>
        <item m="1" x="1264"/>
        <item m="1" x="2402"/>
        <item m="1" x="3125"/>
        <item m="1" x="1574"/>
        <item m="1" x="1668"/>
        <item m="1" x="2278"/>
        <item m="1" x="994"/>
        <item m="1" x="2459"/>
        <item m="1" x="2855"/>
        <item m="1" x="811"/>
        <item m="1" x="108"/>
        <item m="1" x="3127"/>
        <item m="1" x="1978"/>
        <item m="1" x="2839"/>
        <item m="1" x="137"/>
        <item m="1" x="1113"/>
        <item m="1" x="2123"/>
        <item m="1" x="2061"/>
        <item m="1" x="116"/>
        <item m="1" x="1111"/>
        <item m="1" x="1608"/>
        <item m="1" x="477"/>
        <item m="1" x="150"/>
        <item m="1" x="2654"/>
        <item m="1" x="1585"/>
        <item m="1" x="3025"/>
        <item m="1" x="1615"/>
        <item m="1" x="1445"/>
        <item m="1" x="2112"/>
        <item m="1" x="502"/>
        <item m="1" x="1575"/>
        <item m="1" x="1733"/>
        <item m="1" x="332"/>
        <item m="1" x="2093"/>
        <item m="1" x="501"/>
        <item m="1" x="3074"/>
        <item m="1" x="2202"/>
        <item m="1" x="496"/>
        <item m="1" x="267"/>
        <item m="1" x="3262"/>
        <item m="1" x="2548"/>
        <item m="1" x="2961"/>
        <item m="1" x="1996"/>
        <item m="1" x="239"/>
        <item m="1" x="1040"/>
        <item m="1" x="2386"/>
        <item m="1" x="579"/>
        <item m="1" x="1565"/>
        <item m="1" x="1061"/>
        <item m="1" x="377"/>
        <item m="1" x="1822"/>
        <item m="1" x="318"/>
        <item m="1" x="2929"/>
        <item m="1" x="3293"/>
        <item m="1" x="3202"/>
        <item m="1" x="546"/>
        <item m="1" x="2869"/>
        <item m="1" x="3216"/>
        <item m="1" x="293"/>
        <item m="1" x="1130"/>
        <item m="1" x="199"/>
        <item m="1" x="2799"/>
        <item m="1" x="2693"/>
        <item m="1" x="1744"/>
        <item m="1" x="382"/>
        <item m="1" x="2676"/>
        <item m="1" x="2748"/>
        <item m="1" x="884"/>
        <item m="1" x="892"/>
        <item m="1" x="400"/>
        <item m="1" x="3244"/>
        <item m="1" x="905"/>
        <item m="1" x="1912"/>
        <item m="1" x="269"/>
        <item m="1" x="1754"/>
        <item m="1" x="2320"/>
        <item m="1" x="2347"/>
        <item m="1" x="608"/>
        <item m="1" x="2295"/>
        <item m="1" x="570"/>
        <item m="1" x="1710"/>
        <item m="1" x="2767"/>
        <item m="1" x="304"/>
        <item m="1" x="186"/>
        <item m="1" x="639"/>
        <item m="1" x="541"/>
        <item m="1" x="3047"/>
        <item m="1" x="158"/>
        <item m="1" x="2268"/>
        <item m="1" x="2661"/>
        <item m="1" x="2662"/>
        <item m="1" x="629"/>
        <item m="1" x="1141"/>
        <item m="1" x="1088"/>
        <item m="1" x="1496"/>
        <item m="1" x="688"/>
        <item m="1" x="903"/>
        <item m="1" x="3204"/>
        <item m="1" x="310"/>
        <item m="1" x="1595"/>
        <item m="1" x="765"/>
        <item m="1" x="1056"/>
        <item m="1" x="1298"/>
        <item m="1" x="1663"/>
        <item m="1" x="2297"/>
        <item m="1" x="919"/>
        <item m="1" x="3286"/>
        <item m="1" x="3240"/>
        <item m="1" x="1601"/>
        <item m="1" x="3321"/>
        <item m="1" x="1183"/>
        <item m="1" x="82"/>
        <item m="1" x="2944"/>
        <item m="1" x="2416"/>
        <item m="1" x="1810"/>
        <item m="1" x="3329"/>
        <item m="1" x="2453"/>
        <item m="1" x="1771"/>
        <item m="1" x="2900"/>
        <item m="1" x="2424"/>
        <item m="1" x="335"/>
        <item m="1" x="179"/>
        <item m="1" x="462"/>
        <item m="1" x="2059"/>
        <item m="1" x="170"/>
        <item m="1" x="1455"/>
        <item m="1" x="1685"/>
        <item m="1" x="161"/>
        <item m="1" x="2350"/>
        <item m="1" x="2680"/>
        <item m="1" x="253"/>
        <item m="1" x="2646"/>
        <item m="1" x="3001"/>
        <item m="1" x="1648"/>
        <item m="1" x="1266"/>
        <item m="1" x="2683"/>
        <item m="1" x="1819"/>
        <item m="1" x="1926"/>
        <item m="1" x="3017"/>
        <item m="1" x="942"/>
        <item m="1" x="1876"/>
        <item m="1" x="784"/>
        <item m="1" x="1107"/>
        <item m="1" x="1312"/>
        <item m="1" x="2926"/>
        <item m="1" x="2663"/>
        <item m="1" x="654"/>
        <item m="1" x="190"/>
        <item m="1" x="1293"/>
        <item m="1" x="3099"/>
        <item m="1" x="3311"/>
        <item m="1" x="411"/>
        <item m="1" x="1443"/>
        <item m="1" x="1374"/>
        <item m="1" x="750"/>
        <item m="1" x="1933"/>
        <item m="1" x="2870"/>
        <item m="1" x="3094"/>
        <item m="1" x="2521"/>
        <item m="1" x="1074"/>
        <item m="1" x="934"/>
        <item m="1" x="2972"/>
        <item m="1" x="3033"/>
        <item m="1" x="143"/>
        <item m="1" x="390"/>
        <item m="1" x="287"/>
        <item m="1" x="153"/>
        <item m="1" x="2875"/>
        <item m="1" x="1361"/>
        <item m="1" x="214"/>
        <item m="1" x="1391"/>
        <item m="1" x="636"/>
        <item m="1" x="3008"/>
        <item m="1" x="2034"/>
        <item m="1" x="325"/>
        <item m="1" x="609"/>
        <item m="1" x="3219"/>
        <item m="1" x="2503"/>
        <item m="1" x="1244"/>
        <item m="1" x="708"/>
        <item m="1" x="2053"/>
        <item m="1" x="446"/>
        <item m="1" x="1462"/>
        <item m="1" x="3253"/>
        <item m="1" x="1768"/>
        <item m="1" x="1937"/>
        <item m="1" x="126"/>
        <item m="1" x="2179"/>
        <item m="1" x="2625"/>
        <item m="1" x="2800"/>
        <item m="1" x="841"/>
        <item m="1" x="2255"/>
        <item m="1" x="2079"/>
        <item m="1" x="2428"/>
        <item m="1" x="344"/>
        <item m="1" x="1324"/>
        <item m="1" x="971"/>
        <item m="1" x="1873"/>
        <item m="1" x="2971"/>
        <item m="1" x="374"/>
        <item m="1" x="2312"/>
        <item m="1" x="1062"/>
        <item m="1" x="3144"/>
        <item m="1" x="2167"/>
        <item m="1" x="2069"/>
        <item m="1" x="901"/>
        <item m="1" x="2176"/>
        <item m="1" x="658"/>
        <item m="1" x="1279"/>
        <item m="1" x="721"/>
        <item m="1" x="3190"/>
        <item m="1" x="3227"/>
        <item m="1" x="422"/>
        <item m="1" x="111"/>
        <item m="1" x="2403"/>
        <item m="1" x="1235"/>
        <item m="1" x="1307"/>
        <item m="1" x="1246"/>
        <item m="1" x="1958"/>
        <item m="1" x="192"/>
        <item m="1" x="2217"/>
        <item m="1" x="1807"/>
        <item m="1" x="1232"/>
        <item m="1" x="3021"/>
        <item m="1" x="846"/>
        <item m="1" x="334"/>
        <item m="1" x="1203"/>
        <item m="1" x="967"/>
        <item m="1" x="2890"/>
        <item m="1" x="1209"/>
        <item m="1" x="2920"/>
        <item m="1" x="2552"/>
        <item m="1" x="1463"/>
        <item m="1" x="1261"/>
        <item m="1" x="1643"/>
        <item m="1" x="681"/>
        <item m="1" x="2968"/>
        <item m="1" x="1711"/>
        <item m="1" x="683"/>
        <item m="1" x="530"/>
        <item m="1" x="172"/>
        <item m="1" x="2272"/>
        <item m="1" x="2741"/>
        <item m="1" x="341"/>
        <item m="1" x="2476"/>
        <item m="1" x="2859"/>
        <item m="1" x="1291"/>
        <item m="1" x="1758"/>
        <item m="1" x="3330"/>
        <item m="1" x="1360"/>
        <item m="1" x="2958"/>
        <item m="1" x="2699"/>
        <item m="1" x="3237"/>
        <item m="1" x="1936"/>
        <item m="1" x="1695"/>
        <item m="1" x="1886"/>
        <item m="1" x="2194"/>
        <item m="1" x="327"/>
        <item m="1" x="621"/>
        <item m="1" x="912"/>
        <item m="1" x="778"/>
        <item m="1" x="940"/>
        <item m="1" x="148"/>
        <item m="1" x="2674"/>
        <item m="1" x="1596"/>
        <item m="1" x="1885"/>
        <item m="1" x="1363"/>
        <item m="1" x="3335"/>
        <item m="1" x="1732"/>
        <item m="1" x="727"/>
        <item m="1" x="3036"/>
        <item m="1" x="2974"/>
        <item m="1" x="2724"/>
        <item m="1" x="3200"/>
        <item m="1" x="2719"/>
        <item m="1" x="2181"/>
        <item m="1" x="788"/>
        <item m="1" x="76"/>
        <item m="1" x="2764"/>
        <item m="1" x="2962"/>
        <item m="1" x="615"/>
        <item m="1" x="355"/>
        <item m="1" x="1269"/>
        <item m="1" x="3258"/>
        <item m="1" x="2249"/>
        <item m="1" x="795"/>
        <item m="1" x="2705"/>
        <item m="1" x="399"/>
        <item m="1" x="2512"/>
        <item m="1" x="3011"/>
        <item m="1" x="1169"/>
        <item m="1" x="1473"/>
        <item m="1" x="3055"/>
        <item m="1" x="216"/>
        <item m="1" x="954"/>
        <item m="1" x="1533"/>
        <item m="1" x="2940"/>
        <item m="1" x="3193"/>
        <item m="1" x="2878"/>
        <item m="1" x="3185"/>
        <item m="1" x="2155"/>
        <item m="1" x="2835"/>
        <item m="1" x="2650"/>
        <item m="1" x="2612"/>
        <item m="1" x="1002"/>
        <item m="1" x="1560"/>
        <item m="1" x="445"/>
        <item m="1" x="1407"/>
        <item m="1" x="2236"/>
        <item m="1" x="574"/>
        <item m="1" x="151"/>
        <item m="1" x="676"/>
        <item m="1" x="372"/>
        <item m="1" x="2706"/>
        <item m="1" x="3225"/>
        <item m="1" x="521"/>
        <item m="1" x="2212"/>
        <item m="1" x="266"/>
        <item m="1" x="2733"/>
        <item m="1" x="3333"/>
        <item m="1" x="875"/>
        <item m="1" x="2353"/>
        <item m="1" x="2837"/>
        <item m="1" x="2166"/>
        <item m="1" x="1773"/>
        <item m="1" x="2664"/>
        <item m="1" x="2042"/>
        <item m="1" x="1287"/>
        <item m="1" x="498"/>
        <item m="1" x="2125"/>
        <item m="1" x="1076"/>
        <item m="1" x="175"/>
        <item m="1" x="2817"/>
        <item m="1" x="303"/>
        <item m="1" x="1083"/>
        <item m="1" x="2826"/>
        <item m="1" x="2716"/>
        <item m="1" x="314"/>
        <item m="1" x="231"/>
        <item m="1" x="3306"/>
        <item m="1" x="2638"/>
        <item m="1" x="2148"/>
        <item m="1" x="1122"/>
        <item m="1" x="3290"/>
        <item m="1" x="424"/>
        <item m="1" x="2316"/>
        <item m="1" x="1476"/>
        <item m="1" x="1115"/>
        <item m="1" x="963"/>
        <item m="1" x="2815"/>
        <item m="1" x="641"/>
        <item m="1" x="2686"/>
        <item m="1" x="2658"/>
        <item m="1" x="1804"/>
        <item m="1" x="1509"/>
        <item m="1" x="730"/>
        <item m="1" x="3276"/>
        <item m="1" x="1344"/>
        <item m="1" x="1041"/>
        <item m="1" x="2600"/>
        <item m="1" x="1048"/>
        <item m="1" x="2819"/>
        <item m="1" x="1354"/>
        <item m="1" x="2020"/>
        <item m="1" x="1952"/>
        <item m="1" x="1116"/>
        <item m="1" x="1315"/>
        <item m="1" x="1109"/>
        <item m="1" x="262"/>
        <item m="1" x="3114"/>
        <item m="1" x="3132"/>
        <item m="1" x="3251"/>
        <item m="1" x="2919"/>
        <item m="1" x="2164"/>
        <item m="1" x="1650"/>
        <item m="1" x="2314"/>
        <item m="1" x="946"/>
        <item m="1" x="982"/>
        <item m="1" x="145"/>
        <item m="1" x="378"/>
        <item m="1" x="3218"/>
        <item m="1" x="1066"/>
        <item m="1" x="2160"/>
        <item m="1" x="2471"/>
        <item m="1" x="313"/>
        <item m="1" x="1791"/>
        <item m="1" x="3087"/>
        <item m="1" x="2934"/>
        <item m="1" x="1699"/>
        <item m="1" x="1513"/>
        <item m="1" x="735"/>
        <item m="1" x="1799"/>
        <item m="1" x="1281"/>
        <item m="1" x="2050"/>
        <item m="1" x="1128"/>
        <item m="1" x="2877"/>
        <item m="1" x="697"/>
        <item m="1" x="929"/>
        <item m="1" x="2410"/>
        <item m="1" x="3245"/>
        <item m="1" x="1035"/>
        <item m="1" x="2888"/>
        <item m="1" x="1174"/>
        <item m="1" x="2863"/>
        <item m="1" x="1288"/>
        <item m="1" x="2723"/>
        <item m="1" x="1823"/>
        <item m="1" x="1034"/>
        <item m="1" x="1853"/>
        <item m="1" x="964"/>
        <item m="1" x="1195"/>
        <item m="1" x="2620"/>
        <item m="1" x="2345"/>
        <item m="1" x="2467"/>
        <item m="1" x="1968"/>
        <item m="1" x="2401"/>
        <item m="1" x="2126"/>
        <item m="1" x="1274"/>
        <item m="1" x="2903"/>
        <item m="1" x="3159"/>
        <item m="1" x="2677"/>
        <item m="1" x="825"/>
        <item m="1" x="241"/>
        <item m="1" x="1013"/>
        <item m="1" x="154"/>
        <item m="1" x="71"/>
      </items>
      <extLst>
        <ext xmlns:x14="http://schemas.microsoft.com/office/spreadsheetml/2009/9/main" uri="{2946ED86-A175-432a-8AC1-64E0C546D7DE}">
          <x14:pivotField fillDownLabels="1"/>
        </ext>
      </extLst>
    </pivotField>
    <pivotField compact="0" outline="0" showAll="0" defaultSubtotal="0">
      <items count="3">
        <item x="1"/>
        <item x="0"/>
        <item m="1" x="2"/>
      </items>
      <extLst>
        <ext xmlns:x14="http://schemas.microsoft.com/office/spreadsheetml/2009/9/main" uri="{2946ED86-A175-432a-8AC1-64E0C546D7DE}">
          <x14:pivotField fillDownLabels="1"/>
        </ext>
      </extLst>
    </pivotField>
    <pivotField axis="axisRow" compact="0" outline="0" showAll="0" insertBlankRow="1" defaultSubtotal="0">
      <items count="93">
        <item m="1" x="86"/>
        <item m="1" x="73"/>
        <item x="39"/>
        <item x="29"/>
        <item x="56"/>
        <item m="1" x="83"/>
        <item x="63"/>
        <item m="1" x="91"/>
        <item x="25"/>
        <item x="62"/>
        <item m="1" x="68"/>
        <item x="17"/>
        <item m="1" x="87"/>
        <item x="31"/>
        <item m="1" x="89"/>
        <item m="1" x="82"/>
        <item m="1" x="79"/>
        <item m="1" x="72"/>
        <item m="1" x="67"/>
        <item m="1" x="71"/>
        <item x="24"/>
        <item x="58"/>
        <item x="59"/>
        <item x="60"/>
        <item m="1" x="66"/>
        <item m="1" x="80"/>
        <item x="27"/>
        <item x="14"/>
        <item x="13"/>
        <item m="1" x="88"/>
        <item x="15"/>
        <item x="51"/>
        <item x="64"/>
        <item x="0"/>
        <item x="28"/>
        <item x="48"/>
        <item m="1" x="90"/>
        <item x="47"/>
        <item m="1" x="70"/>
        <item x="61"/>
        <item x="18"/>
        <item m="1" x="78"/>
        <item x="30"/>
        <item m="1" x="74"/>
        <item m="1" x="76"/>
        <item m="1" x="81"/>
        <item m="1" x="85"/>
        <item m="1" x="92"/>
        <item m="1" x="84"/>
        <item x="37"/>
        <item x="12"/>
        <item x="6"/>
        <item x="11"/>
        <item x="55"/>
        <item x="36"/>
        <item x="34"/>
        <item x="35"/>
        <item x="4"/>
        <item x="2"/>
        <item x="3"/>
        <item x="65"/>
        <item x="57"/>
        <item x="19"/>
        <item x="20"/>
        <item x="21"/>
        <item x="54"/>
        <item x="53"/>
        <item x="16"/>
        <item m="1" x="69"/>
        <item x="32"/>
        <item x="41"/>
        <item x="7"/>
        <item x="1"/>
        <item x="52"/>
        <item x="49"/>
        <item x="50"/>
        <item x="43"/>
        <item m="1" x="77"/>
        <item x="40"/>
        <item m="1" x="75"/>
        <item x="46"/>
        <item x="45"/>
        <item x="33"/>
        <item x="44"/>
        <item x="10"/>
        <item x="38"/>
        <item x="42"/>
        <item x="8"/>
        <item x="9"/>
        <item x="5"/>
        <item x="26"/>
        <item x="23"/>
        <item x="22"/>
      </items>
      <extLst>
        <ext xmlns:x14="http://schemas.microsoft.com/office/spreadsheetml/2009/9/main" uri="{2946ED86-A175-432a-8AC1-64E0C546D7DE}">
          <x14:pivotField fillDownLabels="1"/>
        </ext>
      </extLst>
    </pivotField>
    <pivotField compact="0" outline="0" showAll="0" defaultSubtotal="0"/>
    <pivotField axis="axisPage" compact="0" outline="0" multipleItemSelectionAllowed="1" showAll="0" defaultSubtotal="0">
      <items count="13">
        <item h="1" x="3"/>
        <item h="1" x="2"/>
        <item h="1" x="9"/>
        <item h="1" m="1" x="12"/>
        <item h="1" x="0"/>
        <item x="5"/>
        <item h="1" m="1" x="11"/>
        <item h="1" x="10"/>
        <item h="1" x="4"/>
        <item h="1" x="6"/>
        <item h="1" x="1"/>
        <item h="1" x="8"/>
        <item h="1" x="7"/>
      </items>
    </pivotField>
    <pivotField compact="0" outline="0" showAll="0" defaultSubtotal="0"/>
    <pivotField compact="0" outline="0" showAll="0" defaultSubtotal="0"/>
  </pivotFields>
  <rowFields count="3">
    <field x="47"/>
    <field x="3"/>
    <field x="35"/>
  </rowFields>
  <rowItems count="18">
    <i>
      <x v="11"/>
      <x v="19"/>
      <x v="21"/>
    </i>
    <i r="1">
      <x v="130"/>
      <x v="16"/>
    </i>
    <i r="1">
      <x v="213"/>
      <x v="16"/>
    </i>
    <i t="blank">
      <x v="11"/>
    </i>
    <i>
      <x v="40"/>
      <x v="19"/>
      <x v="21"/>
    </i>
    <i r="1">
      <x v="43"/>
      <x v="21"/>
    </i>
    <i r="1">
      <x v="45"/>
      <x v="21"/>
    </i>
    <i r="1">
      <x v="47"/>
      <x v="21"/>
    </i>
    <i r="1">
      <x v="54"/>
      <x v="21"/>
    </i>
    <i r="1">
      <x v="55"/>
      <x v="21"/>
    </i>
    <i r="1">
      <x v="82"/>
      <x v="21"/>
    </i>
    <i r="1">
      <x v="117"/>
      <x v="21"/>
    </i>
    <i r="1">
      <x v="118"/>
      <x v="21"/>
    </i>
    <i r="1">
      <x v="119"/>
      <x v="21"/>
    </i>
    <i r="1">
      <x v="120"/>
      <x v="21"/>
    </i>
    <i r="1">
      <x v="122"/>
      <x v="21"/>
    </i>
    <i r="1">
      <x v="148"/>
      <x v="18"/>
    </i>
    <i t="blank">
      <x v="40"/>
    </i>
  </rowItems>
  <colItems count="1">
    <i/>
  </colItems>
  <pageFields count="1">
    <pageField fld="49" hier="-1"/>
  </pageFields>
  <dataFields count="1">
    <dataField name="Average of UnitPrice" fld="38" subtotal="average" baseField="35" baseItem="13" numFmtId="39"/>
  </dataFields>
  <formats count="221">
    <format dxfId="494">
      <pivotArea outline="0" collapsedLevelsAreSubtotals="1" fieldPosition="0"/>
    </format>
    <format dxfId="493">
      <pivotArea type="topRight" dataOnly="0" labelOnly="1" outline="0" fieldPosition="0"/>
    </format>
    <format dxfId="492">
      <pivotArea dataOnly="0" labelOnly="1" grandRow="1" outline="0" offset="A256" fieldPosition="0"/>
    </format>
    <format dxfId="491">
      <pivotArea type="all" dataOnly="0" outline="0" fieldPosition="0"/>
    </format>
    <format dxfId="490">
      <pivotArea field="7" type="button" dataOnly="0" labelOnly="1" outline="0"/>
    </format>
    <format dxfId="489">
      <pivotArea field="3" type="button" dataOnly="0" labelOnly="1" outline="0" axis="axisRow" fieldPosition="1"/>
    </format>
    <format dxfId="488">
      <pivotArea field="1" type="button" dataOnly="0" labelOnly="1" outline="0"/>
    </format>
    <format dxfId="487">
      <pivotArea field="45" type="button" dataOnly="0" labelOnly="1" outline="0"/>
    </format>
    <format dxfId="486">
      <pivotArea field="3" type="button" dataOnly="0" labelOnly="1" outline="0" axis="axisRow" fieldPosition="1"/>
    </format>
    <format dxfId="485">
      <pivotArea field="1" type="button" dataOnly="0" labelOnly="1" outline="0"/>
    </format>
    <format dxfId="484">
      <pivotArea field="45" type="button" dataOnly="0" labelOnly="1" outline="0"/>
    </format>
    <format dxfId="483">
      <pivotArea field="3" type="button" dataOnly="0" labelOnly="1" outline="0" axis="axisRow" fieldPosition="1"/>
    </format>
    <format dxfId="482">
      <pivotArea field="7" type="button" dataOnly="0" labelOnly="1" outline="0"/>
    </format>
    <format dxfId="481">
      <pivotArea field="1" type="button" dataOnly="0" labelOnly="1" outline="0"/>
    </format>
    <format dxfId="480">
      <pivotArea field="45" type="button" dataOnly="0" labelOnly="1" outline="0"/>
    </format>
    <format dxfId="479">
      <pivotArea field="3" type="button" dataOnly="0" labelOnly="1" outline="0" axis="axisRow" fieldPosition="1"/>
    </format>
    <format dxfId="478">
      <pivotArea field="7" type="button" dataOnly="0" labelOnly="1" outline="0"/>
    </format>
    <format dxfId="477">
      <pivotArea field="1" type="button" dataOnly="0" labelOnly="1" outline="0"/>
    </format>
    <format dxfId="476">
      <pivotArea field="45" type="button" dataOnly="0" labelOnly="1" outline="0"/>
    </format>
    <format dxfId="475">
      <pivotArea field="3" type="button" dataOnly="0" labelOnly="1" outline="0" axis="axisRow" fieldPosition="1"/>
    </format>
    <format dxfId="474">
      <pivotArea field="7" type="button" dataOnly="0" labelOnly="1" outline="0"/>
    </format>
    <format dxfId="473">
      <pivotArea field="1" type="button" dataOnly="0" labelOnly="1" outline="0"/>
    </format>
    <format dxfId="472">
      <pivotArea field="45" type="button" dataOnly="0" labelOnly="1" outline="0"/>
    </format>
    <format dxfId="471">
      <pivotArea field="3" type="button" dataOnly="0" labelOnly="1" outline="0" axis="axisRow" fieldPosition="1"/>
    </format>
    <format dxfId="470">
      <pivotArea field="7" type="button" dataOnly="0" labelOnly="1" outline="0"/>
    </format>
    <format dxfId="469">
      <pivotArea field="1" type="button" dataOnly="0" labelOnly="1" outline="0"/>
    </format>
    <format dxfId="468">
      <pivotArea field="45" type="button" dataOnly="0" labelOnly="1" outline="0"/>
    </format>
    <format dxfId="467">
      <pivotArea field="6" type="button" dataOnly="0" labelOnly="1" outline="0"/>
    </format>
    <format dxfId="466">
      <pivotArea field="6" type="button" dataOnly="0" labelOnly="1" outline="0"/>
    </format>
    <format dxfId="465">
      <pivotArea field="3" type="button" dataOnly="0" labelOnly="1" outline="0" axis="axisRow" fieldPosition="1"/>
    </format>
    <format dxfId="464">
      <pivotArea field="6" type="button" dataOnly="0" labelOnly="1" outline="0"/>
    </format>
    <format dxfId="463">
      <pivotArea field="7" type="button" dataOnly="0" labelOnly="1" outline="0"/>
    </format>
    <format dxfId="462">
      <pivotArea field="1" type="button" dataOnly="0" labelOnly="1" outline="0"/>
    </format>
    <format dxfId="461">
      <pivotArea field="45" type="button" dataOnly="0" labelOnly="1" outline="0"/>
    </format>
    <format dxfId="460">
      <pivotArea field="3" type="button" dataOnly="0" labelOnly="1" outline="0" axis="axisRow" fieldPosition="1"/>
    </format>
    <format dxfId="459">
      <pivotArea field="6" type="button" dataOnly="0" labelOnly="1" outline="0"/>
    </format>
    <format dxfId="458">
      <pivotArea field="7" type="button" dataOnly="0" labelOnly="1" outline="0"/>
    </format>
    <format dxfId="457">
      <pivotArea field="1" type="button" dataOnly="0" labelOnly="1" outline="0"/>
    </format>
    <format dxfId="456">
      <pivotArea field="45" type="button" dataOnly="0" labelOnly="1" outline="0"/>
    </format>
    <format dxfId="455">
      <pivotArea type="all" dataOnly="0" outline="0" fieldPosition="0"/>
    </format>
    <format dxfId="454">
      <pivotArea field="3" type="button" dataOnly="0" labelOnly="1" outline="0" axis="axisRow" fieldPosition="1"/>
    </format>
    <format dxfId="453">
      <pivotArea field="6" type="button" dataOnly="0" labelOnly="1" outline="0"/>
    </format>
    <format dxfId="452">
      <pivotArea field="7" type="button" dataOnly="0" labelOnly="1" outline="0"/>
    </format>
    <format dxfId="451">
      <pivotArea field="1" type="button" dataOnly="0" labelOnly="1" outline="0"/>
    </format>
    <format dxfId="450">
      <pivotArea field="45" type="button" dataOnly="0" labelOnly="1" outline="0"/>
    </format>
    <format dxfId="449">
      <pivotArea field="3" type="button" dataOnly="0" labelOnly="1" outline="0" axis="axisRow" fieldPosition="1"/>
    </format>
    <format dxfId="448">
      <pivotArea field="6" type="button" dataOnly="0" labelOnly="1" outline="0"/>
    </format>
    <format dxfId="447">
      <pivotArea field="7" type="button" dataOnly="0" labelOnly="1" outline="0"/>
    </format>
    <format dxfId="446">
      <pivotArea field="1" type="button" dataOnly="0" labelOnly="1" outline="0"/>
    </format>
    <format dxfId="445">
      <pivotArea field="45" type="button" dataOnly="0" labelOnly="1" outline="0"/>
    </format>
    <format dxfId="444">
      <pivotArea field="3" type="button" dataOnly="0" labelOnly="1" outline="0" axis="axisRow" fieldPosition="1"/>
    </format>
    <format dxfId="443">
      <pivotArea field="6" type="button" dataOnly="0" labelOnly="1" outline="0"/>
    </format>
    <format dxfId="442">
      <pivotArea field="7" type="button" dataOnly="0" labelOnly="1" outline="0"/>
    </format>
    <format dxfId="441">
      <pivotArea field="1" type="button" dataOnly="0" labelOnly="1" outline="0"/>
    </format>
    <format dxfId="440">
      <pivotArea field="45" type="button" dataOnly="0" labelOnly="1" outline="0"/>
    </format>
    <format dxfId="439">
      <pivotArea field="3" type="button" dataOnly="0" labelOnly="1" outline="0" axis="axisRow" fieldPosition="1"/>
    </format>
    <format dxfId="438">
      <pivotArea field="6" type="button" dataOnly="0" labelOnly="1" outline="0"/>
    </format>
    <format dxfId="437">
      <pivotArea field="7" type="button" dataOnly="0" labelOnly="1" outline="0"/>
    </format>
    <format dxfId="436">
      <pivotArea field="1" type="button" dataOnly="0" labelOnly="1" outline="0"/>
    </format>
    <format dxfId="435">
      <pivotArea field="45" type="button" dataOnly="0" labelOnly="1" outline="0"/>
    </format>
    <format dxfId="434">
      <pivotArea field="3" type="button" dataOnly="0" labelOnly="1" outline="0" axis="axisRow" fieldPosition="1"/>
    </format>
    <format dxfId="433">
      <pivotArea field="6" type="button" dataOnly="0" labelOnly="1" outline="0"/>
    </format>
    <format dxfId="432">
      <pivotArea field="7" type="button" dataOnly="0" labelOnly="1" outline="0"/>
    </format>
    <format dxfId="431">
      <pivotArea field="1" type="button" dataOnly="0" labelOnly="1" outline="0"/>
    </format>
    <format dxfId="430">
      <pivotArea field="45" type="button" dataOnly="0" labelOnly="1" outline="0"/>
    </format>
    <format dxfId="429">
      <pivotArea field="3" type="button" dataOnly="0" labelOnly="1" outline="0" axis="axisRow" fieldPosition="1"/>
    </format>
    <format dxfId="428">
      <pivotArea field="6" type="button" dataOnly="0" labelOnly="1" outline="0"/>
    </format>
    <format dxfId="427">
      <pivotArea field="7" type="button" dataOnly="0" labelOnly="1" outline="0"/>
    </format>
    <format dxfId="426">
      <pivotArea field="1" type="button" dataOnly="0" labelOnly="1" outline="0"/>
    </format>
    <format dxfId="425">
      <pivotArea field="45" type="button" dataOnly="0" labelOnly="1" outline="0"/>
    </format>
    <format dxfId="424">
      <pivotArea field="3" type="button" dataOnly="0" labelOnly="1" outline="0" axis="axisRow" fieldPosition="1"/>
    </format>
    <format dxfId="423">
      <pivotArea field="6" type="button" dataOnly="0" labelOnly="1" outline="0"/>
    </format>
    <format dxfId="422">
      <pivotArea field="7" type="button" dataOnly="0" labelOnly="1" outline="0"/>
    </format>
    <format dxfId="421">
      <pivotArea field="1" type="button" dataOnly="0" labelOnly="1" outline="0"/>
    </format>
    <format dxfId="420">
      <pivotArea field="45" type="button" dataOnly="0" labelOnly="1" outline="0"/>
    </format>
    <format dxfId="419">
      <pivotArea field="3" type="button" dataOnly="0" labelOnly="1" outline="0" axis="axisRow" fieldPosition="1"/>
    </format>
    <format dxfId="418">
      <pivotArea field="6" type="button" dataOnly="0" labelOnly="1" outline="0"/>
    </format>
    <format dxfId="417">
      <pivotArea field="7" type="button" dataOnly="0" labelOnly="1" outline="0"/>
    </format>
    <format dxfId="416">
      <pivotArea field="1" type="button" dataOnly="0" labelOnly="1" outline="0"/>
    </format>
    <format dxfId="415">
      <pivotArea field="45" type="button" dataOnly="0" labelOnly="1" outline="0"/>
    </format>
    <format dxfId="414">
      <pivotArea type="all" dataOnly="0" outline="0" fieldPosition="0"/>
    </format>
    <format dxfId="413">
      <pivotArea field="3" type="button" dataOnly="0" labelOnly="1" outline="0" axis="axisRow" fieldPosition="1"/>
    </format>
    <format dxfId="412">
      <pivotArea field="6" type="button" dataOnly="0" labelOnly="1" outline="0"/>
    </format>
    <format dxfId="411">
      <pivotArea field="7" type="button" dataOnly="0" labelOnly="1" outline="0"/>
    </format>
    <format dxfId="410">
      <pivotArea field="1" type="button" dataOnly="0" labelOnly="1" outline="0"/>
    </format>
    <format dxfId="409">
      <pivotArea field="45" type="button" dataOnly="0" labelOnly="1" outline="0"/>
    </format>
    <format dxfId="408">
      <pivotArea field="3" type="button" dataOnly="0" labelOnly="1" outline="0" axis="axisRow" fieldPosition="1"/>
    </format>
    <format dxfId="407">
      <pivotArea field="6" type="button" dataOnly="0" labelOnly="1" outline="0"/>
    </format>
    <format dxfId="406">
      <pivotArea field="7" type="button" dataOnly="0" labelOnly="1" outline="0"/>
    </format>
    <format dxfId="405">
      <pivotArea field="1" type="button" dataOnly="0" labelOnly="1" outline="0"/>
    </format>
    <format dxfId="404">
      <pivotArea field="45" type="button" dataOnly="0" labelOnly="1" outline="0"/>
    </format>
    <format dxfId="403">
      <pivotArea field="3" type="button" dataOnly="0" labelOnly="1" outline="0" axis="axisRow" fieldPosition="1"/>
    </format>
    <format dxfId="402">
      <pivotArea field="6" type="button" dataOnly="0" labelOnly="1" outline="0"/>
    </format>
    <format dxfId="401">
      <pivotArea field="7" type="button" dataOnly="0" labelOnly="1" outline="0"/>
    </format>
    <format dxfId="400">
      <pivotArea field="1" type="button" dataOnly="0" labelOnly="1" outline="0"/>
    </format>
    <format dxfId="399">
      <pivotArea field="45" type="button" dataOnly="0" labelOnly="1" outline="0"/>
    </format>
    <format dxfId="398">
      <pivotArea type="all" dataOnly="0" outline="0" fieldPosition="0"/>
    </format>
    <format dxfId="397">
      <pivotArea field="3" type="button" dataOnly="0" labelOnly="1" outline="0" axis="axisRow" fieldPosition="1"/>
    </format>
    <format dxfId="396">
      <pivotArea field="6" type="button" dataOnly="0" labelOnly="1" outline="0"/>
    </format>
    <format dxfId="395">
      <pivotArea field="7" type="button" dataOnly="0" labelOnly="1" outline="0"/>
    </format>
    <format dxfId="394">
      <pivotArea field="1" type="button" dataOnly="0" labelOnly="1" outline="0"/>
    </format>
    <format dxfId="393">
      <pivotArea field="45" type="button" dataOnly="0" labelOnly="1" outline="0"/>
    </format>
    <format dxfId="392">
      <pivotArea field="46" type="button" dataOnly="0" labelOnly="1" outline="0"/>
    </format>
    <format dxfId="391">
      <pivotArea field="3" type="button" dataOnly="0" labelOnly="1" outline="0" axis="axisRow" fieldPosition="1"/>
    </format>
    <format dxfId="390">
      <pivotArea field="6" type="button" dataOnly="0" labelOnly="1" outline="0"/>
    </format>
    <format dxfId="389">
      <pivotArea field="7" type="button" dataOnly="0" labelOnly="1" outline="0"/>
    </format>
    <format dxfId="388">
      <pivotArea field="1" type="button" dataOnly="0" labelOnly="1" outline="0"/>
    </format>
    <format dxfId="387">
      <pivotArea field="45" type="button" dataOnly="0" labelOnly="1" outline="0"/>
    </format>
    <format dxfId="386">
      <pivotArea field="46" type="button" dataOnly="0" labelOnly="1" outline="0"/>
    </format>
    <format dxfId="385">
      <pivotArea field="3" type="button" dataOnly="0" labelOnly="1" outline="0" axis="axisRow" fieldPosition="1"/>
    </format>
    <format dxfId="384">
      <pivotArea field="6" type="button" dataOnly="0" labelOnly="1" outline="0"/>
    </format>
    <format dxfId="383">
      <pivotArea field="7" type="button" dataOnly="0" labelOnly="1" outline="0"/>
    </format>
    <format dxfId="382">
      <pivotArea field="1" type="button" dataOnly="0" labelOnly="1" outline="0"/>
    </format>
    <format dxfId="381">
      <pivotArea field="45" type="button" dataOnly="0" labelOnly="1" outline="0"/>
    </format>
    <format dxfId="380">
      <pivotArea field="46" type="button" dataOnly="0" labelOnly="1" outline="0"/>
    </format>
    <format dxfId="379">
      <pivotArea field="3" type="button" dataOnly="0" labelOnly="1" outline="0" axis="axisRow" fieldPosition="1"/>
    </format>
    <format dxfId="378">
      <pivotArea field="6" type="button" dataOnly="0" labelOnly="1" outline="0"/>
    </format>
    <format dxfId="377">
      <pivotArea field="7" type="button" dataOnly="0" labelOnly="1" outline="0"/>
    </format>
    <format dxfId="376">
      <pivotArea field="1" type="button" dataOnly="0" labelOnly="1" outline="0"/>
    </format>
    <format dxfId="375">
      <pivotArea field="45" type="button" dataOnly="0" labelOnly="1" outline="0"/>
    </format>
    <format dxfId="374">
      <pivotArea field="46" type="button" dataOnly="0" labelOnly="1" outline="0"/>
    </format>
    <format dxfId="373">
      <pivotArea field="3" type="button" dataOnly="0" labelOnly="1" outline="0" axis="axisRow" fieldPosition="1"/>
    </format>
    <format dxfId="372">
      <pivotArea field="6" type="button" dataOnly="0" labelOnly="1" outline="0"/>
    </format>
    <format dxfId="371">
      <pivotArea field="7" type="button" dataOnly="0" labelOnly="1" outline="0"/>
    </format>
    <format dxfId="370">
      <pivotArea field="1" type="button" dataOnly="0" labelOnly="1" outline="0"/>
    </format>
    <format dxfId="369">
      <pivotArea field="45" type="button" dataOnly="0" labelOnly="1" outline="0"/>
    </format>
    <format dxfId="368">
      <pivotArea field="46" type="button" dataOnly="0" labelOnly="1" outline="0"/>
    </format>
    <format dxfId="367">
      <pivotArea field="3" type="button" dataOnly="0" labelOnly="1" outline="0" axis="axisRow" fieldPosition="1"/>
    </format>
    <format dxfId="366">
      <pivotArea field="6" type="button" dataOnly="0" labelOnly="1" outline="0"/>
    </format>
    <format dxfId="365">
      <pivotArea field="7" type="button" dataOnly="0" labelOnly="1" outline="0"/>
    </format>
    <format dxfId="364">
      <pivotArea field="1" type="button" dataOnly="0" labelOnly="1" outline="0"/>
    </format>
    <format dxfId="363">
      <pivotArea field="45" type="button" dataOnly="0" labelOnly="1" outline="0"/>
    </format>
    <format dxfId="362">
      <pivotArea field="46" type="button" dataOnly="0" labelOnly="1" outline="0"/>
    </format>
    <format dxfId="361">
      <pivotArea field="3" type="button" dataOnly="0" labelOnly="1" outline="0" axis="axisRow" fieldPosition="1"/>
    </format>
    <format dxfId="360">
      <pivotArea field="6" type="button" dataOnly="0" labelOnly="1" outline="0"/>
    </format>
    <format dxfId="359">
      <pivotArea field="7" type="button" dataOnly="0" labelOnly="1" outline="0"/>
    </format>
    <format dxfId="358">
      <pivotArea field="1" type="button" dataOnly="0" labelOnly="1" outline="0"/>
    </format>
    <format dxfId="357">
      <pivotArea field="45" type="button" dataOnly="0" labelOnly="1" outline="0"/>
    </format>
    <format dxfId="356">
      <pivotArea field="46" type="button" dataOnly="0" labelOnly="1" outline="0"/>
    </format>
    <format dxfId="355">
      <pivotArea field="3" type="button" dataOnly="0" labelOnly="1" outline="0" axis="axisRow" fieldPosition="1"/>
    </format>
    <format dxfId="354">
      <pivotArea field="6" type="button" dataOnly="0" labelOnly="1" outline="0"/>
    </format>
    <format dxfId="353">
      <pivotArea field="7" type="button" dataOnly="0" labelOnly="1" outline="0"/>
    </format>
    <format dxfId="352">
      <pivotArea field="1" type="button" dataOnly="0" labelOnly="1" outline="0"/>
    </format>
    <format dxfId="351">
      <pivotArea field="45" type="button" dataOnly="0" labelOnly="1" outline="0"/>
    </format>
    <format dxfId="350">
      <pivotArea field="46" type="button" dataOnly="0" labelOnly="1" outline="0"/>
    </format>
    <format dxfId="349">
      <pivotArea field="3" type="button" dataOnly="0" labelOnly="1" outline="0" axis="axisRow" fieldPosition="1"/>
    </format>
    <format dxfId="348">
      <pivotArea field="6" type="button" dataOnly="0" labelOnly="1" outline="0"/>
    </format>
    <format dxfId="347">
      <pivotArea field="7" type="button" dataOnly="0" labelOnly="1" outline="0"/>
    </format>
    <format dxfId="346">
      <pivotArea field="1" type="button" dataOnly="0" labelOnly="1" outline="0"/>
    </format>
    <format dxfId="345">
      <pivotArea field="45" type="button" dataOnly="0" labelOnly="1" outline="0"/>
    </format>
    <format dxfId="344">
      <pivotArea field="46" type="button" dataOnly="0" labelOnly="1" outline="0"/>
    </format>
    <format dxfId="343">
      <pivotArea field="3" type="button" dataOnly="0" labelOnly="1" outline="0" axis="axisRow" fieldPosition="1"/>
    </format>
    <format dxfId="342">
      <pivotArea field="6" type="button" dataOnly="0" labelOnly="1" outline="0"/>
    </format>
    <format dxfId="341">
      <pivotArea field="7" type="button" dataOnly="0" labelOnly="1" outline="0"/>
    </format>
    <format dxfId="340">
      <pivotArea field="1" type="button" dataOnly="0" labelOnly="1" outline="0"/>
    </format>
    <format dxfId="339">
      <pivotArea field="45" type="button" dataOnly="0" labelOnly="1" outline="0"/>
    </format>
    <format dxfId="338">
      <pivotArea field="46" type="button" dataOnly="0" labelOnly="1" outline="0"/>
    </format>
    <format dxfId="337">
      <pivotArea field="3" type="button" dataOnly="0" labelOnly="1" outline="0" axis="axisRow" fieldPosition="1"/>
    </format>
    <format dxfId="336">
      <pivotArea field="6" type="button" dataOnly="0" labelOnly="1" outline="0"/>
    </format>
    <format dxfId="335">
      <pivotArea field="7" type="button" dataOnly="0" labelOnly="1" outline="0"/>
    </format>
    <format dxfId="334">
      <pivotArea field="1" type="button" dataOnly="0" labelOnly="1" outline="0"/>
    </format>
    <format dxfId="333">
      <pivotArea field="45" type="button" dataOnly="0" labelOnly="1" outline="0"/>
    </format>
    <format dxfId="332">
      <pivotArea field="46" type="button" dataOnly="0" labelOnly="1" outline="0"/>
    </format>
    <format dxfId="331">
      <pivotArea field="3" type="button" dataOnly="0" labelOnly="1" outline="0" axis="axisRow" fieldPosition="1"/>
    </format>
    <format dxfId="330">
      <pivotArea field="6" type="button" dataOnly="0" labelOnly="1" outline="0"/>
    </format>
    <format dxfId="329">
      <pivotArea field="7" type="button" dataOnly="0" labelOnly="1" outline="0"/>
    </format>
    <format dxfId="328">
      <pivotArea field="1" type="button" dataOnly="0" labelOnly="1" outline="0"/>
    </format>
    <format dxfId="327">
      <pivotArea field="45" type="button" dataOnly="0" labelOnly="1" outline="0"/>
    </format>
    <format dxfId="326">
      <pivotArea field="46" type="button" dataOnly="0" labelOnly="1" outline="0"/>
    </format>
    <format dxfId="325">
      <pivotArea field="3" type="button" dataOnly="0" labelOnly="1" outline="0" axis="axisRow" fieldPosition="1"/>
    </format>
    <format dxfId="324">
      <pivotArea field="6" type="button" dataOnly="0" labelOnly="1" outline="0"/>
    </format>
    <format dxfId="323">
      <pivotArea field="7" type="button" dataOnly="0" labelOnly="1" outline="0"/>
    </format>
    <format dxfId="322">
      <pivotArea field="1" type="button" dataOnly="0" labelOnly="1" outline="0"/>
    </format>
    <format dxfId="321">
      <pivotArea field="45" type="button" dataOnly="0" labelOnly="1" outline="0"/>
    </format>
    <format dxfId="320">
      <pivotArea field="46" type="button" dataOnly="0" labelOnly="1" outline="0"/>
    </format>
    <format dxfId="319">
      <pivotArea field="3" type="button" dataOnly="0" labelOnly="1" outline="0" axis="axisRow" fieldPosition="1"/>
    </format>
    <format dxfId="318">
      <pivotArea field="6" type="button" dataOnly="0" labelOnly="1" outline="0"/>
    </format>
    <format dxfId="317">
      <pivotArea field="7" type="button" dataOnly="0" labelOnly="1" outline="0"/>
    </format>
    <format dxfId="316">
      <pivotArea field="1" type="button" dataOnly="0" labelOnly="1" outline="0"/>
    </format>
    <format dxfId="315">
      <pivotArea field="45" type="button" dataOnly="0" labelOnly="1" outline="0"/>
    </format>
    <format dxfId="314">
      <pivotArea field="46" type="button" dataOnly="0" labelOnly="1" outline="0"/>
    </format>
    <format dxfId="313">
      <pivotArea field="3" type="button" dataOnly="0" labelOnly="1" outline="0" axis="axisRow" fieldPosition="1"/>
    </format>
    <format dxfId="312">
      <pivotArea field="6" type="button" dataOnly="0" labelOnly="1" outline="0"/>
    </format>
    <format dxfId="311">
      <pivotArea field="7" type="button" dataOnly="0" labelOnly="1" outline="0"/>
    </format>
    <format dxfId="310">
      <pivotArea field="1" type="button" dataOnly="0" labelOnly="1" outline="0"/>
    </format>
    <format dxfId="309">
      <pivotArea field="45" type="button" dataOnly="0" labelOnly="1" outline="0"/>
    </format>
    <format dxfId="308">
      <pivotArea field="46" type="button" dataOnly="0" labelOnly="1" outline="0"/>
    </format>
    <format dxfId="307">
      <pivotArea field="3" type="button" dataOnly="0" labelOnly="1" outline="0" axis="axisRow" fieldPosition="1"/>
    </format>
    <format dxfId="306">
      <pivotArea field="6" type="button" dataOnly="0" labelOnly="1" outline="0"/>
    </format>
    <format dxfId="305">
      <pivotArea field="7" type="button" dataOnly="0" labelOnly="1" outline="0"/>
    </format>
    <format dxfId="304">
      <pivotArea field="1" type="button" dataOnly="0" labelOnly="1" outline="0"/>
    </format>
    <format dxfId="303">
      <pivotArea field="24" type="button" dataOnly="0" labelOnly="1" outline="0"/>
    </format>
    <format dxfId="302">
      <pivotArea field="45" type="button" dataOnly="0" labelOnly="1" outline="0"/>
    </format>
    <format dxfId="301">
      <pivotArea field="46" type="button" dataOnly="0" labelOnly="1" outline="0"/>
    </format>
    <format dxfId="300">
      <pivotArea field="35" type="button" dataOnly="0" labelOnly="1" outline="0" axis="axisRow" fieldPosition="2"/>
    </format>
    <format dxfId="299">
      <pivotArea field="3" type="button" dataOnly="0" labelOnly="1" outline="0" axis="axisRow" fieldPosition="1"/>
    </format>
    <format dxfId="298">
      <pivotArea field="1" type="button" dataOnly="0" labelOnly="1" outline="0"/>
    </format>
    <format dxfId="297">
      <pivotArea field="24" type="button" dataOnly="0" labelOnly="1" outline="0"/>
    </format>
    <format dxfId="296">
      <pivotArea field="45" type="button" dataOnly="0" labelOnly="1" outline="0"/>
    </format>
    <format dxfId="295">
      <pivotArea field="46" type="button" dataOnly="0" labelOnly="1" outline="0"/>
    </format>
    <format dxfId="294">
      <pivotArea field="35" type="button" dataOnly="0" labelOnly="1" outline="0" axis="axisRow" fieldPosition="2"/>
    </format>
    <format dxfId="293">
      <pivotArea field="7" type="button" dataOnly="0" labelOnly="1" outline="0"/>
    </format>
    <format dxfId="292">
      <pivotArea field="6" type="button" dataOnly="0" labelOnly="1" outline="0"/>
    </format>
    <format dxfId="291">
      <pivotArea field="7" type="button" dataOnly="0" labelOnly="1" outline="0"/>
    </format>
    <format dxfId="290">
      <pivotArea field="6" type="button" dataOnly="0" labelOnly="1" outline="0"/>
    </format>
    <format dxfId="289">
      <pivotArea field="6" type="button" dataOnly="0" labelOnly="1" outline="0"/>
    </format>
    <format dxfId="288">
      <pivotArea outline="0" fieldPosition="0">
        <references count="1">
          <reference field="4294967294" count="1">
            <x v="0"/>
          </reference>
        </references>
      </pivotArea>
    </format>
    <format dxfId="287">
      <pivotArea field="49" type="button" dataOnly="0" labelOnly="1" outline="0" axis="axisPage" fieldPosition="0"/>
    </format>
    <format dxfId="286">
      <pivotArea field="47" type="button" dataOnly="0" labelOnly="1" outline="0" axis="axisRow" fieldPosition="0"/>
    </format>
    <format dxfId="285">
      <pivotArea field="3" type="button" dataOnly="0" labelOnly="1" outline="0" axis="axisRow" fieldPosition="1"/>
    </format>
    <format dxfId="284">
      <pivotArea field="45" type="button" dataOnly="0" labelOnly="1" outline="0"/>
    </format>
    <format dxfId="283">
      <pivotArea field="49" type="button" dataOnly="0" labelOnly="1" outline="0" axis="axisPage" fieldPosition="0"/>
    </format>
    <format dxfId="282">
      <pivotArea field="47" type="button" dataOnly="0" labelOnly="1" outline="0" axis="axisRow" fieldPosition="0"/>
    </format>
    <format dxfId="281">
      <pivotArea field="3" type="button" dataOnly="0" labelOnly="1" outline="0" axis="axisRow" fieldPosition="1"/>
    </format>
    <format dxfId="280">
      <pivotArea field="45" type="button" dataOnly="0" labelOnly="1" outline="0"/>
    </format>
    <format dxfId="279">
      <pivotArea dataOnly="0" labelOnly="1" outline="0" fieldPosition="0">
        <references count="1">
          <reference field="49" count="0"/>
        </references>
      </pivotArea>
    </format>
    <format dxfId="278">
      <pivotArea dataOnly="0" labelOnly="1" outline="0" fieldPosition="0">
        <references count="1">
          <reference field="47" count="0"/>
        </references>
      </pivotArea>
    </format>
    <format dxfId="277">
      <pivotArea field="49" type="button" dataOnly="0" labelOnly="1" outline="0" axis="axisPage" fieldPosition="0"/>
    </format>
    <format dxfId="276">
      <pivotArea dataOnly="0" labelOnly="1" outline="0" fieldPosition="0">
        <references count="1">
          <reference field="49" count="0"/>
        </references>
      </pivotArea>
    </format>
    <format dxfId="275">
      <pivotArea outline="0" collapsedLevelsAreSubtotals="1" fieldPosition="0">
        <references count="1">
          <reference field="47" count="1" selected="0">
            <x v="33"/>
          </reference>
        </references>
      </pivotArea>
    </format>
    <format dxfId="274">
      <pivotArea outline="0" collapsedLevelsAreSubtotals="1" fieldPosition="0">
        <references count="1">
          <reference field="47" count="1" selected="0">
            <x v="3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3000000}" name="PivotTable3" cacheId="2" applyNumberFormats="0" applyBorderFormats="0" applyFontFormats="0" applyPatternFormats="0" applyAlignmentFormats="0" applyWidthHeightFormats="1" dataCaption="Values" errorCaption="0" showError="1" missingCaption="0" updatedVersion="4" minRefreshableVersion="3" showDrill="0" rowGrandTotals="0" itemPrintTitles="1" createdVersion="5" indent="0" compact="0" compactData="0" gridDropZones="1" multipleFieldFilters="0" fieldListSortAscending="1">
  <location ref="K11:N39" firstHeaderRow="2" firstDataRow="2" firstDataCol="3" rowPageCount="1" colPageCount="1"/>
  <pivotFields count="52">
    <pivotField compact="0" outline="0" showAll="0" defaultSubtotal="0"/>
    <pivotField compact="0" outline="0" multipleItemSelectionAllowed="1" showAll="0" defaultSubtotal="0">
      <items count="126">
        <item x="107"/>
        <item x="93"/>
        <item x="92"/>
        <item x="91"/>
        <item x="90"/>
        <item x="49"/>
        <item x="33"/>
        <item x="11"/>
        <item x="8"/>
        <item x="105"/>
        <item x="104"/>
        <item x="103"/>
        <item x="58"/>
        <item x="57"/>
        <item x="34"/>
        <item x="21"/>
        <item x="4"/>
        <item x="3"/>
        <item x="2"/>
        <item x="125"/>
        <item x="124"/>
        <item x="123"/>
        <item x="121"/>
        <item x="122"/>
        <item x="118"/>
        <item x="117"/>
        <item x="116"/>
        <item x="115"/>
        <item x="114"/>
        <item x="113"/>
        <item x="120"/>
        <item x="119"/>
        <item x="112"/>
        <item x="111"/>
        <item x="110"/>
        <item x="109"/>
        <item x="108"/>
        <item x="106"/>
        <item x="102"/>
        <item x="101"/>
        <item x="100"/>
        <item x="99"/>
        <item x="98"/>
        <item x="97"/>
        <item x="96"/>
        <item x="95"/>
        <item x="94"/>
        <item x="54"/>
        <item x="44"/>
        <item x="41"/>
        <item x="38"/>
        <item x="36"/>
        <item x="24"/>
        <item x="20"/>
        <item x="9"/>
        <item x="5"/>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6"/>
        <item x="55"/>
        <item x="53"/>
        <item x="52"/>
        <item x="51"/>
        <item x="50"/>
        <item x="48"/>
        <item x="47"/>
        <item x="46"/>
        <item x="45"/>
        <item x="43"/>
        <item x="42"/>
        <item x="40"/>
        <item x="39"/>
        <item x="37"/>
        <item x="35"/>
        <item x="32"/>
        <item x="31"/>
        <item x="30"/>
        <item x="29"/>
        <item x="28"/>
        <item x="27"/>
        <item x="17"/>
        <item x="18"/>
        <item x="19"/>
        <item x="22"/>
        <item x="23"/>
        <item x="25"/>
        <item x="26"/>
        <item x="10"/>
        <item x="12"/>
        <item x="13"/>
        <item x="14"/>
        <item x="15"/>
        <item x="16"/>
        <item x="0"/>
        <item x="1"/>
        <item x="6"/>
        <item x="7"/>
      </items>
      <extLst>
        <ext xmlns:x14="http://schemas.microsoft.com/office/spreadsheetml/2009/9/main" uri="{2946ED86-A175-432a-8AC1-64E0C546D7DE}">
          <x14:pivotField fillDownLabels="1"/>
        </ext>
      </extLst>
    </pivotField>
    <pivotField compact="0" outline="0" showAll="0" defaultSubtotal="0"/>
    <pivotField axis="axisRow" compact="0" outline="0" multipleItemSelectionAllowed="1" showAll="0" sortType="ascending" defaultSubtotal="0">
      <items count="794">
        <item m="1" x="500"/>
        <item m="1" x="218"/>
        <item m="1" x="504"/>
        <item m="1" x="223"/>
        <item m="1" x="508"/>
        <item m="1" x="227"/>
        <item m="1" x="514"/>
        <item m="1" x="233"/>
        <item m="1" x="519"/>
        <item m="1" x="237"/>
        <item m="1" x="526"/>
        <item m="1" x="243"/>
        <item m="1" x="532"/>
        <item m="1" x="250"/>
        <item m="1" x="540"/>
        <item m="1" x="257"/>
        <item m="1" x="548"/>
        <item m="1" x="264"/>
        <item m="1" x="558"/>
        <item m="1" x="271"/>
        <item m="1" x="570"/>
        <item m="1" x="280"/>
        <item m="1" x="581"/>
        <item m="1" x="290"/>
        <item m="1" x="593"/>
        <item m="1" x="299"/>
        <item m="1" x="608"/>
        <item m="1" x="312"/>
        <item m="1" x="621"/>
        <item m="1" x="324"/>
        <item m="1" x="638"/>
        <item m="1" x="510"/>
        <item m="1" x="229"/>
        <item m="1" x="516"/>
        <item m="1" x="235"/>
        <item m="1" x="521"/>
        <item m="1" x="238"/>
        <item m="1" x="528"/>
        <item m="1" x="245"/>
        <item m="1" x="534"/>
        <item m="1" x="252"/>
        <item m="1" x="249"/>
        <item m="1" x="542"/>
        <item m="1" x="259"/>
        <item m="1" x="550"/>
        <item m="1" x="265"/>
        <item m="1" x="560"/>
        <item m="1" x="273"/>
        <item m="1" x="572"/>
        <item m="1" x="460"/>
        <item m="1" x="281"/>
        <item m="1" x="583"/>
        <item m="1" x="291"/>
        <item m="1" x="595"/>
        <item m="1" x="301"/>
        <item m="1" x="610"/>
        <item m="1" x="313"/>
        <item m="1" x="623"/>
        <item m="1" x="326"/>
        <item m="1" x="640"/>
        <item m="1" x="339"/>
        <item m="1" x="523"/>
        <item m="1" x="240"/>
        <item m="1" x="530"/>
        <item m="1" x="247"/>
        <item m="1" x="536"/>
        <item m="1" x="254"/>
        <item m="1" x="544"/>
        <item m="1" x="261"/>
        <item m="1" x="552"/>
        <item m="1" x="267"/>
        <item m="1" x="562"/>
        <item m="1" x="275"/>
        <item m="1" x="574"/>
        <item m="1" x="283"/>
        <item m="1" x="585"/>
        <item m="1" x="293"/>
        <item m="1" x="597"/>
        <item m="1" x="303"/>
        <item m="1" x="612"/>
        <item m="1" x="315"/>
        <item m="1" x="625"/>
        <item m="1" x="328"/>
        <item m="1" x="642"/>
        <item m="1" x="341"/>
        <item m="1" x="654"/>
        <item m="1" x="353"/>
        <item m="1" x="668"/>
        <item m="1" x="365"/>
        <item m="1" x="680"/>
        <item m="1" x="379"/>
        <item m="1" x="692"/>
        <item m="1" x="538"/>
        <item m="1" x="546"/>
        <item m="1" x="263"/>
        <item m="1" x="554"/>
        <item m="1" x="269"/>
        <item m="1" x="564"/>
        <item m="1" x="415"/>
        <item m="1" x="277"/>
        <item m="1" x="576"/>
        <item m="1" x="285"/>
        <item m="1" x="566"/>
        <item m="1" x="587"/>
        <item m="1" x="295"/>
        <item m="1" x="600"/>
        <item m="1" x="305"/>
        <item m="1" x="614"/>
        <item m="1" x="317"/>
        <item m="1" x="627"/>
        <item m="1" x="330"/>
        <item m="1" x="644"/>
        <item m="1" x="343"/>
        <item m="1" x="656"/>
        <item m="1" x="354"/>
        <item m="1" x="670"/>
        <item m="1" x="367"/>
        <item m="1" x="682"/>
        <item m="1" x="381"/>
        <item m="1" x="694"/>
        <item m="1" x="393"/>
        <item m="1" x="704"/>
        <item m="1" x="404"/>
        <item m="1" x="556"/>
        <item m="1" x="567"/>
        <item m="1" x="278"/>
        <item m="1" x="578"/>
        <item m="1" x="287"/>
        <item m="1" x="589"/>
        <item m="1" x="296"/>
        <item m="1" x="602"/>
        <item m="1" x="307"/>
        <item m="1" x="615"/>
        <item m="1" x="319"/>
        <item m="1" x="629"/>
        <item m="1" x="332"/>
        <item m="1" x="646"/>
        <item m="1" x="345"/>
        <item m="1" x="658"/>
        <item m="1" x="356"/>
        <item m="1" x="671"/>
        <item m="1" x="369"/>
        <item m="1" x="684"/>
        <item m="1" x="383"/>
        <item m="1" x="695"/>
        <item m="1" x="395"/>
        <item m="1" x="706"/>
        <item m="1" x="405"/>
        <item m="1" x="717"/>
        <item m="1" x="416"/>
        <item m="1" x="728"/>
        <item m="1" x="427"/>
        <item m="1" x="739"/>
        <item m="1" x="579"/>
        <item m="1" x="288"/>
        <item m="1" x="591"/>
        <item m="1" x="298"/>
        <item m="1" x="604"/>
        <item m="1" x="309"/>
        <item m="1" x="617"/>
        <item m="1" x="321"/>
        <item m="1" x="632"/>
        <item m="1" x="334"/>
        <item m="1" x="648"/>
        <item m="1" x="347"/>
        <item m="1" x="660"/>
        <item m="1" x="358"/>
        <item m="1" x="673"/>
        <item m="1" x="371"/>
        <item m="1" x="686"/>
        <item m="1" x="385"/>
        <item m="1" x="697"/>
        <item m="1" x="396"/>
        <item m="1" x="708"/>
        <item m="1" x="406"/>
        <item m="1" x="719"/>
        <item m="1" x="418"/>
        <item m="1" x="730"/>
        <item m="1" x="429"/>
        <item m="1" x="741"/>
        <item m="1" x="439"/>
        <item m="1" x="750"/>
        <item m="1" x="450"/>
        <item m="1" x="606"/>
        <item m="1" x="310"/>
        <item m="1" x="619"/>
        <item m="1" x="323"/>
        <item m="1" x="634"/>
        <item m="1" x="336"/>
        <item m="1" x="650"/>
        <item m="1" x="349"/>
        <item m="1" x="449"/>
        <item m="1" x="662"/>
        <item m="1" x="359"/>
        <item m="1" x="674"/>
        <item m="1" x="374"/>
        <item m="1" x="687"/>
        <item m="1" x="387"/>
        <item m="1" x="699"/>
        <item m="1" x="398"/>
        <item m="1" x="710"/>
        <item m="1" x="408"/>
        <item m="1" x="721"/>
        <item m="1" x="420"/>
        <item m="1" x="732"/>
        <item m="1" x="431"/>
        <item m="1" x="743"/>
        <item m="1" x="441"/>
        <item m="1" x="751"/>
        <item m="1" x="452"/>
        <item m="1" x="757"/>
        <item m="1" x="461"/>
        <item m="1" x="765"/>
        <item m="1" x="468"/>
        <item m="1" x="773"/>
        <item m="1" x="636"/>
        <item m="1" x="337"/>
        <item m="1" x="652"/>
        <item m="1" x="351"/>
        <item m="1" x="664"/>
        <item m="1" x="361"/>
        <item m="1" x="676"/>
        <item m="1" x="376"/>
        <item m="1" x="689"/>
        <item m="1" x="389"/>
        <item m="1" x="701"/>
        <item m="1" x="400"/>
        <item m="1" x="712"/>
        <item m="1" x="410"/>
        <item m="1" x="723"/>
        <item m="1" x="422"/>
        <item m="1" x="733"/>
        <item m="1" x="433"/>
        <item m="1" x="744"/>
        <item m="1" x="443"/>
        <item m="1" x="752"/>
        <item m="1" x="454"/>
        <item m="1" x="759"/>
        <item m="1" x="463"/>
        <item m="1" x="767"/>
        <item m="1" x="469"/>
        <item m="1" x="775"/>
        <item m="1" x="474"/>
        <item m="1" x="780"/>
        <item m="1" x="480"/>
        <item m="1" x="787"/>
        <item m="1" x="666"/>
        <item m="1" x="363"/>
        <item m="1" x="678"/>
        <item m="1" x="378"/>
        <item m="1" x="690"/>
        <item m="1" x="391"/>
        <item m="1" x="702"/>
        <item m="1" x="402"/>
        <item m="1" x="714"/>
        <item m="1" x="412"/>
        <item m="1" x="725"/>
        <item m="1" x="424"/>
        <item m="1" x="735"/>
        <item m="1" x="435"/>
        <item m="1" x="746"/>
        <item m="1" x="445"/>
        <item m="1" x="753"/>
        <item m="1" x="456"/>
        <item m="1" x="761"/>
        <item m="1" x="464"/>
        <item m="1" x="769"/>
        <item m="1" x="471"/>
        <item m="1" x="776"/>
        <item m="1" x="476"/>
        <item m="1" x="782"/>
        <item m="1" x="482"/>
        <item m="1" x="789"/>
        <item m="1" x="487"/>
        <item m="1" x="207"/>
        <item m="1" x="492"/>
        <item m="1" x="691"/>
        <item m="1" x="392"/>
        <item m="1" x="703"/>
        <item m="1" x="403"/>
        <item m="1" x="715"/>
        <item m="1" x="413"/>
        <item m="1" x="726"/>
        <item m="1" x="425"/>
        <item m="1" x="736"/>
        <item m="1" x="436"/>
        <item m="1" x="747"/>
        <item m="1" x="446"/>
        <item m="1" x="754"/>
        <item m="1" x="457"/>
        <item m="1" x="762"/>
        <item m="1" x="465"/>
        <item m="1" x="770"/>
        <item m="1" x="472"/>
        <item m="1" x="777"/>
        <item m="1" x="477"/>
        <item m="1" x="784"/>
        <item m="1" x="484"/>
        <item m="1" x="791"/>
        <item m="1" x="488"/>
        <item m="1" x="209"/>
        <item m="1" x="494"/>
        <item m="1" x="212"/>
        <item m="1" x="496"/>
        <item m="1" x="215"/>
        <item m="1" x="501"/>
        <item m="1" x="220"/>
        <item m="1" x="716"/>
        <item m="1" x="414"/>
        <item m="1" x="727"/>
        <item m="1" x="426"/>
        <item m="1" x="737"/>
        <item m="1" x="437"/>
        <item m="1" x="748"/>
        <item m="1" x="447"/>
        <item m="1" x="755"/>
        <item m="1" x="458"/>
        <item m="1" x="763"/>
        <item m="1" x="466"/>
        <item m="1" x="771"/>
        <item m="1" x="473"/>
        <item m="1" x="778"/>
        <item m="1" x="478"/>
        <item m="1" x="785"/>
        <item m="1" x="485"/>
        <item m="1" x="792"/>
        <item m="1" x="490"/>
        <item m="1" x="210"/>
        <item m="1" x="495"/>
        <item m="1" x="231"/>
        <item m="1" x="213"/>
        <item m="1" x="497"/>
        <item m="1" x="216"/>
        <item m="1" x="502"/>
        <item m="1" x="221"/>
        <item m="1" x="506"/>
        <item m="1" x="225"/>
        <item m="1" x="512"/>
        <item m="1" x="738"/>
        <item m="1" x="438"/>
        <item m="1" x="749"/>
        <item m="1" x="448"/>
        <item m="1" x="756"/>
        <item m="1" x="459"/>
        <item m="1" x="764"/>
        <item m="1" x="467"/>
        <item m="1" x="772"/>
        <item x="148"/>
        <item m="1" x="779"/>
        <item m="1" x="479"/>
        <item m="1" x="786"/>
        <item m="1" x="486"/>
        <item m="1" x="793"/>
        <item m="1" x="491"/>
        <item m="1" x="211"/>
        <item x="191"/>
        <item m="1" x="214"/>
        <item m="1" x="499"/>
        <item m="1" x="217"/>
        <item m="1" x="503"/>
        <item m="1" x="222"/>
        <item m="1" x="507"/>
        <item m="1" x="226"/>
        <item m="1" x="513"/>
        <item m="1" x="232"/>
        <item m="1" x="518"/>
        <item m="1" x="236"/>
        <item m="1" x="525"/>
        <item m="1" x="242"/>
        <item m="1" x="219"/>
        <item m="1" x="505"/>
        <item m="1" x="224"/>
        <item m="1" x="509"/>
        <item m="1" x="228"/>
        <item m="1" x="515"/>
        <item m="1" x="234"/>
        <item m="1" x="520"/>
        <item x="206"/>
        <item m="1" x="527"/>
        <item m="1" x="244"/>
        <item m="1" x="533"/>
        <item m="1" x="251"/>
        <item m="1" x="541"/>
        <item m="1" x="258"/>
        <item m="1" x="549"/>
        <item x="205"/>
        <item m="1" x="559"/>
        <item m="1" x="272"/>
        <item m="1" x="571"/>
        <item x="204"/>
        <item m="1" x="582"/>
        <item x="203"/>
        <item m="1" x="594"/>
        <item m="1" x="300"/>
        <item m="1" x="609"/>
        <item x="202"/>
        <item m="1" x="622"/>
        <item m="1" x="325"/>
        <item m="1" x="639"/>
        <item m="1" x="511"/>
        <item m="1" x="230"/>
        <item m="1" x="517"/>
        <item x="201"/>
        <item m="1" x="522"/>
        <item m="1" x="239"/>
        <item m="1" x="529"/>
        <item m="1" x="246"/>
        <item m="1" x="535"/>
        <item m="1" x="253"/>
        <item m="1" x="543"/>
        <item m="1" x="260"/>
        <item m="1" x="551"/>
        <item m="1" x="266"/>
        <item m="1" x="561"/>
        <item m="1" x="274"/>
        <item m="1" x="573"/>
        <item m="1" x="282"/>
        <item m="1" x="584"/>
        <item m="1" x="292"/>
        <item m="1" x="596"/>
        <item m="1" x="302"/>
        <item m="1" x="611"/>
        <item m="1" x="314"/>
        <item m="1" x="624"/>
        <item m="1" x="327"/>
        <item m="1" x="641"/>
        <item m="1" x="340"/>
        <item m="1" x="524"/>
        <item m="1" x="241"/>
        <item m="1" x="531"/>
        <item m="1" x="248"/>
        <item m="1" x="537"/>
        <item m="1" x="255"/>
        <item m="1" x="545"/>
        <item m="1" x="262"/>
        <item m="1" x="553"/>
        <item m="1" x="268"/>
        <item m="1" x="563"/>
        <item m="1" x="276"/>
        <item m="1" x="575"/>
        <item m="1" x="284"/>
        <item m="1" x="586"/>
        <item m="1" x="294"/>
        <item m="1" x="598"/>
        <item m="1" x="304"/>
        <item m="1" x="613"/>
        <item m="1" x="316"/>
        <item m="1" x="626"/>
        <item m="1" x="329"/>
        <item m="1" x="643"/>
        <item m="1" x="342"/>
        <item m="1" x="655"/>
        <item x="200"/>
        <item m="1" x="669"/>
        <item m="1" x="366"/>
        <item m="1" x="681"/>
        <item m="1" x="380"/>
        <item m="1" x="693"/>
        <item m="1" x="539"/>
        <item m="1" x="256"/>
        <item m="1" x="547"/>
        <item x="199"/>
        <item m="1" x="555"/>
        <item m="1" x="270"/>
        <item m="1" x="565"/>
        <item x="198"/>
        <item m="1" x="577"/>
        <item m="1" x="286"/>
        <item m="1" x="588"/>
        <item x="197"/>
        <item m="1" x="601"/>
        <item m="1" x="306"/>
        <item m="1" x="318"/>
        <item m="1" x="628"/>
        <item m="1" x="331"/>
        <item m="1" x="645"/>
        <item m="1" x="344"/>
        <item m="1" x="630"/>
        <item m="1" x="657"/>
        <item m="1" x="355"/>
        <item x="196"/>
        <item m="1" x="368"/>
        <item m="1" x="683"/>
        <item m="1" x="382"/>
        <item x="195"/>
        <item m="1" x="394"/>
        <item m="1" x="372"/>
        <item m="1" x="705"/>
        <item x="190"/>
        <item m="1" x="557"/>
        <item x="194"/>
        <item m="1" x="568"/>
        <item m="1" x="279"/>
        <item m="1" x="569"/>
        <item x="193"/>
        <item x="192"/>
        <item m="1" x="590"/>
        <item m="1" x="297"/>
        <item m="1" x="603"/>
        <item m="1" x="308"/>
        <item m="1" x="616"/>
        <item m="1" x="320"/>
        <item m="1" x="631"/>
        <item m="1" x="333"/>
        <item m="1" x="647"/>
        <item m="1" x="346"/>
        <item m="1" x="659"/>
        <item m="1" x="357"/>
        <item m="1" x="672"/>
        <item m="1" x="370"/>
        <item m="1" x="685"/>
        <item m="1" x="384"/>
        <item m="1" x="696"/>
        <item x="189"/>
        <item m="1" x="707"/>
        <item x="188"/>
        <item m="1" x="718"/>
        <item m="1" x="417"/>
        <item m="1" x="729"/>
        <item m="1" x="428"/>
        <item m="1" x="740"/>
        <item m="1" x="580"/>
        <item m="1" x="289"/>
        <item m="1" x="592"/>
        <item x="187"/>
        <item m="1" x="605"/>
        <item x="186"/>
        <item m="1" x="618"/>
        <item m="1" x="322"/>
        <item m="1" x="633"/>
        <item m="1" x="335"/>
        <item m="1" x="649"/>
        <item m="1" x="348"/>
        <item m="1" x="661"/>
        <item x="185"/>
        <item x="184"/>
        <item m="1" x="373"/>
        <item x="183"/>
        <item m="1" x="386"/>
        <item m="1" x="698"/>
        <item m="1" x="397"/>
        <item m="1" x="709"/>
        <item m="1" x="407"/>
        <item m="1" x="720"/>
        <item m="1" x="419"/>
        <item m="1" x="731"/>
        <item m="1" x="430"/>
        <item m="1" x="742"/>
        <item m="1" x="440"/>
        <item x="182"/>
        <item m="1" x="451"/>
        <item m="1" x="607"/>
        <item m="1" x="311"/>
        <item m="1" x="620"/>
        <item x="181"/>
        <item m="1" x="635"/>
        <item x="180"/>
        <item m="1" x="651"/>
        <item m="1" x="350"/>
        <item m="1" x="663"/>
        <item m="1" x="360"/>
        <item m="1" x="675"/>
        <item m="1" x="375"/>
        <item m="1" x="688"/>
        <item m="1" x="388"/>
        <item m="1" x="700"/>
        <item m="1" x="399"/>
        <item m="1" x="711"/>
        <item m="1" x="409"/>
        <item m="1" x="722"/>
        <item m="1" x="421"/>
        <item x="178"/>
        <item m="1" x="432"/>
        <item x="179"/>
        <item m="1" x="442"/>
        <item x="177"/>
        <item m="1" x="453"/>
        <item m="1" x="758"/>
        <item m="1" x="462"/>
        <item m="1" x="766"/>
        <item x="174"/>
        <item m="1" x="774"/>
        <item m="1" x="637"/>
        <item m="1" x="338"/>
        <item m="1" x="653"/>
        <item m="1" x="352"/>
        <item m="1" x="665"/>
        <item m="1" x="362"/>
        <item m="1" x="677"/>
        <item m="1" x="377"/>
        <item x="176"/>
        <item m="1" x="390"/>
        <item x="175"/>
        <item m="1" x="401"/>
        <item m="1" x="713"/>
        <item m="1" x="411"/>
        <item m="1" x="724"/>
        <item m="1" x="423"/>
        <item m="1" x="734"/>
        <item m="1" x="434"/>
        <item m="1" x="745"/>
        <item m="1" x="444"/>
        <item m="1" x="455"/>
        <item m="1" x="760"/>
        <item x="173"/>
        <item m="1" x="768"/>
        <item m="1" x="470"/>
        <item x="172"/>
        <item m="1" x="475"/>
        <item m="1" x="781"/>
        <item m="1" x="481"/>
        <item m="1" x="788"/>
        <item m="1" x="667"/>
        <item m="1" x="364"/>
        <item m="1" x="679"/>
        <item x="171"/>
        <item x="170"/>
        <item x="169"/>
        <item x="165"/>
        <item x="164"/>
        <item x="166"/>
        <item x="168"/>
        <item m="1" x="783"/>
        <item m="1" x="483"/>
        <item m="1" x="790"/>
        <item x="167"/>
        <item m="1" x="208"/>
        <item m="1" x="493"/>
        <item x="162"/>
        <item x="163"/>
        <item x="161"/>
        <item x="160"/>
        <item x="156"/>
        <item x="159"/>
        <item x="154"/>
        <item x="157"/>
        <item x="158"/>
        <item m="1" x="489"/>
        <item x="155"/>
        <item x="153"/>
        <item x="152"/>
        <item x="151"/>
        <item x="150"/>
        <item x="147"/>
        <item x="144"/>
        <item x="146"/>
        <item x="149"/>
        <item x="145"/>
        <item m="1" x="498"/>
        <item x="134"/>
        <item x="143"/>
        <item x="142"/>
        <item x="139"/>
        <item x="138"/>
        <item x="140"/>
        <item x="141"/>
        <item x="127"/>
        <item x="137"/>
        <item x="136"/>
        <item x="135"/>
        <item x="132"/>
        <item x="133"/>
        <item x="131"/>
        <item x="129"/>
        <item x="130"/>
        <item x="128"/>
        <item x="126"/>
        <item x="125"/>
        <item x="106"/>
        <item x="124"/>
        <item x="123"/>
        <item x="121"/>
        <item x="122"/>
        <item x="120"/>
        <item x="119"/>
        <item x="116"/>
        <item x="118"/>
        <item x="117"/>
        <item x="115"/>
        <item x="114"/>
        <item x="113"/>
        <item x="112"/>
        <item x="105"/>
        <item x="111"/>
        <item x="110"/>
        <item x="109"/>
        <item x="108"/>
        <item x="107"/>
        <item x="104"/>
        <item x="103"/>
        <item x="102"/>
        <item x="100"/>
        <item x="101"/>
        <item x="99"/>
        <item x="98"/>
        <item x="97"/>
        <item x="96"/>
        <item x="85"/>
        <item x="95"/>
        <item x="83"/>
        <item x="82"/>
        <item x="81"/>
        <item x="93"/>
        <item x="80"/>
        <item x="92"/>
        <item x="79"/>
        <item x="78"/>
        <item x="77"/>
        <item x="76"/>
        <item x="91"/>
        <item x="94"/>
        <item x="75"/>
        <item x="90"/>
        <item x="74"/>
        <item x="86"/>
        <item x="72"/>
        <item x="73"/>
        <item x="89"/>
        <item x="71"/>
        <item x="70"/>
        <item x="68"/>
        <item x="69"/>
        <item x="67"/>
        <item x="65"/>
        <item x="66"/>
        <item x="88"/>
        <item x="64"/>
        <item x="61"/>
        <item x="62"/>
        <item x="84"/>
        <item x="63"/>
        <item x="60"/>
        <item x="87"/>
        <item x="59"/>
        <item x="58"/>
        <item x="52"/>
        <item x="57"/>
        <item x="54"/>
        <item x="55"/>
        <item x="56"/>
        <item x="53"/>
        <item m="1" x="599"/>
        <item x="51"/>
        <item x="49"/>
        <item x="50"/>
        <item x="48"/>
        <item x="42"/>
        <item x="47"/>
        <item x="41"/>
        <item x="34"/>
        <item x="46"/>
        <item x="35"/>
        <item x="45"/>
        <item x="43"/>
        <item x="44"/>
        <item x="40"/>
        <item x="39"/>
        <item x="37"/>
        <item x="38"/>
        <item x="36"/>
        <item x="33"/>
        <item x="29"/>
        <item x="31"/>
        <item x="32"/>
        <item x="30"/>
        <item x="27"/>
        <item x="28"/>
        <item x="26"/>
        <item x="21"/>
        <item x="24"/>
        <item x="25"/>
        <item x="23"/>
        <item x="22"/>
        <item x="20"/>
        <item x="17"/>
        <item x="10"/>
        <item x="19"/>
        <item x="18"/>
        <item x="16"/>
        <item x="13"/>
        <item x="15"/>
        <item x="14"/>
        <item x="12"/>
        <item x="7"/>
        <item x="11"/>
        <item x="8"/>
        <item x="9"/>
        <item x="6"/>
        <item x="5"/>
        <item x="4"/>
        <item x="3"/>
        <item x="2"/>
        <item x="1"/>
        <item x="0"/>
      </items>
      <extLst>
        <ext xmlns:x14="http://schemas.microsoft.com/office/spreadsheetml/2009/9/main" uri="{2946ED86-A175-432a-8AC1-64E0C546D7DE}">
          <x14:pivotField fillDownLabels="1"/>
        </ext>
      </extLst>
    </pivotField>
    <pivotField compact="0" outline="0" showAll="0" defaultSubtotal="0"/>
    <pivotField compact="0" outline="0" multipleItemSelectionAllowed="1" showAll="0"/>
    <pivotField compact="0" outline="0" multipleItemSelectionAllowed="1" showAll="0" defaultSubtotal="0">
      <items count="69">
        <item m="1" x="58"/>
        <item m="1" x="32"/>
        <item m="1" x="12"/>
        <item m="1" x="15"/>
        <item m="1" x="47"/>
        <item m="1" x="67"/>
        <item m="1" x="63"/>
        <item m="1" x="35"/>
        <item m="1" x="23"/>
        <item m="1" x="49"/>
        <item m="1" x="54"/>
        <item m="1" x="13"/>
        <item m="1" x="48"/>
        <item m="1" x="24"/>
        <item m="1" x="57"/>
        <item m="1" x="55"/>
        <item m="1" x="39"/>
        <item m="1" x="33"/>
        <item m="1" x="65"/>
        <item m="1" x="38"/>
        <item m="1" x="40"/>
        <item m="1" x="50"/>
        <item m="1" x="37"/>
        <item x="0"/>
        <item m="1" x="46"/>
        <item m="1" x="29"/>
        <item m="1" x="68"/>
        <item m="1" x="18"/>
        <item m="1" x="66"/>
        <item m="1" x="59"/>
        <item m="1" x="62"/>
        <item m="1" x="19"/>
        <item m="1" x="43"/>
        <item m="1" x="51"/>
        <item m="1" x="11"/>
        <item m="1" x="21"/>
        <item m="1" x="45"/>
        <item m="1" x="16"/>
        <item m="1" x="60"/>
        <item m="1" x="20"/>
        <item m="1" x="64"/>
        <item m="1" x="10"/>
        <item m="1" x="42"/>
        <item m="1" x="56"/>
        <item m="1" x="34"/>
        <item m="1" x="17"/>
        <item x="2"/>
        <item m="1" x="36"/>
        <item x="1"/>
        <item m="1" x="27"/>
        <item m="1" x="25"/>
        <item m="1" x="22"/>
        <item m="1" x="26"/>
        <item m="1" x="41"/>
        <item m="1" x="31"/>
        <item m="1" x="30"/>
        <item x="7"/>
        <item m="1" x="61"/>
        <item x="5"/>
        <item x="9"/>
        <item m="1" x="28"/>
        <item x="8"/>
        <item m="1" x="44"/>
        <item m="1" x="53"/>
        <item m="1" x="14"/>
        <item m="1" x="52"/>
        <item x="6"/>
        <item x="3"/>
        <item x="4"/>
      </items>
      <extLst>
        <ext xmlns:x14="http://schemas.microsoft.com/office/spreadsheetml/2009/9/main" uri="{2946ED86-A175-432a-8AC1-64E0C546D7DE}">
          <x14:pivotField fillDownLabels="1"/>
        </ext>
      </extLst>
    </pivotField>
    <pivotField compact="0" outline="0" multipleItemSelectionAllowed="1" showAll="0" defaultSubtotal="0">
      <items count="171">
        <item m="1" x="16"/>
        <item m="1" x="28"/>
        <item m="1" x="159"/>
        <item m="1" x="23"/>
        <item m="1" x="126"/>
        <item m="1" x="127"/>
        <item m="1" x="81"/>
        <item m="1" x="130"/>
        <item m="1" x="75"/>
        <item m="1" x="125"/>
        <item m="1" x="150"/>
        <item m="1" x="134"/>
        <item m="1" x="160"/>
        <item m="1" x="113"/>
        <item m="1" x="91"/>
        <item m="1" x="47"/>
        <item m="1" x="71"/>
        <item m="1" x="155"/>
        <item m="1" x="143"/>
        <item m="1" x="146"/>
        <item m="1" x="82"/>
        <item m="1" x="18"/>
        <item m="1" x="65"/>
        <item m="1" x="148"/>
        <item m="1" x="27"/>
        <item m="1" x="139"/>
        <item m="1" x="89"/>
        <item m="1" x="147"/>
        <item m="1" x="48"/>
        <item m="1" x="31"/>
        <item m="1" x="12"/>
        <item m="1" x="41"/>
        <item m="1" x="135"/>
        <item m="1" x="133"/>
        <item m="1" x="128"/>
        <item m="1" x="129"/>
        <item m="1" x="109"/>
        <item m="1" x="44"/>
        <item m="1" x="68"/>
        <item m="1" x="153"/>
        <item m="1" x="123"/>
        <item m="1" x="22"/>
        <item m="1" x="164"/>
        <item m="1" x="110"/>
        <item m="1" x="105"/>
        <item m="1" x="37"/>
        <item m="1" x="120"/>
        <item m="1" x="119"/>
        <item m="1" x="122"/>
        <item m="1" x="4"/>
        <item m="1" x="114"/>
        <item m="1" x="117"/>
        <item m="1" x="96"/>
        <item m="1" x="49"/>
        <item m="1" x="124"/>
        <item m="1" x="112"/>
        <item m="1" x="57"/>
        <item m="1" x="83"/>
        <item m="1" x="87"/>
        <item m="1" x="94"/>
        <item m="1" x="90"/>
        <item m="1" x="34"/>
        <item m="1" x="144"/>
        <item m="1" x="142"/>
        <item m="1" x="154"/>
        <item m="1" x="97"/>
        <item m="1" x="67"/>
        <item m="1" x="167"/>
        <item m="1" x="84"/>
        <item m="1" x="8"/>
        <item m="1" x="29"/>
        <item m="1" x="24"/>
        <item m="1" x="26"/>
        <item m="1" x="9"/>
        <item m="1" x="56"/>
        <item m="1" x="40"/>
        <item m="1" x="131"/>
        <item m="1" x="62"/>
        <item m="1" x="54"/>
        <item m="1" x="61"/>
        <item m="1" x="19"/>
        <item m="1" x="163"/>
        <item m="1" x="73"/>
        <item m="1" x="32"/>
        <item m="1" x="33"/>
        <item m="1" x="46"/>
        <item m="1" x="20"/>
        <item m="1" x="102"/>
        <item m="1" x="166"/>
        <item m="1" x="85"/>
        <item m="1" x="151"/>
        <item m="1" x="38"/>
        <item m="1" x="36"/>
        <item m="1" x="136"/>
        <item m="1" x="77"/>
        <item m="1" x="5"/>
        <item m="1" x="80"/>
        <item m="1" x="35"/>
        <item m="1" x="42"/>
        <item m="1" x="72"/>
        <item m="1" x="45"/>
        <item m="1" x="116"/>
        <item m="1" x="95"/>
        <item m="1" x="70"/>
        <item m="1" x="55"/>
        <item m="1" x="79"/>
        <item m="1" x="76"/>
        <item m="1" x="145"/>
        <item m="1" x="108"/>
        <item m="1" x="59"/>
        <item m="1" x="152"/>
        <item m="1" x="14"/>
        <item m="1" x="50"/>
        <item m="1" x="107"/>
        <item m="1" x="169"/>
        <item m="1" x="60"/>
        <item m="1" x="6"/>
        <item m="1" x="78"/>
        <item m="1" x="93"/>
        <item m="1" x="162"/>
        <item m="1" x="21"/>
        <item m="1" x="52"/>
        <item m="1" x="86"/>
        <item m="1" x="63"/>
        <item m="1" x="121"/>
        <item m="1" x="137"/>
        <item m="1" x="51"/>
        <item m="1" x="39"/>
        <item m="1" x="98"/>
        <item m="1" x="158"/>
        <item m="1" x="157"/>
        <item m="1" x="165"/>
        <item m="1" x="161"/>
        <item m="1" x="69"/>
        <item m="1" x="106"/>
        <item m="1" x="101"/>
        <item m="1" x="104"/>
        <item m="1" x="103"/>
        <item m="1" x="141"/>
        <item m="1" x="170"/>
        <item m="1" x="64"/>
        <item m="1" x="10"/>
        <item m="1" x="100"/>
        <item m="1" x="111"/>
        <item m="1" x="138"/>
        <item m="1" x="115"/>
        <item m="1" x="66"/>
        <item m="1" x="7"/>
        <item m="1" x="99"/>
        <item m="1" x="43"/>
        <item m="1" x="118"/>
        <item m="1" x="3"/>
        <item m="1" x="168"/>
        <item m="1" x="149"/>
        <item m="1" x="53"/>
        <item m="1" x="88"/>
        <item m="1" x="58"/>
        <item m="1" x="25"/>
        <item m="1" x="15"/>
        <item m="1" x="11"/>
        <item m="1" x="30"/>
        <item m="1" x="132"/>
        <item m="1" x="156"/>
        <item m="1" x="13"/>
        <item m="1" x="140"/>
        <item m="1" x="92"/>
        <item x="0"/>
        <item x="1"/>
        <item m="1" x="74"/>
        <item m="1" x="17"/>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95">
        <item m="1" x="80"/>
        <item m="1" x="87"/>
        <item m="1" x="91"/>
        <item x="27"/>
        <item x="14"/>
        <item x="13"/>
        <item m="1" x="92"/>
        <item m="1" x="84"/>
        <item m="1" x="94"/>
        <item m="1" x="75"/>
        <item x="56"/>
        <item x="31"/>
        <item m="1" x="77"/>
        <item m="1" x="93"/>
        <item m="1" x="86"/>
        <item m="1" x="71"/>
        <item m="1" x="89"/>
        <item m="1" x="82"/>
        <item m="1" x="76"/>
        <item x="51"/>
        <item m="1" x="85"/>
        <item m="1" x="70"/>
        <item m="1" x="81"/>
        <item m="1" x="88"/>
        <item m="1" x="72"/>
        <item x="69"/>
        <item x="60"/>
        <item m="1" x="90"/>
        <item m="1" x="74"/>
        <item x="15"/>
        <item x="66"/>
        <item x="65"/>
        <item x="58"/>
        <item x="68"/>
        <item x="17"/>
        <item x="25"/>
        <item x="29"/>
        <item x="28"/>
        <item x="46"/>
        <item x="35"/>
        <item x="42"/>
        <item x="2"/>
        <item x="59"/>
        <item x="44"/>
        <item m="1" x="79"/>
        <item x="57"/>
        <item m="1" x="83"/>
        <item x="30"/>
        <item m="1" x="78"/>
        <item x="18"/>
        <item x="11"/>
        <item x="24"/>
        <item x="9"/>
        <item x="0"/>
        <item x="67"/>
        <item x="48"/>
        <item m="1" x="73"/>
        <item x="47"/>
        <item x="12"/>
        <item x="37"/>
        <item x="61"/>
        <item x="62"/>
        <item x="63"/>
        <item x="64"/>
        <item x="6"/>
        <item x="55"/>
        <item x="36"/>
        <item x="34"/>
        <item x="4"/>
        <item x="3"/>
        <item x="19"/>
        <item x="20"/>
        <item x="21"/>
        <item x="54"/>
        <item x="53"/>
        <item x="16"/>
        <item x="52"/>
        <item x="32"/>
        <item x="7"/>
        <item x="1"/>
        <item x="49"/>
        <item x="50"/>
        <item x="43"/>
        <item x="41"/>
        <item x="39"/>
        <item x="40"/>
        <item x="45"/>
        <item x="33"/>
        <item x="10"/>
        <item x="38"/>
        <item x="8"/>
        <item x="5"/>
        <item x="26"/>
        <item x="23"/>
        <item x="2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7">
        <item m="1" x="23"/>
        <item m="1" x="15"/>
        <item m="1" x="24"/>
        <item x="2"/>
        <item m="1" x="10"/>
        <item x="1"/>
        <item m="1" x="18"/>
        <item m="1" x="21"/>
        <item m="1" x="11"/>
        <item m="1" x="26"/>
        <item m="1" x="22"/>
        <item m="1" x="16"/>
        <item m="1" x="14"/>
        <item x="7"/>
        <item m="1" x="17"/>
        <item x="5"/>
        <item x="9"/>
        <item m="1" x="19"/>
        <item x="8"/>
        <item m="1" x="25"/>
        <item m="1" x="13"/>
        <item x="0"/>
        <item m="1" x="12"/>
        <item m="1" x="20"/>
        <item x="6"/>
        <item x="3"/>
        <item x="4"/>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sortType="ascending" defaultSubtotal="0">
      <items count="3336">
        <item m="1" x="70"/>
        <item m="1" x="1988"/>
        <item m="1" x="833"/>
        <item m="1" x="1802"/>
        <item m="1" x="127"/>
        <item m="1" x="2090"/>
        <item m="1" x="178"/>
        <item m="1" x="678"/>
        <item m="1" x="613"/>
        <item m="1" x="2175"/>
        <item m="1" x="251"/>
        <item m="1" x="618"/>
        <item m="1" x="173"/>
        <item m="1" x="2830"/>
        <item m="1" x="551"/>
        <item m="1" x="133"/>
        <item m="1" x="633"/>
        <item m="1" x="1902"/>
        <item m="1" x="2561"/>
        <item m="1" x="3327"/>
        <item m="1" x="358"/>
        <item m="1" x="2930"/>
        <item m="1" x="1738"/>
        <item m="1" x="364"/>
        <item m="1" x="703"/>
        <item m="1" x="2183"/>
        <item m="1" x="2033"/>
        <item m="1" x="2451"/>
        <item m="1" x="2203"/>
        <item m="1" x="2293"/>
        <item m="1" x="1395"/>
        <item m="1" x="2655"/>
        <item m="1" x="1328"/>
        <item m="1" x="2789"/>
        <item m="1" x="2909"/>
        <item m="1" x="943"/>
        <item m="1" x="90"/>
        <item m="1" x="2449"/>
        <item m="1" x="1366"/>
        <item m="1" x="2685"/>
        <item m="1" x="2354"/>
        <item m="1" x="1379"/>
        <item m="1" x="2070"/>
        <item m="1" x="1931"/>
        <item m="1" x="297"/>
        <item m="1" x="669"/>
        <item m="1" x="384"/>
        <item m="1" x="3294"/>
        <item m="1" x="2590"/>
        <item m="1" x="1654"/>
        <item m="1" x="2898"/>
        <item m="1" x="1651"/>
        <item m="1" x="3166"/>
        <item m="1" x="2044"/>
        <item m="1" x="2110"/>
        <item m="1" x="1205"/>
        <item m="1" x="2337"/>
        <item m="1" x="1058"/>
        <item m="1" x="453"/>
        <item m="1" x="819"/>
        <item m="1" x="3140"/>
        <item m="1" x="2609"/>
        <item m="1" x="597"/>
        <item m="1" x="648"/>
        <item m="1" x="2516"/>
        <item m="1" x="2192"/>
        <item m="1" x="2232"/>
        <item m="1" x="1858"/>
        <item m="1" x="2129"/>
        <item m="1" x="1734"/>
        <item m="1" x="2096"/>
        <item m="1" x="2121"/>
        <item m="1" x="732"/>
        <item m="1" x="1795"/>
        <item m="1" x="2737"/>
        <item m="1" x="2704"/>
        <item m="1" x="1385"/>
        <item m="1" x="2848"/>
        <item m="1" x="2884"/>
        <item m="1" x="2021"/>
        <item m="1" x="2463"/>
        <item m="1" x="2174"/>
        <item m="1" x="1421"/>
        <item m="1" x="1966"/>
        <item m="1" x="270"/>
        <item m="1" x="3270"/>
        <item m="1" x="3180"/>
        <item m="1" x="979"/>
        <item m="1" x="3085"/>
        <item m="1" x="981"/>
        <item m="1" x="2730"/>
        <item m="1" x="125"/>
        <item m="1" x="698"/>
        <item m="1" x="540"/>
        <item m="1" x="1448"/>
        <item m="1" x="2688"/>
        <item m="1" x="2689"/>
        <item m="1" x="451"/>
        <item m="1" x="3121"/>
        <item m="1" x="2426"/>
        <item m="1" x="2351"/>
        <item m="1" x="1480"/>
        <item m="1" x="1766"/>
        <item m="1" x="486"/>
        <item m="1" x="2701"/>
        <item m="1" x="2374"/>
        <item m="1" x="1220"/>
        <item m="1" x="911"/>
        <item m="1" x="475"/>
        <item m="1" x="1505"/>
        <item m="1" x="2052"/>
        <item m="1" x="223"/>
        <item m="1" x="724"/>
        <item m="1" x="1681"/>
        <item m="1" x="89"/>
        <item m="1" x="2692"/>
        <item m="1" x="2434"/>
        <item m="1" x="1389"/>
        <item m="1" x="2943"/>
        <item m="1" x="2563"/>
        <item m="1" x="326"/>
        <item m="1" x="799"/>
        <item m="1" x="974"/>
        <item m="1" x="1410"/>
        <item m="1" x="2756"/>
        <item m="1" x="1353"/>
        <item m="1" x="713"/>
        <item m="1" x="2610"/>
        <item m="1" x="808"/>
        <item m="1" x="232"/>
        <item m="1" x="3006"/>
        <item m="1" x="87"/>
        <item m="1" x="2433"/>
        <item m="1" x="1882"/>
        <item m="1" x="741"/>
        <item m="1" x="1067"/>
        <item m="1" x="1278"/>
        <item m="1" x="1844"/>
        <item m="1" x="3179"/>
        <item m="1" x="1132"/>
        <item m="1" x="2294"/>
        <item m="1" x="757"/>
        <item m="1" x="736"/>
        <item m="1" x="906"/>
        <item m="1" x="785"/>
        <item m="1" x="962"/>
        <item m="1" x="320"/>
        <item m="1" x="1809"/>
        <item m="1" x="284"/>
        <item m="1" x="1563"/>
        <item m="1" x="2618"/>
        <item m="1" x="3002"/>
        <item m="1" x="3203"/>
        <item m="1" x="2881"/>
        <item m="1" x="2383"/>
        <item m="1" x="649"/>
        <item m="1" x="858"/>
        <item m="1" x="1146"/>
        <item m="1" x="1657"/>
        <item m="1" x="1696"/>
        <item m="1" x="1721"/>
        <item m="1" x="3138"/>
        <item m="1" x="245"/>
        <item m="1" x="1587"/>
        <item m="1" x="1449"/>
        <item m="1" x="160"/>
        <item m="1" x="106"/>
        <item m="1" x="793"/>
        <item m="1" x="2671"/>
        <item m="1" x="3275"/>
        <item m="1" x="489"/>
        <item m="1" x="528"/>
        <item m="1" x="3091"/>
        <item m="1" x="3027"/>
        <item m="1" x="2952"/>
        <item m="1" x="1030"/>
        <item m="1" x="1457"/>
        <item m="1" x="1092"/>
        <item m="1" x="2916"/>
        <item m="1" x="1811"/>
        <item m="1" x="2008"/>
        <item m="1" x="1891"/>
        <item m="1" x="3157"/>
        <item m="1" x="119"/>
        <item m="1" x="1173"/>
        <item m="1" x="1645"/>
        <item m="1" x="1556"/>
        <item m="1" x="1623"/>
        <item m="1" x="1683"/>
        <item m="1" x="2553"/>
        <item m="1" x="2691"/>
        <item m="1" x="1163"/>
        <item m="1" x="2497"/>
        <item m="1" x="2978"/>
        <item m="1" x="2302"/>
        <item m="1" x="1903"/>
        <item m="1" x="1720"/>
        <item m="1" x="294"/>
        <item m="1" x="375"/>
        <item m="1" x="2425"/>
        <item m="1" x="2783"/>
        <item m="1" x="3192"/>
        <item m="1" x="2370"/>
        <item m="1" x="1692"/>
        <item m="1" x="1964"/>
        <item m="1" x="1265"/>
        <item m="1" x="182"/>
        <item m="1" x="1846"/>
        <item m="1" x="1835"/>
        <item m="1" x="2048"/>
        <item m="1" x="1838"/>
        <item m="1" x="2765"/>
        <item m="1" x="2639"/>
        <item m="1" x="1552"/>
        <item m="1" x="2051"/>
        <item m="1" x="2437"/>
        <item m="1" x="932"/>
        <item m="1" x="298"/>
        <item m="1" x="1028"/>
        <item m="1" x="2573"/>
        <item m="1" x="1049"/>
        <item m="1" x="2015"/>
        <item m="1" x="1686"/>
        <item m="1" x="1798"/>
        <item m="1" x="760"/>
        <item m="1" x="1154"/>
        <item m="1" x="276"/>
        <item m="1" x="889"/>
        <item m="1" x="1778"/>
        <item m="1" x="907"/>
        <item m="1" x="1314"/>
        <item m="1" x="131"/>
        <item m="1" x="593"/>
        <item m="1" x="2062"/>
        <item m="1" x="1221"/>
        <item m="1" x="990"/>
        <item m="1" x="2435"/>
        <item m="1" x="3315"/>
        <item m="1" x="3287"/>
        <item m="1" x="1765"/>
        <item m="1" x="772"/>
        <item m="1" x="323"/>
        <item m="1" x="1228"/>
        <item m="1" x="2264"/>
        <item m="1" x="2407"/>
        <item m="1" x="756"/>
        <item m="1" x="3083"/>
        <item m="1" x="1983"/>
        <item m="1" x="1579"/>
        <item m="1" x="1502"/>
        <item m="1" x="2177"/>
        <item m="1" x="1684"/>
        <item m="1" x="1803"/>
        <item m="1" x="222"/>
        <item m="1" x="112"/>
        <item m="1" x="2199"/>
        <item m="1" x="958"/>
        <item m="1" x="388"/>
        <item m="1" x="1805"/>
        <item m="1" x="1534"/>
        <item m="1" x="1155"/>
        <item m="1" x="1586"/>
        <item m="1" x="1588"/>
        <item m="1" x="1548"/>
        <item m="1" x="1160"/>
        <item m="1" x="369"/>
        <item m="1" x="682"/>
        <item m="1" x="3266"/>
        <item m="1" x="951"/>
        <item m="1" x="357"/>
        <item m="1" x="3050"/>
        <item m="1" x="379"/>
        <item m="1" x="132"/>
        <item m="1" x="1251"/>
        <item m="1" x="2085"/>
        <item m="1" x="2456"/>
        <item m="1" x="561"/>
        <item m="1" x="1218"/>
        <item m="1" x="1610"/>
        <item m="1" x="3282"/>
        <item m="1" x="3231"/>
        <item m="1" x="3284"/>
        <item m="1" x="1120"/>
        <item m="1" x="2115"/>
        <item m="1" x="815"/>
        <item m="1" x="3224"/>
        <item m="1" x="3302"/>
        <item m="1" x="2076"/>
        <item m="1" x="584"/>
        <item m="1" x="2251"/>
        <item m="1" x="474"/>
        <item m="1" x="3195"/>
        <item m="1" x="429"/>
        <item m="1" x="1329"/>
        <item m="1" x="983"/>
        <item m="1" x="1189"/>
        <item m="1" x="1878"/>
        <item m="1" x="121"/>
        <item m="1" x="1506"/>
        <item m="1" x="645"/>
        <item m="1" x="308"/>
        <item m="1" x="1694"/>
        <item m="1" x="2269"/>
        <item m="1" x="2215"/>
        <item m="1" x="1908"/>
        <item m="1" x="2938"/>
        <item m="1" x="1998"/>
        <item m="1" x="2717"/>
        <item m="1" x="1797"/>
        <item m="1" x="476"/>
        <item m="1" x="3259"/>
        <item m="1" x="891"/>
        <item m="1" x="2274"/>
        <item m="1" x="1215"/>
        <item m="1" x="1597"/>
        <item m="1" x="2343"/>
        <item m="1" x="2315"/>
        <item m="1" x="2487"/>
        <item m="1" x="1674"/>
        <item m="1" x="1178"/>
        <item m="1" x="226"/>
        <item m="1" x="2917"/>
        <item m="1" x="957"/>
        <item m="1" x="1397"/>
        <item m="1" x="2597"/>
        <item m="1" x="3268"/>
        <item m="1" x="2892"/>
        <item m="1" x="2893"/>
        <item m="1" x="3279"/>
        <item m="1" x="3191"/>
        <item m="1" x="3066"/>
        <item m="1" x="1775"/>
        <item m="1" x="103"/>
        <item m="1" x="2341"/>
        <item m="1" x="493"/>
        <item m="1" x="2672"/>
        <item m="1" x="1666"/>
        <item m="1" x="814"/>
        <item m="1" x="1559"/>
        <item m="1" x="831"/>
        <item m="1" x="1628"/>
        <item m="1" x="1396"/>
        <item m="1" x="1042"/>
        <item m="1" x="961"/>
        <item m="1" x="763"/>
        <item m="1" x="1510"/>
        <item m="1" x="1664"/>
        <item m="1" x="2159"/>
        <item m="1" x="949"/>
        <item m="1" x="1914"/>
        <item m="1" x="3155"/>
        <item m="1" x="2956"/>
        <item m="1" x="3247"/>
        <item m="1" x="240"/>
        <item m="1" x="1295"/>
        <item m="1" x="1753"/>
        <item m="1" x="2517"/>
        <item x="4"/>
        <item x="2"/>
        <item x="3"/>
        <item x="15"/>
        <item m="1" x="1223"/>
        <item m="1" x="517"/>
        <item x="27"/>
        <item x="68"/>
        <item x="55"/>
        <item x="39"/>
        <item x="29"/>
        <item x="56"/>
        <item x="67"/>
        <item x="10"/>
        <item m="1" x="1569"/>
        <item x="40"/>
        <item x="64"/>
        <item x="58"/>
        <item x="53"/>
        <item m="1" x="2841"/>
        <item m="1" x="2847"/>
        <item m="1" x="610"/>
        <item m="1" x="663"/>
        <item m="1" x="838"/>
        <item m="1" x="695"/>
        <item m="1" x="916"/>
        <item m="1" x="495"/>
        <item m="1" x="936"/>
        <item m="1" x="2889"/>
        <item m="1" x="2887"/>
        <item m="1" x="659"/>
        <item m="1" x="1399"/>
        <item m="1" x="1052"/>
        <item m="1" x="1498"/>
        <item m="1" x="1020"/>
        <item m="1" x="1698"/>
        <item m="1" x="3326"/>
        <item m="1" x="1890"/>
        <item m="1" x="2627"/>
        <item m="1" x="925"/>
        <item m="1" x="2911"/>
        <item m="1" x="2757"/>
        <item m="1" x="2149"/>
        <item m="1" x="3303"/>
        <item m="1" x="1358"/>
        <item x="28"/>
        <item m="1" x="596"/>
        <item m="1" x="3307"/>
        <item x="47"/>
        <item m="1" x="751"/>
        <item x="5"/>
        <item m="1" x="1571"/>
        <item x="48"/>
        <item m="1" x="1388"/>
        <item x="59"/>
        <item x="41"/>
        <item m="1" x="165"/>
        <item x="30"/>
        <item x="38"/>
        <item x="42"/>
        <item x="61"/>
        <item x="62"/>
        <item x="63"/>
        <item m="1" x="1129"/>
        <item m="1" x="1864"/>
        <item m="1" x="3201"/>
        <item m="1" x="749"/>
        <item m="1" x="2406"/>
        <item m="1" x="664"/>
        <item m="1" x="2713"/>
        <item m="1" x="1665"/>
        <item m="1" x="1355"/>
        <item m="1" x="933"/>
        <item x="16"/>
        <item m="1" x="1688"/>
        <item x="14"/>
        <item x="8"/>
        <item x="66"/>
        <item m="1" x="2910"/>
        <item m="1" x="2443"/>
        <item m="1" x="2823"/>
        <item m="1" x="2146"/>
        <item m="1" x="1487"/>
        <item m="1" x="1605"/>
        <item m="1" x="1226"/>
        <item m="1" x="2860"/>
        <item m="1" x="638"/>
        <item m="1" x="3009"/>
        <item m="1" x="1181"/>
        <item m="1" x="1972"/>
        <item m="1" x="2528"/>
        <item m="1" x="1536"/>
        <item m="1" x="3291"/>
        <item m="1" x="2010"/>
        <item m="1" x="556"/>
        <item m="1" x="2522"/>
        <item m="1" x="987"/>
        <item m="1" x="3045"/>
        <item m="1" x="1577"/>
        <item m="1" x="1832"/>
        <item m="1" x="221"/>
        <item m="1" x="1892"/>
        <item m="1" x="738"/>
        <item x="52"/>
        <item m="1" x="2801"/>
        <item x="43"/>
        <item x="44"/>
        <item m="1" x="531"/>
        <item x="45"/>
        <item x="46"/>
        <item m="1" x="2670"/>
        <item x="13"/>
        <item x="25"/>
        <item x="65"/>
        <item m="1" x="1345"/>
        <item m="1" x="620"/>
        <item m="1" x="631"/>
        <item m="1" x="1857"/>
        <item m="1" x="406"/>
        <item m="1" x="1276"/>
        <item m="1" x="1060"/>
        <item x="9"/>
        <item m="1" x="728"/>
        <item m="1" x="1352"/>
        <item m="1" x="3143"/>
        <item m="1" x="774"/>
        <item m="1" x="371"/>
        <item m="1" x="2562"/>
        <item m="1" x="1208"/>
        <item m="1" x="144"/>
        <item m="1" x="1259"/>
        <item m="1" x="2498"/>
        <item m="1" x="2394"/>
        <item m="1" x="2361"/>
        <item m="1" x="2095"/>
        <item m="1" x="3169"/>
        <item m="1" x="1182"/>
        <item m="1" x="2029"/>
        <item m="1" x="3037"/>
        <item m="1" x="2824"/>
        <item m="1" x="1827"/>
        <item m="1" x="2035"/>
        <item m="1" x="317"/>
        <item m="1" x="1547"/>
        <item m="1" x="138"/>
        <item m="1" x="1794"/>
        <item m="1" x="968"/>
        <item m="1" x="3320"/>
        <item m="1" x="555"/>
        <item m="1" x="565"/>
        <item m="1" x="3229"/>
        <item m="1" x="1095"/>
        <item m="1" x="603"/>
        <item m="1" x="2828"/>
        <item m="1" x="370"/>
        <item m="1" x="2959"/>
        <item m="1" x="918"/>
        <item m="1" x="2965"/>
        <item m="1" x="1064"/>
        <item m="1" x="684"/>
        <item m="1" x="428"/>
        <item m="1" x="1787"/>
        <item m="1" x="928"/>
        <item m="1" x="1456"/>
        <item m="1" x="2245"/>
        <item m="1" x="2744"/>
        <item m="1" x="2321"/>
        <item m="1" x="3051"/>
        <item m="1" x="573"/>
        <item m="1" x="2791"/>
        <item m="1" x="3095"/>
        <item m="1" x="1501"/>
        <item m="1" x="2408"/>
        <item m="1" x="3232"/>
        <item m="1" x="2595"/>
        <item m="1" x="85"/>
        <item m="1" x="376"/>
        <item m="1" x="3123"/>
        <item m="1" x="564"/>
        <item m="1" x="2509"/>
        <item m="1" x="2966"/>
        <item m="1" x="252"/>
        <item m="1" x="2849"/>
        <item m="1" x="558"/>
        <item m="1" x="386"/>
        <item m="1" x="1057"/>
        <item m="1" x="1641"/>
        <item m="1" x="1911"/>
        <item m="1" x="2651"/>
        <item m="1" x="3150"/>
        <item m="1" x="1517"/>
        <item m="1" x="1507"/>
        <item m="1" x="2420"/>
        <item m="1" x="2873"/>
        <item m="1" x="753"/>
        <item m="1" x="881"/>
        <item m="1" x="2770"/>
        <item m="1" x="2421"/>
        <item m="1" x="258"/>
        <item m="1" x="777"/>
        <item m="1" x="2631"/>
        <item m="1" x="2678"/>
        <item m="1" x="2755"/>
        <item m="1" x="2391"/>
        <item m="1" x="1245"/>
        <item m="1" x="1499"/>
        <item m="1" x="3102"/>
        <item m="1" x="803"/>
        <item m="1" x="3242"/>
        <item m="1" x="2229"/>
        <item m="1" x="3239"/>
        <item m="1" x="2564"/>
        <item m="1" x="1703"/>
        <item m="1" x="1390"/>
        <item m="1" x="1769"/>
        <item m="1" x="174"/>
        <item m="1" x="653"/>
        <item m="1" x="998"/>
        <item m="1" x="3208"/>
        <item m="1" x="2599"/>
        <item m="1" x="2669"/>
        <item m="1" x="395"/>
        <item m="1" x="331"/>
        <item m="1" x="1461"/>
        <item m="1" x="2334"/>
        <item m="1" x="447"/>
        <item m="1" x="1087"/>
        <item m="1" x="2326"/>
        <item m="1" x="2252"/>
        <item m="1" x="1780"/>
        <item m="1" x="2227"/>
        <item m="1" x="2329"/>
        <item m="1" x="2308"/>
        <item m="1" x="2134"/>
        <item m="1" x="2116"/>
        <item m="1" x="2491"/>
        <item m="1" x="285"/>
        <item m="1" x="2228"/>
        <item m="1" x="353"/>
        <item m="1" x="1969"/>
        <item m="1" x="1557"/>
        <item m="1" x="2152"/>
        <item m="1" x="2703"/>
        <item m="1" x="115"/>
        <item m="1" x="389"/>
        <item m="1" x="1537"/>
        <item m="1" x="1428"/>
        <item m="1" x="1333"/>
        <item m="1" x="2211"/>
        <item m="1" x="3148"/>
        <item m="1" x="2657"/>
        <item m="1" x="504"/>
        <item m="1" x="421"/>
        <item m="1" x="1304"/>
        <item m="1" x="2186"/>
        <item m="1" x="3126"/>
        <item m="1" x="2852"/>
        <item m="1" x="2117"/>
        <item m="1" x="1944"/>
        <item m="1" x="2802"/>
        <item m="1" x="1719"/>
        <item m="1" x="2222"/>
        <item m="1" x="1570"/>
        <item m="1" x="1904"/>
        <item m="1" x="1634"/>
        <item m="1" x="195"/>
        <item m="1" x="454"/>
        <item m="1" x="3117"/>
        <item m="1" x="95"/>
        <item m="1" x="1951"/>
        <item m="1" x="220"/>
        <item m="1" x="991"/>
        <item m="1" x="2540"/>
        <item m="1" x="2305"/>
        <item m="1" x="2774"/>
        <item m="1" x="2082"/>
        <item m="1" x="3128"/>
        <item m="1" x="1121"/>
        <item m="1" x="1392"/>
        <item m="1" x="768"/>
        <item m="1" x="1010"/>
        <item m="1" x="283"/>
        <item m="1" x="213"/>
        <item m="1" x="2169"/>
        <item m="1" x="1206"/>
        <item m="1" x="1166"/>
        <item m="1" x="2486"/>
        <item m="1" x="2469"/>
        <item m="1" x="2481"/>
        <item m="1" x="362"/>
        <item m="1" x="365"/>
        <item m="1" x="321"/>
        <item m="1" x="2905"/>
        <item m="1" x="2804"/>
        <item m="1" x="328"/>
        <item m="1" x="1302"/>
        <item m="1" x="868"/>
        <item m="1" x="731"/>
        <item m="1" x="937"/>
        <item m="1" x="805"/>
        <item m="1" x="2696"/>
        <item m="1" x="1026"/>
        <item m="1" x="3228"/>
        <item m="1" x="1697"/>
        <item m="1" x="1486"/>
        <item m="1" x="1419"/>
        <item m="1" x="975"/>
        <item m="1" x="1126"/>
        <item m="1" x="1022"/>
        <item m="1" x="1630"/>
        <item m="1" x="2640"/>
        <item m="1" x="3124"/>
        <item m="1" x="1883"/>
        <item m="1" x="725"/>
        <item m="1" x="2810"/>
        <item m="1" x="2633"/>
        <item m="1" x="900"/>
        <item m="1" x="497"/>
        <item m="1" x="288"/>
        <item m="1" x="1102"/>
        <item m="1" x="887"/>
        <item m="1" x="2568"/>
        <item m="1" x="2220"/>
        <item m="1" x="2381"/>
        <item m="1" x="2474"/>
        <item m="1" x="1821"/>
        <item m="1" x="1745"/>
        <item m="1" x="1777"/>
        <item m="1" x="2624"/>
        <item m="1" x="1995"/>
        <item m="1" x="1568"/>
        <item m="1" x="1147"/>
        <item m="1" x="1008"/>
        <item m="1" x="278"/>
        <item m="1" x="3043"/>
        <item m="1" x="2821"/>
        <item m="1" x="2585"/>
        <item m="1" x="1572"/>
        <item m="1" x="1518"/>
        <item m="1" x="734"/>
        <item m="1" x="2041"/>
        <item m="1" x="205"/>
        <item m="1" x="218"/>
        <item m="1" x="3288"/>
        <item m="1" x="2201"/>
        <item m="1" x="2681"/>
        <item m="1" x="1308"/>
        <item m="1" x="2853"/>
        <item x="1"/>
        <item m="1" x="2054"/>
        <item m="1" x="2197"/>
        <item m="1" x="1466"/>
        <item m="1" x="559"/>
        <item m="1" x="985"/>
        <item m="1" x="1767"/>
        <item m="1" x="1801"/>
        <item m="1" x="128"/>
        <item m="1" x="505"/>
        <item m="1" x="1021"/>
        <item m="1" x="2151"/>
        <item m="1" x="529"/>
        <item m="1" x="2673"/>
        <item m="1" x="707"/>
        <item m="1" x="714"/>
        <item m="1" x="1238"/>
        <item m="1" x="1394"/>
        <item m="1" x="194"/>
        <item m="1" x="2098"/>
        <item m="1" x="2591"/>
        <item m="1" x="196"/>
        <item m="1" x="2376"/>
        <item m="1" x="1687"/>
        <item m="1" x="1037"/>
        <item m="1" x="880"/>
        <item m="1" x="2709"/>
        <item m="1" x="1290"/>
        <item m="1" x="3312"/>
        <item m="1" x="2996"/>
        <item m="1" x="407"/>
        <item m="1" x="1594"/>
        <item m="1" x="2547"/>
        <item m="1" x="1075"/>
        <item m="1" x="146"/>
        <item m="1" x="2262"/>
        <item m="1" x="238"/>
        <item m="1" x="2024"/>
        <item m="1" x="291"/>
        <item m="1" x="249"/>
        <item m="1" x="560"/>
        <item m="1" x="1551"/>
        <item m="1" x="1718"/>
        <item m="1" x="204"/>
        <item m="1" x="2056"/>
        <item m="1" x="1319"/>
        <item m="1" x="1519"/>
        <item m="1" x="1348"/>
        <item m="1" x="1578"/>
        <item m="1" x="1747"/>
        <item m="1" x="2271"/>
        <item m="1" x="623"/>
        <item m="1" x="563"/>
        <item m="1" x="2224"/>
        <item m="1" x="1522"/>
        <item m="1" x="1624"/>
        <item m="1" x="3178"/>
        <item m="1" x="1191"/>
        <item m="1" x="1168"/>
        <item m="1" x="3130"/>
        <item m="1" x="1331"/>
        <item m="1" x="2985"/>
        <item m="1" x="1196"/>
        <item m="1" x="1091"/>
        <item m="1" x="674"/>
        <item m="1" x="1617"/>
        <item m="1" x="2291"/>
        <item m="1" x="680"/>
        <item m="1" x="2414"/>
        <item m="1" x="1472"/>
        <item m="1" x="1981"/>
        <item m="1" x="2667"/>
        <item m="1" x="1725"/>
        <item m="1" x="1359"/>
        <item m="1" x="2647"/>
        <item m="1" x="1225"/>
        <item m="1" x="2488"/>
        <item m="1" x="1620"/>
        <item m="1" x="3118"/>
        <item m="1" x="1669"/>
        <item m="1" x="2832"/>
        <item m="1" x="852"/>
        <item m="1" x="2290"/>
        <item m="1" x="616"/>
        <item m="1" x="956"/>
        <item m="1" x="2812"/>
        <item m="1" x="622"/>
        <item m="1" x="3012"/>
        <item m="1" x="3088"/>
        <item m="1" x="647"/>
        <item m="1" x="2675"/>
        <item m="1" x="479"/>
        <item m="1" x="2822"/>
        <item m="1" x="1373"/>
        <item m="1" x="2935"/>
        <item m="1" x="816"/>
        <item m="1" x="2304"/>
        <item m="1" x="2702"/>
        <item m="1" x="566"/>
        <item m="1" x="2178"/>
        <item m="1" x="2941"/>
        <item m="1" x="2969"/>
        <item m="1" x="677"/>
        <item m="1" x="1236"/>
        <item m="1" x="1044"/>
        <item m="1" x="1553"/>
        <item m="1" x="1743"/>
        <item m="1" x="466"/>
        <item m="1" x="1326"/>
        <item m="1" x="1068"/>
        <item m="1" x="2311"/>
        <item m="1" x="2102"/>
        <item m="1" x="2444"/>
        <item m="1" x="2555"/>
        <item m="1" x="533"/>
        <item m="1" x="2556"/>
        <item m="1" x="2963"/>
        <item m="1" x="902"/>
        <item m="1" x="948"/>
        <item m="1" x="2773"/>
        <item m="1" x="913"/>
        <item m="1" x="661"/>
        <item m="1" x="804"/>
        <item m="1" x="104"/>
        <item m="1" x="74"/>
        <item m="1" x="256"/>
        <item m="1" x="202"/>
        <item m="1" x="1211"/>
        <item m="1" x="1108"/>
        <item m="1" x="1408"/>
        <item m="1" x="922"/>
        <item m="1" x="3174"/>
        <item m="1" x="3215"/>
        <item m="1" x="3110"/>
        <item m="1" x="865"/>
        <item m="1" x="1230"/>
        <item m="1" x="2690"/>
        <item m="1" x="312"/>
        <item m="1" x="3071"/>
        <item m="1" x="1343"/>
        <item m="1" x="1700"/>
        <item m="1" x="1096"/>
        <item m="1" x="1841"/>
        <item m="1" x="3031"/>
        <item m="1" x="1757"/>
        <item m="1" x="412"/>
        <item m="1" x="1468"/>
        <item x="34"/>
        <item m="1" x="333"/>
        <item m="1" x="363"/>
        <item m="1" x="3015"/>
        <item m="1" x="2768"/>
        <item m="1" x="2605"/>
        <item m="1" x="2040"/>
        <item m="1" x="78"/>
        <item m="1" x="550"/>
        <item m="1" x="1949"/>
        <item m="1" x="2213"/>
        <item m="1" x="2364"/>
        <item m="1" x="874"/>
        <item m="1" x="2030"/>
        <item m="1" x="1429"/>
        <item m="1" x="1644"/>
        <item m="1" x="1945"/>
        <item m="1" x="2896"/>
        <item m="1" x="1330"/>
        <item m="1" x="2218"/>
        <item m="1" x="1377"/>
        <item m="1" x="2273"/>
        <item m="1" x="1740"/>
        <item m="1" x="2906"/>
        <item m="1" x="1335"/>
        <item m="1" x="1528"/>
        <item m="1" x="237"/>
        <item m="1" x="1782"/>
        <item m="1" x="2442"/>
        <item m="1" x="711"/>
        <item m="1" x="1514"/>
        <item m="1" x="1593"/>
        <item m="1" x="1867"/>
        <item m="1" x="1682"/>
        <item m="1" x="2395"/>
        <item m="1" x="595"/>
        <item m="1" x="589"/>
        <item m="1" x="2630"/>
        <item m="1" x="217"/>
        <item m="1" x="1762"/>
        <item m="1" x="1543"/>
        <item m="1" x="1047"/>
        <item m="1" x="1272"/>
        <item m="1" x="3034"/>
        <item m="1" x="1746"/>
        <item m="1" x="764"/>
        <item m="1" x="1383"/>
        <item m="1" x="1110"/>
        <item m="1" x="992"/>
        <item m="1" x="3250"/>
        <item m="1" x="473"/>
        <item m="1" x="997"/>
        <item m="1" x="1554"/>
        <item m="1" x="1837"/>
        <item m="1" x="3059"/>
        <item m="1" x="1763"/>
        <item m="1" x="2511"/>
        <item m="1" x="2796"/>
        <item m="1" x="337"/>
        <item m="1" x="2289"/>
        <item m="1" x="2727"/>
        <item m="1" x="2809"/>
        <item m="1" x="1497"/>
        <item m="1" x="1671"/>
        <item m="1" x="2984"/>
        <item m="1" x="302"/>
        <item m="1" x="1161"/>
        <item m="1" x="491"/>
        <item m="1" x="740"/>
        <item m="1" x="702"/>
        <item m="1" x="2836"/>
        <item m="1" x="2999"/>
        <item m="1" x="1962"/>
        <item m="1" x="1889"/>
        <item m="1" x="2084"/>
        <item m="1" x="1430"/>
        <item m="1" x="953"/>
        <item m="1" x="1851"/>
        <item m="1" x="1561"/>
        <item m="1" x="3026"/>
        <item m="1" x="569"/>
        <item m="1" x="306"/>
        <item m="1" x="2107"/>
        <item m="1" x="2504"/>
        <item m="1" x="1137"/>
        <item m="1" x="2880"/>
        <item m="1" x="1626"/>
        <item m="1" x="2128"/>
        <item m="1" x="2539"/>
        <item m="1" x="2136"/>
        <item m="1" x="1973"/>
        <item m="1" x="149"/>
        <item m="1" x="894"/>
        <item m="1" x="3167"/>
        <item m="1" x="3210"/>
        <item m="1" x="1071"/>
        <item m="1" x="2130"/>
        <item m="1" x="2977"/>
        <item m="1" x="1025"/>
        <item m="1" x="726"/>
        <item m="1" x="1054"/>
        <item m="1" x="225"/>
        <item m="1" x="1839"/>
        <item m="1" x="1960"/>
        <item m="1" x="1216"/>
        <item m="1" x="1582"/>
        <item m="1" x="3160"/>
        <item m="1" x="522"/>
        <item m="1" x="2588"/>
        <item m="1" x="2296"/>
        <item m="1" x="2982"/>
        <item m="1" x="2409"/>
        <item m="1" x="2124"/>
        <item m="1" x="2652"/>
        <item m="1" x="1661"/>
        <item m="1" x="2560"/>
        <item m="1" x="455"/>
        <item m="1" x="2843"/>
        <item m="1" x="142"/>
        <item m="1" x="2524"/>
        <item m="1" x="2844"/>
        <item m="1" x="2300"/>
        <item m="1" x="646"/>
        <item m="1" x="1367"/>
        <item m="1" x="1175"/>
        <item m="1" x="2366"/>
        <item m="1" x="488"/>
        <item m="1" x="836"/>
        <item m="1" x="1520"/>
        <item m="1" x="2960"/>
        <item m="1" x="1447"/>
        <item m="1" x="1414"/>
        <item m="1" x="2806"/>
        <item m="1" x="2068"/>
        <item m="1" x="2936"/>
        <item m="1" x="467"/>
        <item m="1" x="1124"/>
        <item m="1" x="329"/>
        <item m="1" x="1247"/>
        <item m="1" x="1089"/>
        <item m="1" x="448"/>
        <item m="1" x="1145"/>
        <item m="1" x="2993"/>
        <item m="1" x="201"/>
        <item m="1" x="3199"/>
        <item m="1" x="1420"/>
        <item m="1" x="2749"/>
        <item x="7"/>
        <item m="1" x="797"/>
        <item m="1" x="2752"/>
        <item m="1" x="1090"/>
        <item m="1" x="1760"/>
        <item m="1" x="2101"/>
        <item m="1" x="3308"/>
        <item m="1" x="3056"/>
        <item m="1" x="2057"/>
        <item m="1" x="2931"/>
        <item m="1" x="1477"/>
        <item m="1" x="2700"/>
        <item m="1" x="2519"/>
        <item m="1" x="2500"/>
        <item m="1" x="1489"/>
        <item m="1" x="1400"/>
        <item m="1" x="2254"/>
        <item m="1" x="110"/>
        <item m="1" x="157"/>
        <item m="1" x="2986"/>
        <item m="1" x="2763"/>
        <item m="1" x="886"/>
        <item m="1" x="644"/>
        <item m="1" x="367"/>
        <item m="1" x="643"/>
        <item m="1" x="494"/>
        <item m="1" x="3272"/>
        <item m="1" x="1629"/>
        <item m="1" x="72"/>
        <item m="1" x="939"/>
        <item m="1" x="1825"/>
        <item m="1" x="2840"/>
        <item m="1" x="2953"/>
        <item m="1" x="163"/>
        <item m="1" x="2761"/>
        <item m="1" x="2813"/>
        <item m="1" x="823"/>
        <item m="1" x="468"/>
        <item m="1" x="1362"/>
        <item m="1" x="879"/>
        <item m="1" x="1256"/>
        <item m="1" x="1848"/>
        <item m="1" x="93"/>
        <item m="1" x="1649"/>
        <item m="1" x="3156"/>
        <item m="1" x="2257"/>
        <item m="1" x="827"/>
        <item m="1" x="1881"/>
        <item m="1" x="587"/>
        <item m="1" x="1776"/>
        <item m="1" x="181"/>
        <item m="1" x="141"/>
        <item m="1" x="1584"/>
        <item m="1" x="2659"/>
        <item m="1" x="2157"/>
        <item m="1" x="1638"/>
        <item m="1" x="1790"/>
        <item m="1" x="1081"/>
        <item m="1" x="2436"/>
        <item m="1" x="938"/>
        <item m="1" x="947"/>
        <item m="1" x="2924"/>
        <item m="1" x="1033"/>
        <item m="1" x="3122"/>
        <item m="1" x="1865"/>
        <item m="1" x="431"/>
        <item m="1" x="611"/>
        <item m="1" x="1659"/>
        <item m="1" x="324"/>
        <item m="1" x="1714"/>
        <item m="1" x="1927"/>
        <item m="1" x="2465"/>
        <item m="1" x="758"/>
        <item m="1" x="3058"/>
        <item m="1" x="1602"/>
        <item m="1" x="2150"/>
        <item m="1" x="2998"/>
        <item m="1" x="945"/>
        <item m="1" x="1913"/>
        <item m="1" x="2747"/>
        <item m="1" x="2219"/>
        <item m="1" x="3137"/>
        <item m="1" x="415"/>
        <item m="1" x="3198"/>
        <item m="1" x="1426"/>
        <item m="1" x="2990"/>
        <item m="1" x="2280"/>
        <item m="1" x="1018"/>
        <item m="1" x="2485"/>
        <item m="1" x="268"/>
        <item m="1" x="134"/>
        <item m="1" x="315"/>
        <item m="1" x="2792"/>
        <item m="1" x="2684"/>
        <item m="1" x="2862"/>
        <item m="1" x="88"/>
        <item m="1" x="2845"/>
        <item m="1" x="1806"/>
        <item m="1" x="3133"/>
        <item m="1" x="2016"/>
        <item m="1" x="1134"/>
        <item m="1" x="1305"/>
        <item m="1" x="1342"/>
        <item m="1" x="1658"/>
        <item m="1" x="3295"/>
        <item m="1" x="1898"/>
        <item m="1" x="851"/>
        <item m="1" x="897"/>
        <item m="1" x="1997"/>
        <item m="1" x="484"/>
        <item m="1" x="3297"/>
        <item m="1" x="1986"/>
        <item m="1" x="2162"/>
        <item m="1" x="1741"/>
        <item m="1" x="1580"/>
        <item m="1" x="1701"/>
        <item m="1" x="469"/>
        <item m="1" x="2583"/>
        <item m="1" x="1099"/>
        <item m="1" x="599"/>
        <item m="1" x="156"/>
        <item m="1" x="1198"/>
        <item m="1" x="854"/>
        <item m="1" x="2794"/>
        <item m="1" x="1606"/>
        <item m="1" x="413"/>
        <item m="1" x="895"/>
        <item m="1" x="1689"/>
        <item m="1" x="1078"/>
        <item m="1" x="637"/>
        <item m="1" x="2039"/>
        <item m="1" x="2886"/>
        <item m="1" x="1662"/>
        <item m="1" x="1177"/>
        <item m="1" x="2495"/>
        <item m="1" x="2275"/>
        <item m="1" x="612"/>
        <item m="1" x="652"/>
        <item m="1" x="2529"/>
        <item m="1" x="553"/>
        <item m="1" x="794"/>
        <item m="1" x="2720"/>
        <item m="1" x="2242"/>
        <item m="1" x="1340"/>
        <item m="1" x="3063"/>
        <item m="1" x="1481"/>
        <item m="1" x="3013"/>
        <item m="1" x="352"/>
        <item m="1" x="452"/>
        <item m="1" x="272"/>
        <item m="1" x="471"/>
        <item m="1" x="2026"/>
        <item m="1" x="800"/>
        <item m="1" x="2446"/>
        <item m="1" x="2992"/>
        <item m="1" x="876"/>
        <item m="1" x="870"/>
        <item m="1" x="3260"/>
        <item m="1" x="2751"/>
        <item m="1" x="1894"/>
        <item m="1" x="3070"/>
        <item m="1" x="1855"/>
        <item m="1" x="2422"/>
        <item m="1" x="1282"/>
        <item m="1" x="2868"/>
        <item m="1" x="1284"/>
        <item m="1" x="1739"/>
        <item m="1" x="1640"/>
        <item m="1" x="2277"/>
        <item m="1" x="1351"/>
        <item m="1" x="255"/>
        <item m="1" x="970"/>
        <item m="1" x="1627"/>
        <item m="1" x="3241"/>
        <item m="1" x="1915"/>
        <item m="1" x="1214"/>
        <item m="1" x="1618"/>
        <item m="1" x="1647"/>
        <item m="1" x="397"/>
        <item m="1" x="1187"/>
        <item m="1" x="1482"/>
        <item m="1" x="3131"/>
        <item m="1" x="2259"/>
        <item m="1" x="135"/>
        <item m="1" x="507"/>
        <item m="1" x="2838"/>
        <item m="1" x="692"/>
        <item m="1" x="1127"/>
        <item m="1" x="568"/>
        <item m="1" x="862"/>
        <item m="1" x="670"/>
        <item m="1" x="1702"/>
        <item m="1" x="2608"/>
        <item m="1" x="3097"/>
        <item m="1" x="3030"/>
        <item m="1" x="1540"/>
        <item m="1" x="1364"/>
        <item m="1" x="3305"/>
        <item m="1" x="1106"/>
        <item m="1" x="2601"/>
        <item m="1" x="2319"/>
        <item m="1" x="1027"/>
        <item m="1" x="1603"/>
        <item m="1" x="1982"/>
        <item m="1" x="1164"/>
        <item m="1" x="1512"/>
        <item m="1" x="1562"/>
        <item m="1" x="3151"/>
        <item m="1" x="3188"/>
        <item m="1" x="1000"/>
        <item m="1" x="393"/>
        <item m="1" x="538"/>
        <item m="1" x="924"/>
        <item m="1" x="2775"/>
        <item m="1" x="3100"/>
        <item m="1" x="2375"/>
        <item m="1" x="2307"/>
        <item m="1" x="2348"/>
        <item m="1" x="2165"/>
        <item m="1" x="1051"/>
        <item m="1" x="1495"/>
        <item m="1" x="1815"/>
        <item m="1" x="1504"/>
        <item m="1" x="2478"/>
        <item m="1" x="2499"/>
        <item m="1" x="582"/>
        <item m="1" x="361"/>
        <item m="1" x="2722"/>
        <item m="1" x="1716"/>
        <item m="1" x="2607"/>
        <item m="1" x="545"/>
        <item x="17"/>
        <item m="1" x="2338"/>
        <item m="1" x="820"/>
        <item m="1" x="1332"/>
        <item m="1" x="2184"/>
        <item m="1" x="2328"/>
        <item m="1" x="837"/>
        <item m="1" x="839"/>
        <item m="1" x="848"/>
        <item m="1" x="931"/>
        <item m="1" x="2139"/>
        <item m="1" x="2046"/>
        <item m="1" x="1772"/>
        <item m="1" x="336"/>
        <item m="1" x="418"/>
        <item m="1" x="1491"/>
        <item m="1" x="3005"/>
        <item m="1" x="83"/>
        <item m="1" x="2617"/>
        <item m="1" x="449"/>
        <item m="1" x="2158"/>
        <item m="1" x="1670"/>
        <item m="1" x="2454"/>
        <item m="1" x="2462"/>
        <item m="1" x="666"/>
        <item m="1" x="810"/>
        <item m="1" x="2067"/>
        <item m="1" x="1880"/>
        <item m="1" x="1567"/>
        <item m="1" x="2106"/>
        <item m="1" x="1872"/>
        <item m="1" x="1558"/>
        <item m="1" x="2851"/>
        <item x="57"/>
        <item m="1" x="1942"/>
        <item m="1" x="1239"/>
        <item m="1" x="2483"/>
        <item m="1" x="1515"/>
        <item m="1" x="3046"/>
        <item m="1" x="1934"/>
        <item m="1" x="3196"/>
        <item m="1" x="2718"/>
        <item m="1" x="1541"/>
        <item m="1" x="242"/>
        <item m="1" x="1529"/>
        <item m="1" x="1984"/>
        <item m="1" x="113"/>
        <item m="1" x="1546"/>
        <item m="1" x="1158"/>
        <item m="1" x="282"/>
        <item m="1" x="1761"/>
        <item m="1" x="1953"/>
        <item m="1" x="606"/>
        <item m="1" x="2602"/>
        <item m="1" x="2145"/>
        <item m="1" x="247"/>
        <item m="1" x="2901"/>
        <item m="1" x="1059"/>
        <item m="1" x="2820"/>
        <item m="1" x="2168"/>
        <item m="1" x="1656"/>
        <item m="1" x="2198"/>
        <item m="1" x="1017"/>
        <item m="1" x="2592"/>
        <item m="1" x="3172"/>
        <item m="1" x="2648"/>
        <item m="1" x="1544"/>
        <item m="1" x="403"/>
        <item m="1" x="2831"/>
        <item m="1" x="2937"/>
        <item m="1" x="1612"/>
        <item m="1" x="123"/>
        <item m="1" x="1470"/>
        <item m="1" x="359"/>
        <item m="1" x="464"/>
        <item m="1" x="955"/>
        <item m="1" x="927"/>
        <item m="1" x="1464"/>
        <item m="1" x="2133"/>
        <item m="1" x="2138"/>
        <item m="1" x="2143"/>
        <item m="1" x="1300"/>
        <item m="1" x="1980"/>
        <item m="1" x="1003"/>
        <item m="1" x="1590"/>
        <item m="1" x="2622"/>
        <item m="1" x="330"/>
        <item m="1" x="869"/>
        <item m="1" x="871"/>
        <item m="1" x="506"/>
        <item m="1" x="2066"/>
        <item m="1" x="1921"/>
        <item m="1" x="2309"/>
        <item m="1" x="1063"/>
        <item m="1" x="2127"/>
        <item m="1" x="439"/>
        <item m="1" x="301"/>
        <item m="1" x="1636"/>
        <item m="1" x="1285"/>
        <item m="1" x="921"/>
        <item m="1" x="3062"/>
        <item m="1" x="1788"/>
        <item m="1" x="1622"/>
        <item m="1" x="373"/>
        <item m="1" x="124"/>
        <item m="1" x="2196"/>
        <item m="1" x="792"/>
        <item m="1" x="628"/>
        <item m="1" x="120"/>
        <item m="1" x="1930"/>
        <item m="1" x="748"/>
        <item m="1" x="2644"/>
        <item m="1" x="1928"/>
        <item m="1" x="2569"/>
        <item m="1" x="2570"/>
        <item m="1" x="210"/>
        <item m="1" x="2520"/>
        <item m="1" x="3135"/>
        <item m="1" x="1905"/>
        <item m="1" x="2439"/>
        <item m="1" x="3052"/>
        <item m="1" x="2904"/>
        <item m="1" x="1693"/>
        <item m="1" x="2031"/>
        <item m="1" x="586"/>
        <item m="1" x="2538"/>
        <item m="1" x="427"/>
        <item m="1" x="699"/>
        <item m="1" x="211"/>
        <item m="1" x="782"/>
        <item m="1" x="1483"/>
        <item m="1" x="2577"/>
        <item m="1" x="514"/>
        <item m="1" x="1826"/>
        <item m="1" x="960"/>
        <item m="1" x="1717"/>
        <item m="1" x="1531"/>
        <item m="1" x="2891"/>
        <item m="1" x="1478"/>
        <item m="1" x="277"/>
        <item m="1" x="842"/>
        <item m="1" x="430"/>
        <item m="1" x="973"/>
        <item m="1" x="1676"/>
        <item m="1" x="2780"/>
        <item m="1" x="720"/>
        <item m="1" x="2419"/>
        <item m="1" x="3014"/>
        <item m="1" x="1526"/>
        <item m="1" x="2735"/>
        <item m="1" x="3304"/>
        <item m="1" x="1125"/>
        <item m="1" x="3112"/>
        <item m="1" x="802"/>
        <item m="1" x="1338"/>
        <item m="1" x="1237"/>
        <item m="1" x="952"/>
        <item m="1" x="1549"/>
        <item m="1" x="482"/>
        <item m="1" x="2758"/>
        <item m="1" x="1895"/>
        <item m="1" x="3278"/>
        <item m="1" x="3257"/>
        <item m="1" x="571"/>
        <item m="1" x="2336"/>
        <item m="1" x="296"/>
        <item m="1" x="853"/>
        <item m="1" x="2714"/>
        <item m="1" x="1843"/>
        <item m="1" x="1861"/>
        <item m="1" x="3165"/>
        <item m="1" x="273"/>
        <item m="1" x="1186"/>
        <item m="1" x="950"/>
        <item m="1" x="534"/>
        <item m="1" x="3299"/>
        <item m="1" x="457"/>
        <item m="1" x="1334"/>
        <item m="1" x="2396"/>
        <item m="1" x="102"/>
        <item m="1" x="2258"/>
        <item m="1" x="1417"/>
        <item m="1" x="705"/>
        <item x="33"/>
        <item x="12"/>
        <item m="1" x="773"/>
        <item m="1" x="2005"/>
        <item m="1" x="3060"/>
        <item m="1" x="3154"/>
        <item m="1" x="2759"/>
        <item m="1" x="2814"/>
        <item m="1" x="1296"/>
        <item m="1" x="1289"/>
        <item m="1" x="1156"/>
        <item m="1" x="1530"/>
        <item m="1" x="209"/>
        <item m="1" x="2118"/>
        <item m="1" x="244"/>
        <item m="1" x="458"/>
        <item m="1" x="1893"/>
        <item m="1" x="3217"/>
        <item m="1" x="1887"/>
        <item m="1" x="1613"/>
        <item m="1" x="1907"/>
        <item m="1" x="3029"/>
        <item m="1" x="527"/>
        <item m="1" x="2441"/>
        <item m="1" x="2707"/>
        <item m="1" x="2445"/>
        <item m="1" x="2012"/>
        <item m="1" x="2729"/>
        <item m="1" x="2480"/>
        <item m="1" x="396"/>
        <item m="1" x="539"/>
        <item m="1" x="3300"/>
        <item m="1" x="3129"/>
        <item m="1" x="2632"/>
        <item m="1" x="2089"/>
        <item m="1" x="1652"/>
        <item m="1" x="456"/>
        <item m="1" x="3022"/>
        <item m="1" x="1253"/>
        <item m="1" x="3181"/>
        <item m="1" x="2144"/>
        <item m="1" x="2708"/>
        <item m="1" x="1943"/>
        <item m="1" x="80"/>
        <item m="1" x="2594"/>
        <item m="1" x="1494"/>
        <item m="1" x="442"/>
        <item m="1" x="3296"/>
        <item m="1" x="1941"/>
        <item m="1" x="2578"/>
        <item m="1" x="1098"/>
        <item m="1" x="1813"/>
        <item m="1" x="601"/>
        <item m="1" x="1350"/>
        <item m="1" x="583"/>
        <item m="1" x="2616"/>
        <item m="1" x="733"/>
        <item m="1" x="459"/>
        <item m="1" x="2505"/>
        <item m="1" x="3234"/>
        <item m="1" x="2292"/>
        <item m="1" x="542"/>
        <item m="1" x="923"/>
        <item m="1" x="1446"/>
        <item m="1" x="914"/>
        <item m="1" x="3076"/>
        <item m="1" x="2858"/>
        <item m="1" x="2739"/>
        <item m="1" x="1252"/>
        <item m="1" x="1368"/>
        <item m="1" x="2223"/>
        <item m="1" x="2404"/>
        <item m="1" x="166"/>
        <item m="1" x="3324"/>
        <item m="1" x="2261"/>
        <item m="1" x="3080"/>
        <item m="1" x="690"/>
        <item m="1" x="2389"/>
        <item m="1" x="1185"/>
        <item m="1" x="2241"/>
        <item m="1" x="1375"/>
        <item m="1" x="2111"/>
        <item m="1" x="3141"/>
        <item m="1" x="1808"/>
        <item m="1" x="1493"/>
        <item m="1" x="290"/>
        <item m="1" x="1347"/>
        <item m="1" x="860"/>
        <item m="1" x="1935"/>
        <item m="1" x="2036"/>
        <item m="1" x="3113"/>
        <item m="1" x="2387"/>
        <item m="1" x="2450"/>
        <item m="1" x="672"/>
        <item m="1" x="1503"/>
        <item m="1" x="3223"/>
        <item m="1" x="2732"/>
        <item m="1" x="1320"/>
        <item m="1" x="2914"/>
        <item m="1" x="109"/>
        <item m="1" x="3093"/>
        <item m="1" x="2037"/>
        <item m="1" x="2514"/>
        <item m="1" x="346"/>
        <item m="1" x="1117"/>
        <item m="1" x="2007"/>
        <item m="1" x="1277"/>
        <item m="1" x="2642"/>
        <item m="1" x="685"/>
        <item m="1" x="3035"/>
        <item m="1" x="3158"/>
        <item m="1" x="704"/>
        <item m="1" x="3145"/>
        <item m="1" x="2721"/>
        <item m="1" x="2579"/>
        <item m="1" x="2377"/>
        <item m="1" x="366"/>
        <item m="1" x="523"/>
        <item m="1" x="818"/>
        <item m="1" x="470"/>
        <item m="1" x="499"/>
        <item m="1" x="259"/>
        <item m="1" x="2523"/>
        <item m="1" x="3264"/>
        <item m="1" x="1398"/>
        <item m="1" x="2131"/>
        <item m="1" x="1200"/>
        <item m="1" x="2398"/>
        <item m="1" x="235"/>
        <item m="1" x="1987"/>
        <item m="1" x="478"/>
        <item m="1" x="443"/>
        <item m="1" x="3271"/>
        <item m="1" x="1323"/>
        <item m="1" x="1072"/>
        <item m="1" x="2715"/>
        <item m="1" x="3018"/>
        <item m="1" x="855"/>
        <item m="1" x="577"/>
        <item m="1" x="754"/>
        <item m="1" x="1197"/>
        <item m="1" x="977"/>
        <item m="1" x="171"/>
        <item m="1" x="2003"/>
        <item m="1" x="2530"/>
        <item m="1" x="1084"/>
        <item m="1" x="2738"/>
        <item m="1" x="665"/>
        <item m="1" x="2534"/>
        <item m="1" x="1036"/>
        <item m="1" x="2743"/>
        <item m="1" x="2231"/>
        <item m="1" x="1789"/>
        <item m="1" x="512"/>
        <item m="1" x="81"/>
        <item m="1" x="747"/>
        <item m="1" x="701"/>
        <item m="1" x="1600"/>
        <item m="1" x="2064"/>
        <item m="1" x="718"/>
        <item m="1" x="1339"/>
        <item m="1" x="2846"/>
        <item m="1" x="188"/>
        <item m="1" x="1007"/>
        <item m="1" x="2468"/>
        <item m="1" x="1750"/>
        <item m="1" x="2492"/>
        <item m="1" x="2899"/>
        <item m="1" x="3073"/>
        <item m="1" x="1371"/>
        <item m="1" x="3248"/>
        <item m="1" x="2193"/>
        <item m="1" x="2912"/>
        <item m="1" x="1906"/>
        <item m="1" x="3147"/>
        <item m="1" x="863"/>
        <item m="1" x="2861"/>
        <item m="1" x="105"/>
        <item m="1" x="2019"/>
        <item m="1" x="2857"/>
        <item m="1" x="626"/>
        <item m="1" x="1207"/>
        <item m="1" x="549"/>
        <item m="1" x="2731"/>
        <item m="1" x="1001"/>
        <item m="1" x="3023"/>
        <item m="1" x="2081"/>
        <item m="1" x="2957"/>
        <item m="1" x="3177"/>
        <item m="1" x="1704"/>
        <item m="1" x="759"/>
        <item m="1" x="594"/>
        <item m="1" x="1454"/>
        <item m="1" x="2543"/>
        <item m="1" x="2510"/>
        <item m="1" x="1824"/>
        <item m="1" x="3220"/>
        <item m="1" x="2867"/>
        <item m="1" x="1555"/>
        <item m="1" x="1297"/>
        <item m="1" x="2795"/>
        <item m="1" x="2558"/>
        <item m="1" x="250"/>
        <item m="1" x="1382"/>
        <item m="1" x="1255"/>
        <item m="1" x="118"/>
        <item m="1" x="1939"/>
        <item m="1" x="1850"/>
        <item m="1" x="2949"/>
        <item m="1" x="1783"/>
        <item m="1" x="915"/>
        <item m="1" x="414"/>
        <item m="1" x="675"/>
        <item m="1" x="1677"/>
        <item m="1" x="2397"/>
        <item m="1" x="2100"/>
        <item m="1" x="671"/>
        <item m="1" x="338"/>
        <item m="1" x="537"/>
        <item m="1" x="130"/>
        <item m="1" x="1524"/>
        <item m="1" x="2994"/>
        <item m="1" x="1341"/>
        <item m="1" x="1004"/>
        <item m="1" x="3274"/>
        <item m="1" x="1046"/>
        <item m="1" x="1201"/>
        <item m="1" x="2078"/>
        <item m="1" x="1637"/>
        <item m="1" x="2327"/>
        <item m="1" x="3183"/>
        <item m="1" x="1479"/>
        <item m="1" x="2628"/>
        <item m="1" x="1860"/>
        <item m="1" x="2762"/>
        <item m="1" x="920"/>
        <item m="1" x="2286"/>
        <item x="37"/>
        <item m="1" x="716"/>
        <item m="1" x="1957"/>
        <item m="1" x="1770"/>
        <item m="1" x="2279"/>
        <item m="1" x="2535"/>
        <item m="1" x="2922"/>
        <item m="1" x="3049"/>
        <item m="1" x="2473"/>
        <item m="1" x="2390"/>
        <item m="1" x="503"/>
        <item m="1" x="2470"/>
        <item m="1" x="2105"/>
        <item m="1" x="872"/>
        <item m="1" x="1598"/>
        <item m="1" x="1386"/>
        <item m="1" x="1435"/>
        <item m="1" x="2629"/>
        <item m="1" x="423"/>
        <item m="1" x="1800"/>
        <item m="1" x="752"/>
        <item m="1" x="2637"/>
        <item m="1" x="591"/>
        <item m="1" x="867"/>
        <item m="1" x="2923"/>
        <item m="1" x="2546"/>
        <item m="1" x="2928"/>
        <item m="1" x="2950"/>
        <item m="1" x="177"/>
        <item m="1" x="2976"/>
        <item m="1" x="2368"/>
        <item m="1" x="3265"/>
        <item m="1" x="2769"/>
        <item m="1" x="2027"/>
        <item m="1" x="2120"/>
        <item m="1" x="745"/>
        <item m="1" x="1321"/>
        <item m="1" x="1202"/>
        <item m="1" x="1786"/>
        <item m="1" x="224"/>
        <item m="1" x="687"/>
        <item m="1" x="243"/>
        <item m="1" x="1425"/>
        <item m="1" x="2649"/>
        <item m="1" x="345"/>
        <item m="1" x="2207"/>
        <item m="1" x="650"/>
        <item m="1" x="2187"/>
        <item m="1" x="2113"/>
        <item m="1" x="3236"/>
        <item m="1" x="2344"/>
        <item m="1" x="1267"/>
        <item m="1" x="1310"/>
        <item m="1" x="463"/>
        <item m="1" x="322"/>
        <item m="1" x="2438"/>
        <item m="1" x="3101"/>
        <item m="1" x="651"/>
        <item m="1" x="1159"/>
        <item m="1" x="776"/>
        <item m="1" x="2975"/>
        <item m="1" x="2584"/>
        <item m="1" x="1337"/>
        <item m="1" x="1303"/>
        <item m="1" x="2580"/>
        <item m="1" x="398"/>
        <item m="1" x="1490"/>
        <item m="1" x="3301"/>
        <item m="1" x="2108"/>
        <item m="1" x="2951"/>
        <item m="1" x="162"/>
        <item m="1" x="1963"/>
        <item m="1" x="518"/>
        <item m="1" x="1792"/>
        <item m="1" x="1270"/>
        <item m="1" x="2385"/>
        <item m="1" x="1884"/>
        <item m="1" x="1919"/>
        <item m="1" x="2447"/>
        <item m="1" x="2362"/>
        <item m="1" x="2017"/>
        <item m="1" x="2508"/>
        <item m="1" x="2536"/>
        <item m="1" x="1755"/>
        <item m="1" x="888"/>
        <item m="1" x="2072"/>
        <item m="1" x="1012"/>
        <item m="1" x="856"/>
        <item m="1" x="1188"/>
        <item m="1" x="2697"/>
        <item m="1" x="2581"/>
        <item m="1" x="2864"/>
        <item m="1" x="1050"/>
        <item m="1" x="1450"/>
        <item m="1" x="200"/>
        <item m="1" x="2698"/>
        <item m="1" x="176"/>
        <item m="1" x="2088"/>
        <item m="1" x="1599"/>
        <item m="1" x="1708"/>
        <item m="1" x="84"/>
        <item m="1" x="746"/>
        <item m="1" x="1219"/>
        <item m="1" x="755"/>
        <item m="1" x="882"/>
        <item m="1" x="642"/>
        <item m="1" x="1411"/>
        <item m="1" x="1866"/>
        <item m="1" x="2049"/>
        <item m="1" x="1764"/>
        <item m="1" x="2787"/>
        <item m="1" x="441"/>
        <item m="1" x="662"/>
        <item m="1" x="1292"/>
        <item m="1" x="2850"/>
        <item m="1" x="635"/>
        <item m="1" x="409"/>
        <item m="1" x="588"/>
        <item m="1" x="2834"/>
        <item m="1" x="1999"/>
        <item m="1" x="2541"/>
        <item m="1" x="1709"/>
        <item m="1" x="2206"/>
        <item m="1" x="1910"/>
        <item m="1" x="114"/>
        <item m="1" x="191"/>
        <item m="1" x="140"/>
        <item m="1" x="744"/>
        <item m="1" x="1157"/>
        <item m="1" x="1229"/>
        <item m="1" x="1019"/>
        <item m="1" x="1257"/>
        <item m="1" x="2172"/>
        <item m="1" x="2557"/>
        <item m="1" x="1301"/>
        <item m="1" x="2566"/>
        <item m="1" x="2587"/>
        <item m="1" x="617"/>
        <item m="1" x="2988"/>
        <item m="1" x="2908"/>
        <item m="1" x="824"/>
        <item m="1" x="592"/>
        <item m="1" x="492"/>
        <item m="1" x="246"/>
        <item m="1" x="1834"/>
        <item m="1" x="1015"/>
        <item m="1" x="2225"/>
        <item m="1" x="786"/>
        <item m="1" x="719"/>
        <item m="1" x="2216"/>
        <item m="1" x="280"/>
        <item m="1" x="2475"/>
        <item m="1" x="536"/>
        <item m="1" x="2270"/>
        <item m="1" x="3309"/>
        <item m="1" x="1542"/>
        <item x="19"/>
        <item m="1" x="619"/>
        <item x="20"/>
        <item m="1" x="417"/>
        <item m="1" x="965"/>
        <item x="21"/>
        <item m="1" x="234"/>
        <item m="1" x="1532"/>
        <item m="1" x="1422"/>
        <item m="1" x="866"/>
        <item m="1" x="164"/>
        <item m="1" x="3016"/>
        <item m="1" x="630"/>
        <item m="1" x="2303"/>
        <item m="1" x="2266"/>
        <item m="1" x="686"/>
        <item m="1" x="3068"/>
        <item m="1" x="532"/>
        <item m="1" x="2281"/>
        <item m="1" x="2803"/>
        <item m="1" x="3003"/>
        <item m="1" x="3115"/>
        <item m="1" x="1900"/>
        <item m="1" x="2137"/>
        <item m="1" x="432"/>
        <item m="1" x="356"/>
        <item m="1" x="694"/>
        <item m="1" x="3084"/>
        <item m="1" x="1635"/>
        <item m="1" x="1831"/>
        <item m="1" x="2710"/>
        <item m="1" x="1781"/>
        <item m="1" x="513"/>
        <item m="1" x="2430"/>
        <item m="1" x="3222"/>
        <item m="1" x="1920"/>
        <item m="1" x="2574"/>
        <item m="1" x="2156"/>
        <item m="1" x="1011"/>
        <item m="1" x="3182"/>
        <item m="1" x="1500"/>
        <item m="1" x="2332"/>
        <item m="1" x="2979"/>
        <item m="1" x="1535"/>
        <item m="1" x="1573"/>
        <item m="1" x="1105"/>
        <item m="1" x="286"/>
        <item m="1" x="1093"/>
        <item m="1" x="167"/>
        <item m="1" x="1403"/>
        <item m="1" x="2009"/>
        <item m="1" x="2987"/>
        <item m="1" x="2384"/>
        <item m="1" x="2109"/>
        <item m="1" x="1985"/>
        <item m="1" x="1667"/>
        <item m="1" x="3065"/>
        <item m="1" x="2798"/>
        <item m="1" x="2856"/>
        <item m="1" x="2818"/>
        <item m="1" x="305"/>
        <item m="1" x="2604"/>
        <item m="1" x="1432"/>
        <item m="1" x="2074"/>
        <item m="1" x="1241"/>
        <item m="1" x="1318"/>
        <item m="1" x="206"/>
        <item m="1" x="1006"/>
        <item m="1" x="861"/>
        <item m="1" x="1751"/>
        <item m="1" x="3325"/>
        <item m="1" x="1956"/>
        <item m="1" x="187"/>
        <item m="1" x="2119"/>
        <item m="1" x="1646"/>
        <item m="1" x="2413"/>
        <item m="1" x="2114"/>
        <item m="1" x="917"/>
        <item m="1" x="1140"/>
        <item m="1" x="2606"/>
        <item m="1" x="2427"/>
        <item m="1" x="864"/>
        <item m="1" x="567"/>
        <item m="1" x="604"/>
        <item m="1" x="2666"/>
        <item m="1" x="2842"/>
        <item m="1" x="999"/>
        <item m="1" x="2537"/>
        <item m="1" x="3079"/>
        <item m="1" x="3194"/>
        <item m="1" x="2260"/>
        <item m="1" x="1852"/>
        <item m="1" x="2894"/>
        <item m="1" x="1369"/>
        <item m="1" x="1190"/>
        <item m="1" x="2045"/>
        <item m="1" x="969"/>
        <item m="1" x="2711"/>
        <item m="1" x="1444"/>
        <item m="1" x="3316"/>
        <item m="1" x="1675"/>
        <item m="1" x="197"/>
        <item m="1" x="2544"/>
        <item m="1" x="1947"/>
        <item m="1" x="2871"/>
        <item m="1" x="515"/>
        <item m="1" x="2182"/>
        <item m="1" x="2611"/>
        <item m="1" x="2235"/>
        <item m="1" x="602"/>
        <item m="1" x="535"/>
        <item m="1" x="787"/>
        <item m="1" x="1991"/>
        <item m="1" x="2921"/>
        <item m="1" x="2496"/>
        <item m="1" x="715"/>
        <item m="1" x="2494"/>
        <item m="1" x="2502"/>
        <item m="1" x="835"/>
        <item m="1" x="801"/>
        <item m="1" x="2099"/>
        <item m="1" x="73"/>
        <item m="1" x="408"/>
        <item m="1" x="700"/>
        <item m="1" x="1965"/>
        <item m="1" x="1380"/>
        <item m="1" x="2918"/>
        <item m="1" x="812"/>
        <item m="1" x="1723"/>
        <item m="1" x="2001"/>
        <item m="1" x="1592"/>
        <item m="1" x="3187"/>
        <item m="1" x="2287"/>
        <item m="1" x="2440"/>
        <item m="1" x="1069"/>
        <item m="1" x="2004"/>
        <item m="1" x="729"/>
        <item m="1" x="1917"/>
        <item m="1" x="1869"/>
        <item m="1" x="207"/>
        <item m="1" x="1151"/>
        <item m="1" x="274"/>
        <item m="1" x="1438"/>
        <item m="1" x="438"/>
        <item m="1" x="519"/>
        <item m="1" x="1254"/>
        <item m="1" x="2533"/>
        <item m="1" x="2964"/>
        <item m="1" x="1014"/>
        <item m="1" x="2876"/>
        <item m="1" x="1653"/>
        <item m="1" x="1260"/>
        <item m="1" x="1043"/>
        <item m="1" x="1779"/>
        <item m="1" x="2614"/>
        <item m="1" x="254"/>
        <item m="1" x="1384"/>
        <item m="1" x="3064"/>
        <item m="1" x="2615"/>
        <item m="1" x="1856"/>
        <item m="1" x="3116"/>
        <item m="1" x="1070"/>
        <item m="1" x="2356"/>
        <item m="1" x="1576"/>
        <item m="1" x="3086"/>
        <item m="1" x="3322"/>
        <item m="1" x="1233"/>
        <item m="1" x="909"/>
        <item m="1" x="392"/>
        <item m="1" x="1715"/>
        <item m="1" x="1273"/>
        <item m="1" x="2559"/>
        <item m="1" x="3004"/>
        <item m="1" x="1929"/>
        <item m="1" x="526"/>
        <item m="1" x="605"/>
        <item m="1" x="1179"/>
        <item m="1" x="2038"/>
        <item m="1" x="2359"/>
        <item m="1" x="1948"/>
        <item m="1" x="2736"/>
        <item m="1" x="3298"/>
        <item m="1" x="2233"/>
        <item m="1" x="1101"/>
        <item m="1" x="989"/>
        <item m="1" x="1094"/>
        <item m="1" x="2415"/>
        <item m="1" x="766"/>
        <item m="1" x="1994"/>
        <item m="1" x="1346"/>
        <item m="1" x="2379"/>
        <item m="1" x="275"/>
        <item m="1" x="3238"/>
        <item m="1" x="2324"/>
        <item m="1" x="184"/>
        <item m="1" x="1748"/>
        <item m="1" x="1678"/>
        <item m="1" x="1485"/>
        <item m="1" x="2991"/>
        <item m="1" x="2902"/>
        <item m="1" x="509"/>
        <item m="1" x="2885"/>
        <item m="1" x="2479"/>
        <item m="1" x="2355"/>
        <item m="1" x="1784"/>
        <item m="1" x="1097"/>
        <item m="1" x="1406"/>
        <item m="1" x="524"/>
        <item m="1" x="2077"/>
        <item m="1" x="2352"/>
        <item m="1" x="2283"/>
        <item m="1" x="416"/>
        <item m="1" x="508"/>
        <item m="1" x="1123"/>
        <item m="1" x="2253"/>
        <item m="1" x="2997"/>
        <item m="1" x="2086"/>
        <item m="1" x="640"/>
        <item m="1" x="2621"/>
        <item m="1" x="3255"/>
        <item m="1" x="1437"/>
        <item m="1" x="1616"/>
        <item m="1" x="444"/>
        <item m="1" x="2431"/>
        <item m="1" x="3281"/>
        <item m="1" x="1830"/>
        <item m="1" x="2927"/>
        <item m="1" x="2457"/>
        <item m="1" x="1136"/>
        <item m="1" x="988"/>
        <item m="1" x="607"/>
        <item m="1" x="1416"/>
        <item m="1" x="717"/>
        <item m="1" x="487"/>
        <item m="1" x="2267"/>
        <item m="1" x="1879"/>
        <item m="1" x="2323"/>
        <item m="1" x="1086"/>
        <item m="1" x="1222"/>
        <item m="1" x="2507"/>
        <item m="1" x="91"/>
        <item m="1" x="2811"/>
        <item m="1" x="1976"/>
        <item m="1" x="472"/>
        <item m="1" x="1735"/>
        <item m="1" x="3267"/>
        <item m="1" x="3273"/>
        <item m="1" x="2554"/>
        <item m="1" x="343"/>
        <item m="1" x="1311"/>
        <item m="1" x="1874"/>
        <item m="1" x="1441"/>
        <item m="1" x="2746"/>
        <item m="1" x="780"/>
        <item m="1" x="2874"/>
        <item m="1" x="2728"/>
        <item m="1" x="926"/>
        <item m="1" x="3212"/>
        <item m="1" x="2221"/>
        <item m="1" x="2349"/>
        <item m="1" x="3054"/>
        <item m="1" x="3149"/>
        <item m="1" x="3289"/>
        <item m="1" x="1258"/>
        <item m="1" x="1977"/>
        <item m="1" x="2243"/>
        <item m="1" x="2472"/>
        <item m="1" x="2925"/>
        <item m="1" x="1909"/>
        <item m="1" x="2022"/>
        <item m="1" x="910"/>
        <item m="1" x="3077"/>
        <item m="1" x="265"/>
        <item m="1" x="1611"/>
        <item m="1" x="935"/>
        <item m="1" x="627"/>
        <item m="1" x="2011"/>
        <item m="1" x="433"/>
        <item m="1" x="1633"/>
        <item m="1" x="1210"/>
        <item m="1" x="576"/>
        <item m="1" x="2897"/>
        <item m="1" x="600"/>
        <item m="1" x="185"/>
        <item m="1" x="2575"/>
        <item m="1" x="1707"/>
        <item m="1" x="995"/>
        <item m="1" x="798"/>
        <item m="1" x="3081"/>
        <item m="1" x="511"/>
        <item m="1" x="590"/>
        <item m="1" x="3119"/>
        <item m="1" x="2340"/>
        <item m="1" x="2200"/>
        <item m="1" x="289"/>
        <item m="1" x="2140"/>
        <item m="1" x="2766"/>
        <item m="1" x="1150"/>
        <item m="1" x="1508"/>
        <item m="1" x="2781"/>
        <item m="1" x="3061"/>
        <item m="1" x="2087"/>
        <item m="1" x="147"/>
        <item m="1" x="2025"/>
        <item m="1" x="342"/>
        <item m="1" x="2954"/>
        <item m="1" x="1294"/>
        <item m="1" x="2501"/>
        <item m="1" x="1031"/>
        <item m="1" x="401"/>
        <item m="1" x="3038"/>
        <item m="1" x="2298"/>
        <item m="1" x="1888"/>
        <item m="1" x="3103"/>
        <item m="1" x="554"/>
        <item m="1" x="2372"/>
        <item m="1" x="3176"/>
        <item m="1" x="1475"/>
        <item m="1" x="1170"/>
        <item m="1" x="3319"/>
        <item m="1" x="830"/>
        <item m="1" x="3019"/>
        <item m="1" x="1896"/>
        <item m="1" x="2636"/>
        <item m="1" x="212"/>
        <item m="1" x="813"/>
        <item m="1" x="136"/>
        <item m="1" x="2412"/>
        <item m="1" x="2028"/>
        <item m="1" x="890"/>
        <item m="1" x="1249"/>
        <item m="1" x="2776"/>
        <item m="1" x="2002"/>
        <item m="1" x="3263"/>
        <item m="1" x="1538"/>
        <item m="1" x="1217"/>
        <item m="1" x="1299"/>
        <item m="1" x="129"/>
        <item m="1" x="1793"/>
        <item m="1" x="1862"/>
        <item m="1" x="1118"/>
        <item m="1" x="264"/>
        <item m="1" x="437"/>
        <item m="1" x="99"/>
        <item m="1" x="1961"/>
        <item m="1" x="1680"/>
        <item m="1" x="2645"/>
        <item m="1" x="762"/>
        <item m="1" x="1148"/>
        <item m="1" x="1104"/>
        <item m="1" x="1492"/>
        <item m="1" x="1103"/>
        <item m="1" x="2205"/>
        <item m="1" x="2786"/>
        <item m="1" x="3221"/>
        <item m="1" x="2058"/>
        <item m="1" x="2947"/>
        <item m="1" x="2322"/>
        <item m="1" x="944"/>
        <item m="1" x="2239"/>
        <item m="1" x="405"/>
        <item m="1" x="3067"/>
        <item m="1" x="3108"/>
        <item m="1" x="1073"/>
        <item m="1" x="2464"/>
        <item m="1" x="840"/>
        <item m="1" x="904"/>
        <item m="1" x="978"/>
        <item m="1" x="3069"/>
        <item m="1" x="3072"/>
        <item m="1" x="3226"/>
        <item m="1" x="634"/>
        <item m="1" x="340"/>
        <item m="1" x="2526"/>
        <item m="1" x="3090"/>
        <item m="1" x="1471"/>
        <item m="1" x="1381"/>
        <item m="1" x="2400"/>
        <item m="1" x="1818"/>
        <item m="1" x="3010"/>
        <item m="1" x="2018"/>
        <item m="1" x="2358"/>
        <item m="1" x="575"/>
        <item m="1" x="3152"/>
        <item m="1" x="520"/>
        <item m="1" x="139"/>
        <item m="1" x="781"/>
        <item m="1" x="883"/>
        <item m="1" x="1971"/>
        <item m="1" x="2006"/>
        <item m="1" x="1785"/>
        <item m="1" x="2284"/>
        <item x="11"/>
        <item m="1" x="2712"/>
        <item m="1" x="1871"/>
        <item m="1" x="3209"/>
        <item m="1" x="3334"/>
        <item m="1" x="2448"/>
        <item m="1" x="3032"/>
        <item m="1" x="2142"/>
        <item m="1" x="2771"/>
        <item m="1" x="1631"/>
        <item m="1" x="1897"/>
        <item m="1" x="1932"/>
        <item m="1" x="2234"/>
        <item m="1" x="2163"/>
        <item m="1" x="2301"/>
        <item m="1" x="3184"/>
        <item m="1" x="180"/>
        <item m="1" x="208"/>
        <item m="1" x="354"/>
        <item m="1" x="516"/>
        <item m="1" x="3283"/>
        <item m="1" x="1564"/>
        <item m="1" x="2682"/>
        <item m="1" x="877"/>
        <item m="1" x="263"/>
        <item m="1" x="2989"/>
        <item m="1" x="2970"/>
        <item m="1" x="79"/>
        <item m="1" x="3213"/>
        <item m="1" x="3310"/>
        <item m="1" x="2392"/>
        <item m="1" x="1199"/>
        <item m="1" x="2097"/>
        <item m="1" x="2342"/>
        <item m="1" x="3197"/>
        <item m="1" x="1009"/>
        <item m="1" x="1032"/>
        <item m="1" x="1112"/>
        <item m="1" x="1194"/>
        <item m="1" x="1212"/>
        <item m="1" x="2668"/>
        <item m="1" x="2865"/>
        <item m="1" x="3332"/>
        <item m="1" x="2490"/>
        <item m="1" x="2423"/>
        <item m="1" x="2132"/>
        <item m="1" x="1404"/>
        <item m="1" x="2550"/>
        <item m="1" x="351"/>
        <item m="1" x="2793"/>
        <item m="1" x="480"/>
        <item m="1" x="1144"/>
        <item m="1" x="2285"/>
        <item m="1" x="97"/>
        <item m="1" x="2549"/>
        <item m="1" x="230"/>
        <item m="1" x="3246"/>
        <item m="1" x="1313"/>
        <item m="1" x="552"/>
        <item m="1" x="1992"/>
        <item m="1" x="1306"/>
        <item m="1" x="893"/>
        <item m="1" x="1325"/>
        <item m="1" x="1434"/>
        <item m="1" x="279"/>
        <item m="1" x="1545"/>
        <item m="1" x="2014"/>
        <item m="1" x="3048"/>
        <item m="1" x="311"/>
        <item m="1" x="2247"/>
        <item m="1" x="2237"/>
        <item m="1" x="1143"/>
        <item m="1" x="1378"/>
        <item m="1" x="1836"/>
        <item m="1" x="986"/>
        <item m="1" x="972"/>
        <item m="1" x="2210"/>
        <item m="1" x="2013"/>
        <item m="1" x="3105"/>
        <item m="1" x="2135"/>
        <item m="1" x="347"/>
        <item m="1" x="1085"/>
        <item m="1" x="743"/>
        <item m="1" x="168"/>
        <item m="1" x="2369"/>
        <item m="1" x="2141"/>
        <item m="1" x="1607"/>
        <item m="1" x="2571"/>
        <item m="1" x="1736"/>
        <item m="1" x="1621"/>
        <item x="26"/>
        <item m="1" x="1854"/>
        <item m="1" x="3000"/>
        <item m="1" x="1655"/>
        <item m="1" x="1133"/>
        <item m="1" x="723"/>
        <item m="1" x="3142"/>
        <item m="1" x="1840"/>
        <item m="1" x="380"/>
        <item m="1" x="1283"/>
        <item m="1" x="789"/>
        <item m="1" x="1469"/>
        <item m="1" x="1511"/>
        <item m="1" x="1979"/>
        <item m="1" x="271"/>
        <item m="1" x="941"/>
        <item m="1" x="3186"/>
        <item m="1" x="1660"/>
        <item m="1" x="809"/>
        <item m="1" x="1730"/>
        <item m="1" x="2687"/>
        <item m="1" x="3161"/>
        <item m="1" x="1863"/>
        <item m="1" x="2371"/>
        <item m="1" x="3175"/>
        <item m="1" x="1724"/>
        <item m="1" x="3082"/>
        <item m="1" x="1474"/>
        <item m="1" x="2882"/>
        <item m="1" x="1165"/>
        <item m="1" x="660"/>
        <item m="1" x="1967"/>
        <item m="1" x="3256"/>
        <item m="1" x="261"/>
        <item m="1" x="1609"/>
        <item m="1" x="1713"/>
        <item m="1" x="984"/>
        <item m="1" x="2238"/>
        <item m="1" x="3207"/>
        <item m="1" x="2282"/>
        <item m="1" x="1248"/>
        <item m="1" x="3205"/>
        <item m="1" x="1401"/>
        <item m="1" x="2740"/>
        <item m="1" x="657"/>
        <item m="1" x="2065"/>
        <item m="1" x="3053"/>
        <item m="1" x="1722"/>
        <item x="35"/>
        <item m="1" x="2363"/>
        <item m="1" x="3096"/>
        <item m="1" x="1131"/>
        <item m="1" x="1604"/>
        <item m="1" x="1728"/>
        <item m="1" x="2185"/>
        <item m="1" x="2318"/>
        <item m="1" x="229"/>
        <item m="1" x="2779"/>
        <item m="1" x="722"/>
        <item m="1" x="2784"/>
        <item m="1" x="2399"/>
        <item m="1" x="3106"/>
        <item m="1" x="1038"/>
        <item m="1" x="779"/>
        <item m="1" x="1842"/>
        <item m="1" x="614"/>
        <item m="1" x="1632"/>
        <item m="1" x="770"/>
        <item m="1" x="1817"/>
        <item m="1" x="625"/>
        <item m="1" x="2325"/>
        <item m="1" x="959"/>
        <item m="1" x="1243"/>
        <item m="1" x="2244"/>
        <item m="1" x="2195"/>
        <item m="1" x="2596"/>
        <item m="1" x="1814"/>
        <item m="1" x="1415"/>
        <item m="1" x="1442"/>
        <item m="1" x="440"/>
        <item m="1" x="419"/>
        <item m="1" x="2214"/>
        <item m="1" x="1816"/>
        <item m="1" x="3261"/>
        <item m="1" x="2866"/>
        <item m="1" x="1458"/>
        <item m="1" x="1460"/>
        <item m="1" x="2955"/>
        <item m="1" x="1993"/>
        <item m="1" x="1756"/>
        <item m="1" x="183"/>
        <item m="1" x="696"/>
        <item x="69"/>
        <item m="1" x="1016"/>
        <item m="1" x="1859"/>
        <item x="49"/>
        <item x="60"/>
        <item x="54"/>
        <item x="50"/>
        <item m="1" x="295"/>
        <item m="1" x="2933"/>
        <item m="1" x="1916"/>
        <item m="1" x="2582"/>
        <item x="18"/>
        <item m="1" x="1224"/>
        <item m="1" x="2545"/>
        <item m="1" x="96"/>
        <item m="1" x="1527"/>
        <item m="1" x="2330"/>
        <item m="1" x="1402"/>
        <item m="1" x="3146"/>
        <item m="1" x="2973"/>
        <item m="1" x="2346"/>
        <item m="1" x="3254"/>
        <item m="1" x="339"/>
        <item m="1" x="316"/>
        <item m="1" x="2208"/>
        <item m="1" x="562"/>
        <item m="1" x="500"/>
        <item m="1" x="706"/>
        <item m="1" x="1184"/>
        <item m="1" x="1142"/>
        <item m="1" x="2945"/>
        <item m="1" x="2288"/>
        <item m="1" x="1180"/>
        <item m="1" x="75"/>
        <item m="1" x="3292"/>
        <item m="1" x="1625"/>
        <item m="1" x="3111"/>
        <item m="1" x="1240"/>
        <item m="1" x="2797"/>
        <item m="1" x="2104"/>
        <item m="1" x="2542"/>
        <item m="1" x="2094"/>
        <item m="1" x="828"/>
        <item m="1" x="2080"/>
        <item m="1" x="896"/>
        <item m="1" x="189"/>
        <item x="23"/>
        <item m="1" x="86"/>
        <item m="1" x="1918"/>
        <item m="1" x="2967"/>
        <item m="1" x="368"/>
        <item m="1" x="1370"/>
        <item m="1" x="319"/>
        <item m="1" x="624"/>
        <item m="1" x="465"/>
        <item m="1" x="1451"/>
        <item m="1" x="2567"/>
        <item m="1" x="2122"/>
        <item m="1" x="632"/>
        <item m="1" x="1459"/>
        <item m="1" x="1336"/>
        <item m="1" x="2482"/>
        <item m="1" x="1521"/>
        <item m="1" x="1899"/>
        <item m="1" x="1424"/>
        <item m="1" x="1433"/>
        <item m="1" x="1271"/>
        <item m="1" x="3331"/>
        <item m="1" x="2306"/>
        <item m="1" x="1234"/>
        <item m="1" x="2458"/>
        <item m="1" x="1204"/>
        <item m="1" x="228"/>
        <item m="1" x="1453"/>
        <item m="1" x="873"/>
        <item m="1" x="2460"/>
        <item m="1" x="1950"/>
        <item m="1" x="2589"/>
        <item m="1" x="1167"/>
        <item m="1" x="2532"/>
        <item m="1" x="2572"/>
        <item m="1" x="544"/>
        <item m="1" x="3171"/>
        <item m="1" x="2073"/>
        <item m="1" x="155"/>
        <item m="1" x="3007"/>
        <item m="1" x="769"/>
        <item m="1" x="2895"/>
        <item m="1" x="1924"/>
        <item m="1" x="1614"/>
        <item m="1" x="2189"/>
        <item m="1" x="1796"/>
        <item m="1" x="3042"/>
        <item m="1" x="2265"/>
        <item m="1" x="425"/>
        <item m="1" x="832"/>
        <item m="1" x="2380"/>
        <item m="1" x="233"/>
        <item m="1" x="1706"/>
        <item m="1" x="2829"/>
        <item m="1" x="1176"/>
        <item m="1" x="1539"/>
        <item m="1" x="3134"/>
        <item m="1" x="1925"/>
        <item m="1" x="976"/>
        <item m="1" x="845"/>
        <item m="1" x="1975"/>
        <item m="1" x="2103"/>
        <item m="1" x="1162"/>
        <item m="1" x="2665"/>
        <item m="1" x="1357"/>
        <item m="1" x="1690"/>
        <item m="1" x="1877"/>
        <item m="1" x="656"/>
        <item m="1" x="844"/>
        <item m="1" x="847"/>
        <item m="1" x="581"/>
        <item m="1" x="94"/>
        <item m="1" x="2335"/>
        <item x="22"/>
        <item m="1" x="117"/>
        <item m="1" x="1039"/>
        <item m="1" x="215"/>
        <item x="36"/>
        <item m="1" x="2626"/>
        <item m="1" x="585"/>
        <item m="1" x="2531"/>
        <item m="1" x="1516"/>
        <item m="1" x="1082"/>
        <item m="1" x="2060"/>
        <item m="1" x="1171"/>
        <item m="1" x="2816"/>
        <item m="1" x="1705"/>
        <item m="1" x="3162"/>
        <item m="1" x="791"/>
        <item m="1" x="1316"/>
        <item m="1" x="1990"/>
        <item m="1" x="1029"/>
        <item m="1" x="1901"/>
        <item m="1" x="3328"/>
        <item m="1" x="1413"/>
        <item m="1" x="1309"/>
        <item m="1" x="460"/>
        <item m="1" x="2679"/>
        <item m="1" x="655"/>
        <item m="1" x="3277"/>
        <item m="1" x="1250"/>
        <item m="1" x="2023"/>
        <item m="1" x="899"/>
        <item m="1" x="3211"/>
        <item m="1" x="822"/>
        <item m="1" x="2790"/>
        <item m="1" x="930"/>
        <item m="1" x="980"/>
        <item m="1" x="821"/>
        <item m="1" x="673"/>
        <item m="1" x="300"/>
        <item m="1" x="1752"/>
        <item m="1" x="152"/>
        <item m="1" x="1484"/>
        <item m="1" x="2378"/>
        <item m="1" x="1774"/>
        <item m="1" x="2230"/>
        <item m="1" x="1349"/>
        <item m="1" x="2942"/>
        <item m="1" x="1077"/>
        <item m="1" x="2879"/>
        <item m="1" x="2983"/>
        <item m="1" x="387"/>
        <item m="1" x="2032"/>
        <item m="1" x="2782"/>
        <item m="1" x="2191"/>
        <item m="1" x="2147"/>
        <item m="1" x="3104"/>
        <item m="1" x="2063"/>
        <item m="1" x="2461"/>
        <item m="1" x="3269"/>
        <item m="1" x="3164"/>
        <item m="1" x="525"/>
        <item m="1" x="1845"/>
        <item m="1" x="3249"/>
        <item m="1" x="1172"/>
        <item m="1" x="767"/>
        <item m="1" x="1409"/>
        <item m="1" x="2603"/>
        <item m="1" x="2695"/>
        <item m="1" x="710"/>
        <item m="1" x="3214"/>
        <item m="1" x="3170"/>
        <item m="1" x="169"/>
        <item m="1" x="2466"/>
        <item m="1" x="2634"/>
        <item m="1" x="1079"/>
        <item m="1" x="1387"/>
        <item m="1" x="2656"/>
        <item m="1" x="434"/>
        <item m="1" x="3206"/>
        <item m="1" x="2310"/>
        <item m="1" x="2948"/>
        <item m="1" x="2075"/>
        <item m="1" x="2598"/>
        <item m="1" x="1327"/>
        <item m="1" x="391"/>
        <item m="1" x="1405"/>
        <item m="1" x="826"/>
        <item m="1" x="3078"/>
        <item m="1" x="1820"/>
        <item m="1" x="381"/>
        <item m="1" x="101"/>
        <item m="1" x="2411"/>
        <item m="1" x="885"/>
        <item m="1" x="402"/>
        <item m="1" x="2619"/>
        <item m="1" x="850"/>
        <item m="1" x="2913"/>
        <item m="1" x="1566"/>
        <item m="1" x="2180"/>
        <item m="1" x="1213"/>
        <item m="1" x="834"/>
        <item m="1" x="2246"/>
        <item m="1" x="996"/>
        <item m="1" x="2317"/>
        <item m="1" x="2170"/>
        <item m="1" x="2339"/>
        <item m="1" x="260"/>
        <item m="1" x="1439"/>
        <item m="1" x="2071"/>
        <item m="1" x="2365"/>
        <item m="1" x="2939"/>
        <item m="1" x="3136"/>
        <item m="1" x="3075"/>
        <item m="1" x="3098"/>
        <item m="1" x="572"/>
        <item m="1" x="2506"/>
        <item m="1" x="1829"/>
        <item m="1" x="360"/>
        <item m="1" x="2489"/>
        <item m="1" x="481"/>
        <item m="1" x="485"/>
        <item m="1" x="3173"/>
        <item m="1" x="2808"/>
        <item m="1" x="122"/>
        <item m="1" x="1550"/>
        <item m="1" x="1452"/>
        <item m="1" x="385"/>
        <item m="1" x="2525"/>
        <item m="1" x="1227"/>
        <item m="1" x="3313"/>
        <item m="1" x="461"/>
        <item m="1" x="2981"/>
        <item m="1" x="1138"/>
        <item m="1" x="2653"/>
        <item m="1" x="1262"/>
        <item m="1" x="2734"/>
        <item m="1" x="1119"/>
        <item m="1" x="2171"/>
        <item m="1" x="3120"/>
        <item m="1" x="1393"/>
        <item m="1" x="3139"/>
        <item m="1" x="2276"/>
        <item m="1" x="1149"/>
        <item m="1" x="1523"/>
        <item m="1" x="2263"/>
        <item m="1" x="2854"/>
        <item m="1" x="1639"/>
        <item m="1" x="667"/>
        <item m="1" x="2551"/>
        <item m="1" x="829"/>
        <item m="1" x="2586"/>
        <item m="1" x="2694"/>
        <item m="1" x="3233"/>
        <item m="1" x="2788"/>
        <item m="1" x="2173"/>
        <item m="1" x="578"/>
        <item m="1" x="1940"/>
        <item m="1" x="843"/>
        <item m="1" x="1759"/>
        <item m="1" x="3317"/>
        <item m="1" x="742"/>
        <item m="1" x="2405"/>
        <item m="1" x="3020"/>
        <item m="1" x="3044"/>
        <item m="1" x="1828"/>
        <item m="1" x="2726"/>
        <item m="1" x="1275"/>
        <item m="1" x="1356"/>
        <item m="1" x="775"/>
        <item m="1" x="2360"/>
        <item m="1" x="668"/>
        <item m="1" x="1412"/>
        <item m="1" x="383"/>
        <item x="32"/>
        <item x="24"/>
        <item m="1" x="1954"/>
        <item x="0"/>
        <item x="51"/>
        <item m="1" x="2083"/>
        <item x="31"/>
        <item m="1" x="2153"/>
        <item m="1" x="1365"/>
        <item m="1" x="3092"/>
        <item m="1" x="3314"/>
        <item m="1" x="2807"/>
        <item m="1" x="966"/>
        <item m="1" x="1286"/>
        <item m="1" x="2643"/>
        <item m="1" x="859"/>
        <item m="1" x="2091"/>
        <item m="1" x="2432"/>
        <item m="1" x="3189"/>
        <item m="1" x="1135"/>
        <item m="1" x="349"/>
        <item m="1" x="2576"/>
        <item m="1" x="3280"/>
        <item m="1" x="2299"/>
        <item m="1" x="2827"/>
        <item m="1" x="1642"/>
        <item m="1" x="2932"/>
        <item m="1" x="2154"/>
        <item m="1" x="2388"/>
        <item m="1" x="908"/>
        <item m="1" x="2825"/>
        <item m="1" x="1317"/>
        <item m="1" x="1849"/>
        <item m="1" x="404"/>
        <item m="1" x="1731"/>
        <item m="1" x="299"/>
        <item m="1" x="2565"/>
        <item m="1" x="2373"/>
        <item m="1" x="693"/>
        <item m="1" x="2754"/>
        <item m="1" x="3323"/>
        <item m="1" x="1875"/>
        <item m="1" x="450"/>
        <item m="1" x="98"/>
        <item m="1" x="2742"/>
        <item m="1" x="1231"/>
        <item m="1" x="1376"/>
        <item m="1" x="1672"/>
        <item m="1" x="1673"/>
        <item x="6"/>
        <item m="1" x="3243"/>
        <item m="1" x="219"/>
        <item m="1" x="257"/>
        <item m="1" x="350"/>
        <item m="1" x="1045"/>
        <item m="1" x="1024"/>
        <item m="1" x="1053"/>
        <item m="1" x="3024"/>
        <item m="1" x="3028"/>
        <item m="1" x="1065"/>
        <item m="1" x="3041"/>
        <item m="1" x="2250"/>
        <item m="1" x="3089"/>
        <item m="1" x="3109"/>
        <item m="1" x="1959"/>
        <item m="1" x="1263"/>
        <item m="1" x="2635"/>
        <item m="1" x="557"/>
        <item m="1" x="1193"/>
        <item m="1" x="737"/>
        <item m="1" x="2660"/>
        <item m="1" x="1114"/>
        <item m="1" x="3039"/>
        <item m="1" x="2429"/>
        <item m="1" x="1440"/>
        <item m="1" x="598"/>
        <item m="1" x="2204"/>
        <item m="1" x="1679"/>
        <item m="1" x="3153"/>
        <item m="1" x="1488"/>
        <item m="1" x="236"/>
        <item m="1" x="2455"/>
        <item m="1" x="547"/>
        <item m="1" x="739"/>
        <item m="1" x="2357"/>
        <item m="1" x="2613"/>
        <item m="1" x="2750"/>
        <item m="1" x="410"/>
        <item m="1" x="1023"/>
        <item m="1" x="309"/>
        <item m="1" x="2092"/>
        <item m="1" x="689"/>
        <item m="1" x="100"/>
        <item m="1" x="2946"/>
        <item m="1" x="1465"/>
        <item m="1" x="1712"/>
        <item m="1" x="1467"/>
        <item m="1" x="1870"/>
        <item m="1" x="679"/>
        <item m="1" x="1436"/>
        <item m="1" x="2418"/>
        <item m="1" x="2907"/>
        <item m="1" x="1812"/>
        <item m="1" x="2331"/>
        <item m="1" x="2980"/>
        <item m="1" x="2055"/>
        <item m="1" x="857"/>
        <item m="1" x="2313"/>
        <item m="1" x="796"/>
        <item m="1" x="107"/>
        <item m="1" x="790"/>
        <item m="1" x="1922"/>
        <item m="1" x="1938"/>
        <item m="1" x="1139"/>
        <item m="1" x="548"/>
        <item m="1" x="2915"/>
        <item m="1" x="1427"/>
        <item m="1" x="1726"/>
        <item m="1" x="1268"/>
        <item m="1" x="898"/>
        <item m="1" x="2047"/>
        <item m="1" x="1080"/>
        <item m="1" x="1955"/>
        <item m="1" x="1619"/>
        <item m="1" x="1589"/>
        <item m="1" x="2785"/>
        <item m="1" x="1868"/>
        <item m="1" x="993"/>
        <item m="1" x="2833"/>
        <item m="1" x="1737"/>
        <item m="1" x="771"/>
        <item m="1" x="2190"/>
        <item m="1" x="2593"/>
        <item m="1" x="3252"/>
        <item m="1" x="2513"/>
        <item m="1" x="510"/>
        <item m="1" x="878"/>
        <item m="1" x="1242"/>
        <item m="1" x="394"/>
        <item m="1" x="483"/>
        <item m="1" x="281"/>
        <item m="1" x="2745"/>
        <item m="1" x="1742"/>
        <item m="1" x="2256"/>
        <item m="1" x="2518"/>
        <item m="1" x="2515"/>
        <item m="1" x="691"/>
        <item m="1" x="3168"/>
        <item m="1" x="1691"/>
        <item m="1" x="580"/>
        <item m="1" x="2417"/>
        <item m="1" x="307"/>
        <item m="1" x="2209"/>
        <item m="1" x="1372"/>
        <item m="1" x="2725"/>
        <item m="1" x="1431"/>
        <item m="1" x="1192"/>
        <item m="1" x="198"/>
        <item m="1" x="1833"/>
        <item m="1" x="1100"/>
        <item m="1" x="3230"/>
        <item m="1" x="1055"/>
        <item m="1" x="709"/>
        <item m="1" x="1152"/>
        <item m="1" x="2778"/>
        <item m="1" x="1005"/>
        <item m="1" x="2248"/>
        <item m="1" x="2527"/>
        <item m="1" x="1423"/>
        <item m="1" x="2000"/>
        <item m="1" x="1727"/>
        <item m="1" x="2367"/>
        <item m="1" x="2382"/>
        <item m="1" x="435"/>
        <item m="1" x="2226"/>
        <item m="1" x="783"/>
        <item m="1" x="2753"/>
        <item m="1" x="2777"/>
        <item m="1" x="3285"/>
        <item m="1" x="248"/>
        <item m="1" x="1583"/>
        <item m="1" x="2333"/>
        <item m="1" x="1322"/>
        <item m="1" x="2805"/>
        <item m="1" x="2872"/>
        <item m="1" x="77"/>
        <item m="1" x="1280"/>
        <item m="1" x="1581"/>
        <item m="1" x="761"/>
        <item m="1" x="348"/>
        <item m="1" x="436"/>
        <item m="1" x="807"/>
        <item m="1" x="227"/>
        <item m="1" x="3040"/>
        <item m="1" x="292"/>
        <item m="1" x="2188"/>
        <item m="1" x="1847"/>
        <item m="1" x="1729"/>
        <item m="1" x="543"/>
        <item m="1" x="849"/>
        <item m="1" x="203"/>
        <item m="1" x="2995"/>
        <item m="1" x="159"/>
        <item m="1" x="1970"/>
        <item m="1" x="426"/>
        <item m="1" x="2772"/>
        <item m="1" x="3235"/>
        <item m="1" x="1974"/>
        <item m="1" x="817"/>
        <item m="1" x="2623"/>
        <item m="1" x="3057"/>
        <item m="1" x="2484"/>
        <item m="1" x="806"/>
        <item m="1" x="3318"/>
        <item m="1" x="2393"/>
        <item m="1" x="2043"/>
        <item m="1" x="92"/>
        <item m="1" x="3163"/>
        <item m="1" x="1525"/>
        <item m="1" x="1153"/>
        <item m="1" x="1749"/>
        <item m="1" x="2641"/>
        <item m="1" x="1591"/>
        <item m="1" x="1989"/>
        <item m="1" x="420"/>
        <item m="1" x="2477"/>
        <item m="1" x="2493"/>
        <item m="1" x="490"/>
        <item m="1" x="193"/>
        <item m="1" x="1418"/>
        <item m="1" x="1923"/>
        <item m="1" x="1946"/>
        <item m="1" x="2240"/>
        <item m="1" x="2161"/>
        <item m="1" x="2883"/>
        <item m="1" x="2452"/>
        <item m="1" x="3107"/>
        <item m="1" x="2760"/>
        <item m="1" x="712"/>
        <item m="1" x="1264"/>
        <item m="1" x="2402"/>
        <item m="1" x="3125"/>
        <item m="1" x="1574"/>
        <item m="1" x="1668"/>
        <item m="1" x="2278"/>
        <item m="1" x="994"/>
        <item m="1" x="2459"/>
        <item m="1" x="2855"/>
        <item m="1" x="811"/>
        <item m="1" x="108"/>
        <item m="1" x="3127"/>
        <item m="1" x="1978"/>
        <item m="1" x="2839"/>
        <item m="1" x="137"/>
        <item m="1" x="1113"/>
        <item m="1" x="2123"/>
        <item m="1" x="2061"/>
        <item m="1" x="116"/>
        <item m="1" x="1111"/>
        <item m="1" x="1608"/>
        <item m="1" x="477"/>
        <item m="1" x="150"/>
        <item m="1" x="2654"/>
        <item m="1" x="1585"/>
        <item m="1" x="3025"/>
        <item m="1" x="1615"/>
        <item m="1" x="1445"/>
        <item m="1" x="2112"/>
        <item m="1" x="502"/>
        <item m="1" x="1575"/>
        <item m="1" x="1733"/>
        <item m="1" x="332"/>
        <item m="1" x="2093"/>
        <item m="1" x="501"/>
        <item m="1" x="3074"/>
        <item m="1" x="2202"/>
        <item m="1" x="496"/>
        <item m="1" x="267"/>
        <item m="1" x="3262"/>
        <item m="1" x="2548"/>
        <item m="1" x="2961"/>
        <item m="1" x="1996"/>
        <item m="1" x="239"/>
        <item m="1" x="1040"/>
        <item m="1" x="2386"/>
        <item m="1" x="579"/>
        <item m="1" x="1565"/>
        <item m="1" x="1061"/>
        <item m="1" x="377"/>
        <item m="1" x="1822"/>
        <item m="1" x="318"/>
        <item m="1" x="2929"/>
        <item m="1" x="3293"/>
        <item m="1" x="3202"/>
        <item m="1" x="546"/>
        <item m="1" x="2869"/>
        <item m="1" x="3216"/>
        <item m="1" x="293"/>
        <item m="1" x="1130"/>
        <item m="1" x="199"/>
        <item m="1" x="2799"/>
        <item m="1" x="2693"/>
        <item m="1" x="1744"/>
        <item m="1" x="382"/>
        <item m="1" x="2676"/>
        <item m="1" x="2748"/>
        <item m="1" x="884"/>
        <item m="1" x="892"/>
        <item m="1" x="400"/>
        <item m="1" x="3244"/>
        <item m="1" x="905"/>
        <item m="1" x="1912"/>
        <item m="1" x="269"/>
        <item m="1" x="1754"/>
        <item m="1" x="2320"/>
        <item m="1" x="2347"/>
        <item m="1" x="608"/>
        <item m="1" x="2295"/>
        <item m="1" x="570"/>
        <item m="1" x="1710"/>
        <item m="1" x="2767"/>
        <item m="1" x="304"/>
        <item m="1" x="186"/>
        <item m="1" x="639"/>
        <item m="1" x="541"/>
        <item m="1" x="3047"/>
        <item m="1" x="158"/>
        <item m="1" x="2268"/>
        <item m="1" x="2661"/>
        <item m="1" x="2662"/>
        <item m="1" x="629"/>
        <item m="1" x="1141"/>
        <item m="1" x="1088"/>
        <item m="1" x="1496"/>
        <item m="1" x="688"/>
        <item m="1" x="903"/>
        <item m="1" x="3204"/>
        <item m="1" x="310"/>
        <item m="1" x="1595"/>
        <item m="1" x="765"/>
        <item m="1" x="1056"/>
        <item m="1" x="1298"/>
        <item m="1" x="1663"/>
        <item m="1" x="2297"/>
        <item m="1" x="919"/>
        <item m="1" x="3286"/>
        <item m="1" x="3240"/>
        <item m="1" x="1601"/>
        <item m="1" x="3321"/>
        <item m="1" x="1183"/>
        <item m="1" x="82"/>
        <item m="1" x="2944"/>
        <item m="1" x="2416"/>
        <item m="1" x="1810"/>
        <item m="1" x="3329"/>
        <item m="1" x="2453"/>
        <item m="1" x="1771"/>
        <item m="1" x="2900"/>
        <item m="1" x="2424"/>
        <item m="1" x="335"/>
        <item m="1" x="179"/>
        <item m="1" x="462"/>
        <item m="1" x="2059"/>
        <item m="1" x="170"/>
        <item m="1" x="1455"/>
        <item m="1" x="1685"/>
        <item m="1" x="161"/>
        <item m="1" x="2350"/>
        <item m="1" x="2680"/>
        <item m="1" x="253"/>
        <item m="1" x="2646"/>
        <item m="1" x="3001"/>
        <item m="1" x="1648"/>
        <item m="1" x="1266"/>
        <item m="1" x="2683"/>
        <item m="1" x="1819"/>
        <item m="1" x="1926"/>
        <item m="1" x="3017"/>
        <item m="1" x="942"/>
        <item m="1" x="1876"/>
        <item m="1" x="784"/>
        <item m="1" x="1107"/>
        <item m="1" x="1312"/>
        <item m="1" x="2926"/>
        <item m="1" x="2663"/>
        <item m="1" x="654"/>
        <item m="1" x="190"/>
        <item m="1" x="1293"/>
        <item m="1" x="3099"/>
        <item m="1" x="3311"/>
        <item m="1" x="411"/>
        <item m="1" x="1443"/>
        <item m="1" x="1374"/>
        <item m="1" x="750"/>
        <item m="1" x="1933"/>
        <item m="1" x="2870"/>
        <item m="1" x="3094"/>
        <item m="1" x="2521"/>
        <item m="1" x="1074"/>
        <item m="1" x="934"/>
        <item m="1" x="2972"/>
        <item m="1" x="3033"/>
        <item m="1" x="143"/>
        <item m="1" x="390"/>
        <item m="1" x="287"/>
        <item m="1" x="153"/>
        <item m="1" x="2875"/>
        <item m="1" x="1361"/>
        <item m="1" x="214"/>
        <item m="1" x="1391"/>
        <item m="1" x="636"/>
        <item m="1" x="3008"/>
        <item m="1" x="2034"/>
        <item m="1" x="325"/>
        <item m="1" x="609"/>
        <item m="1" x="3219"/>
        <item m="1" x="2503"/>
        <item m="1" x="1244"/>
        <item m="1" x="708"/>
        <item m="1" x="2053"/>
        <item m="1" x="446"/>
        <item m="1" x="1462"/>
        <item m="1" x="3253"/>
        <item m="1" x="1768"/>
        <item m="1" x="1937"/>
        <item m="1" x="126"/>
        <item m="1" x="2179"/>
        <item m="1" x="2625"/>
        <item m="1" x="2800"/>
        <item m="1" x="841"/>
        <item m="1" x="2255"/>
        <item m="1" x="2079"/>
        <item m="1" x="2428"/>
        <item m="1" x="344"/>
        <item m="1" x="1324"/>
        <item m="1" x="971"/>
        <item m="1" x="1873"/>
        <item m="1" x="2971"/>
        <item m="1" x="374"/>
        <item m="1" x="2312"/>
        <item m="1" x="1062"/>
        <item m="1" x="3144"/>
        <item m="1" x="2167"/>
        <item m="1" x="2069"/>
        <item m="1" x="901"/>
        <item m="1" x="2176"/>
        <item m="1" x="658"/>
        <item m="1" x="1279"/>
        <item m="1" x="721"/>
        <item m="1" x="3190"/>
        <item m="1" x="3227"/>
        <item m="1" x="422"/>
        <item m="1" x="111"/>
        <item m="1" x="2403"/>
        <item m="1" x="1235"/>
        <item m="1" x="1307"/>
        <item m="1" x="1246"/>
        <item m="1" x="1958"/>
        <item m="1" x="192"/>
        <item m="1" x="2217"/>
        <item m="1" x="1807"/>
        <item m="1" x="1232"/>
        <item m="1" x="3021"/>
        <item m="1" x="846"/>
        <item m="1" x="334"/>
        <item m="1" x="1203"/>
        <item m="1" x="967"/>
        <item m="1" x="2890"/>
        <item m="1" x="1209"/>
        <item m="1" x="2920"/>
        <item m="1" x="2552"/>
        <item m="1" x="1463"/>
        <item m="1" x="1261"/>
        <item m="1" x="1643"/>
        <item m="1" x="681"/>
        <item m="1" x="2968"/>
        <item m="1" x="1711"/>
        <item m="1" x="683"/>
        <item m="1" x="530"/>
        <item m="1" x="172"/>
        <item m="1" x="2272"/>
        <item m="1" x="2741"/>
        <item m="1" x="341"/>
        <item m="1" x="2476"/>
        <item m="1" x="2859"/>
        <item m="1" x="1291"/>
        <item m="1" x="1758"/>
        <item m="1" x="3330"/>
        <item m="1" x="1360"/>
        <item m="1" x="2958"/>
        <item m="1" x="2699"/>
        <item m="1" x="3237"/>
        <item m="1" x="1936"/>
        <item m="1" x="1695"/>
        <item m="1" x="1886"/>
        <item m="1" x="2194"/>
        <item m="1" x="327"/>
        <item m="1" x="621"/>
        <item m="1" x="912"/>
        <item m="1" x="778"/>
        <item m="1" x="940"/>
        <item m="1" x="148"/>
        <item m="1" x="2674"/>
        <item m="1" x="1596"/>
        <item m="1" x="1885"/>
        <item m="1" x="1363"/>
        <item m="1" x="3335"/>
        <item m="1" x="1732"/>
        <item m="1" x="727"/>
        <item m="1" x="3036"/>
        <item m="1" x="2974"/>
        <item m="1" x="2724"/>
        <item m="1" x="3200"/>
        <item m="1" x="2719"/>
        <item m="1" x="2181"/>
        <item m="1" x="788"/>
        <item m="1" x="76"/>
        <item m="1" x="2764"/>
        <item m="1" x="2962"/>
        <item m="1" x="615"/>
        <item m="1" x="355"/>
        <item m="1" x="1269"/>
        <item m="1" x="3258"/>
        <item m="1" x="2249"/>
        <item m="1" x="795"/>
        <item m="1" x="2705"/>
        <item m="1" x="399"/>
        <item m="1" x="2512"/>
        <item m="1" x="3011"/>
        <item m="1" x="1169"/>
        <item m="1" x="1473"/>
        <item m="1" x="3055"/>
        <item m="1" x="216"/>
        <item m="1" x="954"/>
        <item m="1" x="1533"/>
        <item m="1" x="2940"/>
        <item m="1" x="3193"/>
        <item m="1" x="2878"/>
        <item m="1" x="3185"/>
        <item m="1" x="2155"/>
        <item m="1" x="2835"/>
        <item m="1" x="2650"/>
        <item m="1" x="2612"/>
        <item m="1" x="1002"/>
        <item m="1" x="1560"/>
        <item m="1" x="445"/>
        <item m="1" x="1407"/>
        <item m="1" x="2236"/>
        <item m="1" x="574"/>
        <item m="1" x="151"/>
        <item m="1" x="676"/>
        <item m="1" x="372"/>
        <item m="1" x="2706"/>
        <item m="1" x="3225"/>
        <item m="1" x="521"/>
        <item m="1" x="2212"/>
        <item m="1" x="266"/>
        <item m="1" x="2733"/>
        <item m="1" x="3333"/>
        <item m="1" x="875"/>
        <item m="1" x="2353"/>
        <item m="1" x="2837"/>
        <item m="1" x="2166"/>
        <item m="1" x="1773"/>
        <item m="1" x="2664"/>
        <item m="1" x="2042"/>
        <item m="1" x="1287"/>
        <item m="1" x="498"/>
        <item m="1" x="2125"/>
        <item m="1" x="1076"/>
        <item m="1" x="175"/>
        <item m="1" x="2817"/>
        <item m="1" x="303"/>
        <item m="1" x="1083"/>
        <item m="1" x="2826"/>
        <item m="1" x="2716"/>
        <item m="1" x="314"/>
        <item m="1" x="231"/>
        <item m="1" x="3306"/>
        <item m="1" x="2638"/>
        <item m="1" x="2148"/>
        <item m="1" x="1122"/>
        <item m="1" x="3290"/>
        <item m="1" x="424"/>
        <item m="1" x="2316"/>
        <item m="1" x="1476"/>
        <item m="1" x="1115"/>
        <item m="1" x="963"/>
        <item m="1" x="2815"/>
        <item m="1" x="641"/>
        <item m="1" x="2686"/>
        <item m="1" x="2658"/>
        <item m="1" x="1804"/>
        <item m="1" x="1509"/>
        <item m="1" x="730"/>
        <item m="1" x="3276"/>
        <item m="1" x="1344"/>
        <item m="1" x="1041"/>
        <item m="1" x="2600"/>
        <item m="1" x="1048"/>
        <item m="1" x="2819"/>
        <item m="1" x="1354"/>
        <item m="1" x="2020"/>
        <item m="1" x="1952"/>
        <item m="1" x="1116"/>
        <item m="1" x="1315"/>
        <item m="1" x="1109"/>
        <item m="1" x="262"/>
        <item m="1" x="3114"/>
        <item m="1" x="3132"/>
        <item m="1" x="3251"/>
        <item m="1" x="2919"/>
        <item m="1" x="2164"/>
        <item m="1" x="1650"/>
        <item m="1" x="2314"/>
        <item m="1" x="946"/>
        <item m="1" x="982"/>
        <item m="1" x="145"/>
        <item m="1" x="378"/>
        <item m="1" x="3218"/>
        <item m="1" x="1066"/>
        <item m="1" x="2160"/>
        <item m="1" x="2471"/>
        <item m="1" x="313"/>
        <item m="1" x="1791"/>
        <item m="1" x="3087"/>
        <item m="1" x="2934"/>
        <item m="1" x="1699"/>
        <item m="1" x="1513"/>
        <item m="1" x="735"/>
        <item m="1" x="1799"/>
        <item m="1" x="1281"/>
        <item m="1" x="2050"/>
        <item m="1" x="1128"/>
        <item m="1" x="2877"/>
        <item m="1" x="697"/>
        <item m="1" x="929"/>
        <item m="1" x="2410"/>
        <item m="1" x="3245"/>
        <item m="1" x="1035"/>
        <item m="1" x="2888"/>
        <item m="1" x="1174"/>
        <item m="1" x="2863"/>
        <item m="1" x="1288"/>
        <item m="1" x="2723"/>
        <item m="1" x="1823"/>
        <item m="1" x="1034"/>
        <item m="1" x="1853"/>
        <item m="1" x="964"/>
        <item m="1" x="1195"/>
        <item m="1" x="2620"/>
        <item m="1" x="2345"/>
        <item m="1" x="2467"/>
        <item m="1" x="1968"/>
        <item m="1" x="2401"/>
        <item m="1" x="2126"/>
        <item m="1" x="1274"/>
        <item m="1" x="2903"/>
        <item m="1" x="3159"/>
        <item m="1" x="2677"/>
        <item m="1" x="825"/>
        <item m="1" x="241"/>
        <item m="1" x="1013"/>
        <item m="1" x="154"/>
        <item m="1" x="71"/>
      </items>
      <extLst>
        <ext xmlns:x14="http://schemas.microsoft.com/office/spreadsheetml/2009/9/main" uri="{2946ED86-A175-432a-8AC1-64E0C546D7DE}">
          <x14:pivotField fillDownLabels="1"/>
        </ext>
      </extLst>
    </pivotField>
    <pivotField compact="0" outline="0" showAll="0" defaultSubtotal="0">
      <items count="3">
        <item x="1"/>
        <item x="0"/>
        <item m="1" x="2"/>
      </items>
      <extLst>
        <ext xmlns:x14="http://schemas.microsoft.com/office/spreadsheetml/2009/9/main" uri="{2946ED86-A175-432a-8AC1-64E0C546D7DE}">
          <x14:pivotField fillDownLabels="1"/>
        </ext>
      </extLst>
    </pivotField>
    <pivotField axis="axisRow" compact="0" outline="0" showAll="0" insertBlankRow="1" defaultSubtotal="0">
      <items count="93">
        <item m="1" x="86"/>
        <item m="1" x="73"/>
        <item x="39"/>
        <item x="29"/>
        <item x="56"/>
        <item m="1" x="83"/>
        <item x="63"/>
        <item m="1" x="91"/>
        <item x="25"/>
        <item x="62"/>
        <item m="1" x="68"/>
        <item x="17"/>
        <item m="1" x="87"/>
        <item x="31"/>
        <item m="1" x="89"/>
        <item m="1" x="82"/>
        <item m="1" x="79"/>
        <item m="1" x="72"/>
        <item m="1" x="67"/>
        <item m="1" x="71"/>
        <item x="24"/>
        <item x="58"/>
        <item x="59"/>
        <item x="60"/>
        <item m="1" x="66"/>
        <item m="1" x="80"/>
        <item x="27"/>
        <item x="14"/>
        <item x="13"/>
        <item m="1" x="88"/>
        <item x="15"/>
        <item x="51"/>
        <item x="64"/>
        <item x="0"/>
        <item x="28"/>
        <item x="48"/>
        <item m="1" x="90"/>
        <item x="47"/>
        <item m="1" x="70"/>
        <item x="61"/>
        <item x="18"/>
        <item m="1" x="78"/>
        <item x="30"/>
        <item m="1" x="74"/>
        <item m="1" x="76"/>
        <item m="1" x="81"/>
        <item m="1" x="85"/>
        <item m="1" x="92"/>
        <item m="1" x="84"/>
        <item x="37"/>
        <item x="12"/>
        <item x="6"/>
        <item x="11"/>
        <item x="55"/>
        <item x="36"/>
        <item x="34"/>
        <item x="35"/>
        <item x="4"/>
        <item x="2"/>
        <item x="3"/>
        <item x="65"/>
        <item x="57"/>
        <item x="19"/>
        <item x="20"/>
        <item x="21"/>
        <item x="54"/>
        <item x="53"/>
        <item x="16"/>
        <item m="1" x="69"/>
        <item x="32"/>
        <item x="41"/>
        <item x="7"/>
        <item x="1"/>
        <item x="52"/>
        <item x="49"/>
        <item x="50"/>
        <item x="43"/>
        <item m="1" x="77"/>
        <item x="40"/>
        <item m="1" x="75"/>
        <item x="46"/>
        <item x="45"/>
        <item x="33"/>
        <item x="44"/>
        <item x="10"/>
        <item x="38"/>
        <item x="42"/>
        <item x="8"/>
        <item x="9"/>
        <item x="5"/>
        <item x="26"/>
        <item x="23"/>
        <item x="22"/>
      </items>
    </pivotField>
    <pivotField compact="0" outline="0" showAll="0" defaultSubtotal="0"/>
    <pivotField axis="axisPage" compact="0" outline="0" multipleItemSelectionAllowed="1" showAll="0" defaultSubtotal="0">
      <items count="13">
        <item h="1" x="3"/>
        <item h="1" x="2"/>
        <item x="9"/>
        <item h="1" m="1" x="12"/>
        <item h="1" x="0"/>
        <item h="1" x="5"/>
        <item h="1" m="1" x="11"/>
        <item h="1" x="10"/>
        <item h="1" x="4"/>
        <item h="1" x="6"/>
        <item h="1" x="1"/>
        <item h="1" x="8"/>
        <item h="1" x="7"/>
      </items>
    </pivotField>
    <pivotField compact="0" outline="0" showAll="0" defaultSubtotal="0"/>
    <pivotField compact="0" outline="0" showAll="0" defaultSubtotal="0"/>
  </pivotFields>
  <rowFields count="3">
    <field x="47"/>
    <field x="3"/>
    <field x="35"/>
  </rowFields>
  <rowItems count="27">
    <i>
      <x v="4"/>
      <x v="526"/>
      <x v="13"/>
    </i>
    <i r="1">
      <x v="634"/>
      <x v="13"/>
    </i>
    <i r="1">
      <x v="639"/>
      <x v="13"/>
    </i>
    <i r="1">
      <x v="644"/>
      <x v="13"/>
    </i>
    <i t="blank">
      <x v="4"/>
    </i>
    <i>
      <x v="6"/>
      <x v="526"/>
      <x v="13"/>
    </i>
    <i r="1">
      <x v="634"/>
      <x v="13"/>
    </i>
    <i t="blank">
      <x v="6"/>
    </i>
    <i>
      <x v="9"/>
      <x v="526"/>
      <x v="13"/>
    </i>
    <i r="1">
      <x v="634"/>
      <x v="13"/>
    </i>
    <i t="blank">
      <x v="9"/>
    </i>
    <i>
      <x v="21"/>
      <x v="639"/>
      <x v="13"/>
    </i>
    <i t="blank">
      <x v="21"/>
    </i>
    <i>
      <x v="22"/>
      <x v="639"/>
      <x v="13"/>
    </i>
    <i t="blank">
      <x v="22"/>
    </i>
    <i>
      <x v="23"/>
      <x v="639"/>
      <x v="13"/>
    </i>
    <i t="blank">
      <x v="23"/>
    </i>
    <i>
      <x v="39"/>
      <x v="639"/>
      <x v="13"/>
    </i>
    <i t="blank">
      <x v="39"/>
    </i>
    <i>
      <x v="66"/>
      <x v="679"/>
      <x v="13"/>
    </i>
    <i t="blank">
      <x v="66"/>
    </i>
    <i>
      <x v="80"/>
      <x v="697"/>
      <x v="26"/>
    </i>
    <i t="blank">
      <x v="80"/>
    </i>
    <i>
      <x v="81"/>
      <x v="697"/>
      <x v="26"/>
    </i>
    <i t="blank">
      <x v="81"/>
    </i>
    <i>
      <x v="83"/>
      <x v="697"/>
      <x v="26"/>
    </i>
    <i t="blank">
      <x v="83"/>
    </i>
  </rowItems>
  <colItems count="1">
    <i/>
  </colItems>
  <pageFields count="1">
    <pageField fld="49" hier="-1"/>
  </pageFields>
  <dataFields count="1">
    <dataField name="Average of UnitPrice" fld="38" subtotal="average" baseField="35" baseItem="13" numFmtId="39"/>
  </dataFields>
  <formats count="219">
    <format dxfId="713">
      <pivotArea outline="0" collapsedLevelsAreSubtotals="1" fieldPosition="0"/>
    </format>
    <format dxfId="712">
      <pivotArea type="topRight" dataOnly="0" labelOnly="1" outline="0" fieldPosition="0"/>
    </format>
    <format dxfId="711">
      <pivotArea dataOnly="0" labelOnly="1" grandRow="1" outline="0" offset="A256" fieldPosition="0"/>
    </format>
    <format dxfId="710">
      <pivotArea type="all" dataOnly="0" outline="0" fieldPosition="0"/>
    </format>
    <format dxfId="709">
      <pivotArea field="7" type="button" dataOnly="0" labelOnly="1" outline="0"/>
    </format>
    <format dxfId="708">
      <pivotArea field="3" type="button" dataOnly="0" labelOnly="1" outline="0" axis="axisRow" fieldPosition="1"/>
    </format>
    <format dxfId="707">
      <pivotArea field="1" type="button" dataOnly="0" labelOnly="1" outline="0"/>
    </format>
    <format dxfId="706">
      <pivotArea field="45" type="button" dataOnly="0" labelOnly="1" outline="0"/>
    </format>
    <format dxfId="705">
      <pivotArea field="3" type="button" dataOnly="0" labelOnly="1" outline="0" axis="axisRow" fieldPosition="1"/>
    </format>
    <format dxfId="704">
      <pivotArea field="1" type="button" dataOnly="0" labelOnly="1" outline="0"/>
    </format>
    <format dxfId="703">
      <pivotArea field="45" type="button" dataOnly="0" labelOnly="1" outline="0"/>
    </format>
    <format dxfId="702">
      <pivotArea field="3" type="button" dataOnly="0" labelOnly="1" outline="0" axis="axisRow" fieldPosition="1"/>
    </format>
    <format dxfId="701">
      <pivotArea field="7" type="button" dataOnly="0" labelOnly="1" outline="0"/>
    </format>
    <format dxfId="700">
      <pivotArea field="1" type="button" dataOnly="0" labelOnly="1" outline="0"/>
    </format>
    <format dxfId="699">
      <pivotArea field="45" type="button" dataOnly="0" labelOnly="1" outline="0"/>
    </format>
    <format dxfId="698">
      <pivotArea field="3" type="button" dataOnly="0" labelOnly="1" outline="0" axis="axisRow" fieldPosition="1"/>
    </format>
    <format dxfId="697">
      <pivotArea field="7" type="button" dataOnly="0" labelOnly="1" outline="0"/>
    </format>
    <format dxfId="696">
      <pivotArea field="1" type="button" dataOnly="0" labelOnly="1" outline="0"/>
    </format>
    <format dxfId="695">
      <pivotArea field="45" type="button" dataOnly="0" labelOnly="1" outline="0"/>
    </format>
    <format dxfId="694">
      <pivotArea field="3" type="button" dataOnly="0" labelOnly="1" outline="0" axis="axisRow" fieldPosition="1"/>
    </format>
    <format dxfId="693">
      <pivotArea field="7" type="button" dataOnly="0" labelOnly="1" outline="0"/>
    </format>
    <format dxfId="692">
      <pivotArea field="1" type="button" dataOnly="0" labelOnly="1" outline="0"/>
    </format>
    <format dxfId="691">
      <pivotArea field="45" type="button" dataOnly="0" labelOnly="1" outline="0"/>
    </format>
    <format dxfId="690">
      <pivotArea field="3" type="button" dataOnly="0" labelOnly="1" outline="0" axis="axisRow" fieldPosition="1"/>
    </format>
    <format dxfId="689">
      <pivotArea field="7" type="button" dataOnly="0" labelOnly="1" outline="0"/>
    </format>
    <format dxfId="688">
      <pivotArea field="1" type="button" dataOnly="0" labelOnly="1" outline="0"/>
    </format>
    <format dxfId="687">
      <pivotArea field="45" type="button" dataOnly="0" labelOnly="1" outline="0"/>
    </format>
    <format dxfId="686">
      <pivotArea field="6" type="button" dataOnly="0" labelOnly="1" outline="0"/>
    </format>
    <format dxfId="685">
      <pivotArea field="6" type="button" dataOnly="0" labelOnly="1" outline="0"/>
    </format>
    <format dxfId="684">
      <pivotArea field="3" type="button" dataOnly="0" labelOnly="1" outline="0" axis="axisRow" fieldPosition="1"/>
    </format>
    <format dxfId="683">
      <pivotArea field="6" type="button" dataOnly="0" labelOnly="1" outline="0"/>
    </format>
    <format dxfId="682">
      <pivotArea field="7" type="button" dataOnly="0" labelOnly="1" outline="0"/>
    </format>
    <format dxfId="681">
      <pivotArea field="1" type="button" dataOnly="0" labelOnly="1" outline="0"/>
    </format>
    <format dxfId="680">
      <pivotArea field="45" type="button" dataOnly="0" labelOnly="1" outline="0"/>
    </format>
    <format dxfId="679">
      <pivotArea field="3" type="button" dataOnly="0" labelOnly="1" outline="0" axis="axisRow" fieldPosition="1"/>
    </format>
    <format dxfId="678">
      <pivotArea field="6" type="button" dataOnly="0" labelOnly="1" outline="0"/>
    </format>
    <format dxfId="677">
      <pivotArea field="7" type="button" dataOnly="0" labelOnly="1" outline="0"/>
    </format>
    <format dxfId="676">
      <pivotArea field="1" type="button" dataOnly="0" labelOnly="1" outline="0"/>
    </format>
    <format dxfId="675">
      <pivotArea field="45" type="button" dataOnly="0" labelOnly="1" outline="0"/>
    </format>
    <format dxfId="674">
      <pivotArea type="all" dataOnly="0" outline="0" fieldPosition="0"/>
    </format>
    <format dxfId="673">
      <pivotArea field="3" type="button" dataOnly="0" labelOnly="1" outline="0" axis="axisRow" fieldPosition="1"/>
    </format>
    <format dxfId="672">
      <pivotArea field="6" type="button" dataOnly="0" labelOnly="1" outline="0"/>
    </format>
    <format dxfId="671">
      <pivotArea field="7" type="button" dataOnly="0" labelOnly="1" outline="0"/>
    </format>
    <format dxfId="670">
      <pivotArea field="1" type="button" dataOnly="0" labelOnly="1" outline="0"/>
    </format>
    <format dxfId="669">
      <pivotArea field="45" type="button" dataOnly="0" labelOnly="1" outline="0"/>
    </format>
    <format dxfId="668">
      <pivotArea field="3" type="button" dataOnly="0" labelOnly="1" outline="0" axis="axisRow" fieldPosition="1"/>
    </format>
    <format dxfId="667">
      <pivotArea field="6" type="button" dataOnly="0" labelOnly="1" outline="0"/>
    </format>
    <format dxfId="666">
      <pivotArea field="7" type="button" dataOnly="0" labelOnly="1" outline="0"/>
    </format>
    <format dxfId="665">
      <pivotArea field="1" type="button" dataOnly="0" labelOnly="1" outline="0"/>
    </format>
    <format dxfId="664">
      <pivotArea field="45" type="button" dataOnly="0" labelOnly="1" outline="0"/>
    </format>
    <format dxfId="663">
      <pivotArea field="3" type="button" dataOnly="0" labelOnly="1" outline="0" axis="axisRow" fieldPosition="1"/>
    </format>
    <format dxfId="662">
      <pivotArea field="6" type="button" dataOnly="0" labelOnly="1" outline="0"/>
    </format>
    <format dxfId="661">
      <pivotArea field="7" type="button" dataOnly="0" labelOnly="1" outline="0"/>
    </format>
    <format dxfId="660">
      <pivotArea field="1" type="button" dataOnly="0" labelOnly="1" outline="0"/>
    </format>
    <format dxfId="659">
      <pivotArea field="45" type="button" dataOnly="0" labelOnly="1" outline="0"/>
    </format>
    <format dxfId="658">
      <pivotArea field="3" type="button" dataOnly="0" labelOnly="1" outline="0" axis="axisRow" fieldPosition="1"/>
    </format>
    <format dxfId="657">
      <pivotArea field="6" type="button" dataOnly="0" labelOnly="1" outline="0"/>
    </format>
    <format dxfId="656">
      <pivotArea field="7" type="button" dataOnly="0" labelOnly="1" outline="0"/>
    </format>
    <format dxfId="655">
      <pivotArea field="1" type="button" dataOnly="0" labelOnly="1" outline="0"/>
    </format>
    <format dxfId="654">
      <pivotArea field="45" type="button" dataOnly="0" labelOnly="1" outline="0"/>
    </format>
    <format dxfId="653">
      <pivotArea field="3" type="button" dataOnly="0" labelOnly="1" outline="0" axis="axisRow" fieldPosition="1"/>
    </format>
    <format dxfId="652">
      <pivotArea field="6" type="button" dataOnly="0" labelOnly="1" outline="0"/>
    </format>
    <format dxfId="651">
      <pivotArea field="7" type="button" dataOnly="0" labelOnly="1" outline="0"/>
    </format>
    <format dxfId="650">
      <pivotArea field="1" type="button" dataOnly="0" labelOnly="1" outline="0"/>
    </format>
    <format dxfId="649">
      <pivotArea field="45" type="button" dataOnly="0" labelOnly="1" outline="0"/>
    </format>
    <format dxfId="648">
      <pivotArea field="3" type="button" dataOnly="0" labelOnly="1" outline="0" axis="axisRow" fieldPosition="1"/>
    </format>
    <format dxfId="647">
      <pivotArea field="6" type="button" dataOnly="0" labelOnly="1" outline="0"/>
    </format>
    <format dxfId="646">
      <pivotArea field="7" type="button" dataOnly="0" labelOnly="1" outline="0"/>
    </format>
    <format dxfId="645">
      <pivotArea field="1" type="button" dataOnly="0" labelOnly="1" outline="0"/>
    </format>
    <format dxfId="644">
      <pivotArea field="45" type="button" dataOnly="0" labelOnly="1" outline="0"/>
    </format>
    <format dxfId="643">
      <pivotArea field="3" type="button" dataOnly="0" labelOnly="1" outline="0" axis="axisRow" fieldPosition="1"/>
    </format>
    <format dxfId="642">
      <pivotArea field="6" type="button" dataOnly="0" labelOnly="1" outline="0"/>
    </format>
    <format dxfId="641">
      <pivotArea field="7" type="button" dataOnly="0" labelOnly="1" outline="0"/>
    </format>
    <format dxfId="640">
      <pivotArea field="1" type="button" dataOnly="0" labelOnly="1" outline="0"/>
    </format>
    <format dxfId="639">
      <pivotArea field="45" type="button" dataOnly="0" labelOnly="1" outline="0"/>
    </format>
    <format dxfId="638">
      <pivotArea field="3" type="button" dataOnly="0" labelOnly="1" outline="0" axis="axisRow" fieldPosition="1"/>
    </format>
    <format dxfId="637">
      <pivotArea field="6" type="button" dataOnly="0" labelOnly="1" outline="0"/>
    </format>
    <format dxfId="636">
      <pivotArea field="7" type="button" dataOnly="0" labelOnly="1" outline="0"/>
    </format>
    <format dxfId="635">
      <pivotArea field="1" type="button" dataOnly="0" labelOnly="1" outline="0"/>
    </format>
    <format dxfId="634">
      <pivotArea field="45" type="button" dataOnly="0" labelOnly="1" outline="0"/>
    </format>
    <format dxfId="633">
      <pivotArea type="all" dataOnly="0" outline="0" fieldPosition="0"/>
    </format>
    <format dxfId="632">
      <pivotArea field="3" type="button" dataOnly="0" labelOnly="1" outline="0" axis="axisRow" fieldPosition="1"/>
    </format>
    <format dxfId="631">
      <pivotArea field="6" type="button" dataOnly="0" labelOnly="1" outline="0"/>
    </format>
    <format dxfId="630">
      <pivotArea field="7" type="button" dataOnly="0" labelOnly="1" outline="0"/>
    </format>
    <format dxfId="629">
      <pivotArea field="1" type="button" dataOnly="0" labelOnly="1" outline="0"/>
    </format>
    <format dxfId="628">
      <pivotArea field="45" type="button" dataOnly="0" labelOnly="1" outline="0"/>
    </format>
    <format dxfId="627">
      <pivotArea field="3" type="button" dataOnly="0" labelOnly="1" outline="0" axis="axisRow" fieldPosition="1"/>
    </format>
    <format dxfId="626">
      <pivotArea field="6" type="button" dataOnly="0" labelOnly="1" outline="0"/>
    </format>
    <format dxfId="625">
      <pivotArea field="7" type="button" dataOnly="0" labelOnly="1" outline="0"/>
    </format>
    <format dxfId="624">
      <pivotArea field="1" type="button" dataOnly="0" labelOnly="1" outline="0"/>
    </format>
    <format dxfId="623">
      <pivotArea field="45" type="button" dataOnly="0" labelOnly="1" outline="0"/>
    </format>
    <format dxfId="622">
      <pivotArea field="3" type="button" dataOnly="0" labelOnly="1" outline="0" axis="axisRow" fieldPosition="1"/>
    </format>
    <format dxfId="621">
      <pivotArea field="6" type="button" dataOnly="0" labelOnly="1" outline="0"/>
    </format>
    <format dxfId="620">
      <pivotArea field="7" type="button" dataOnly="0" labelOnly="1" outline="0"/>
    </format>
    <format dxfId="619">
      <pivotArea field="1" type="button" dataOnly="0" labelOnly="1" outline="0"/>
    </format>
    <format dxfId="618">
      <pivotArea field="45" type="button" dataOnly="0" labelOnly="1" outline="0"/>
    </format>
    <format dxfId="617">
      <pivotArea type="all" dataOnly="0" outline="0" fieldPosition="0"/>
    </format>
    <format dxfId="616">
      <pivotArea field="3" type="button" dataOnly="0" labelOnly="1" outline="0" axis="axisRow" fieldPosition="1"/>
    </format>
    <format dxfId="615">
      <pivotArea field="6" type="button" dataOnly="0" labelOnly="1" outline="0"/>
    </format>
    <format dxfId="614">
      <pivotArea field="7" type="button" dataOnly="0" labelOnly="1" outline="0"/>
    </format>
    <format dxfId="613">
      <pivotArea field="1" type="button" dataOnly="0" labelOnly="1" outline="0"/>
    </format>
    <format dxfId="612">
      <pivotArea field="45" type="button" dataOnly="0" labelOnly="1" outline="0"/>
    </format>
    <format dxfId="611">
      <pivotArea field="46" type="button" dataOnly="0" labelOnly="1" outline="0"/>
    </format>
    <format dxfId="610">
      <pivotArea field="3" type="button" dataOnly="0" labelOnly="1" outline="0" axis="axisRow" fieldPosition="1"/>
    </format>
    <format dxfId="609">
      <pivotArea field="6" type="button" dataOnly="0" labelOnly="1" outline="0"/>
    </format>
    <format dxfId="608">
      <pivotArea field="7" type="button" dataOnly="0" labelOnly="1" outline="0"/>
    </format>
    <format dxfId="607">
      <pivotArea field="1" type="button" dataOnly="0" labelOnly="1" outline="0"/>
    </format>
    <format dxfId="606">
      <pivotArea field="45" type="button" dataOnly="0" labelOnly="1" outline="0"/>
    </format>
    <format dxfId="605">
      <pivotArea field="46" type="button" dataOnly="0" labelOnly="1" outline="0"/>
    </format>
    <format dxfId="604">
      <pivotArea field="3" type="button" dataOnly="0" labelOnly="1" outline="0" axis="axisRow" fieldPosition="1"/>
    </format>
    <format dxfId="603">
      <pivotArea field="6" type="button" dataOnly="0" labelOnly="1" outline="0"/>
    </format>
    <format dxfId="602">
      <pivotArea field="7" type="button" dataOnly="0" labelOnly="1" outline="0"/>
    </format>
    <format dxfId="601">
      <pivotArea field="1" type="button" dataOnly="0" labelOnly="1" outline="0"/>
    </format>
    <format dxfId="600">
      <pivotArea field="45" type="button" dataOnly="0" labelOnly="1" outline="0"/>
    </format>
    <format dxfId="599">
      <pivotArea field="46" type="button" dataOnly="0" labelOnly="1" outline="0"/>
    </format>
    <format dxfId="598">
      <pivotArea field="3" type="button" dataOnly="0" labelOnly="1" outline="0" axis="axisRow" fieldPosition="1"/>
    </format>
    <format dxfId="597">
      <pivotArea field="6" type="button" dataOnly="0" labelOnly="1" outline="0"/>
    </format>
    <format dxfId="596">
      <pivotArea field="7" type="button" dataOnly="0" labelOnly="1" outline="0"/>
    </format>
    <format dxfId="595">
      <pivotArea field="1" type="button" dataOnly="0" labelOnly="1" outline="0"/>
    </format>
    <format dxfId="594">
      <pivotArea field="45" type="button" dataOnly="0" labelOnly="1" outline="0"/>
    </format>
    <format dxfId="593">
      <pivotArea field="46" type="button" dataOnly="0" labelOnly="1" outline="0"/>
    </format>
    <format dxfId="592">
      <pivotArea field="3" type="button" dataOnly="0" labelOnly="1" outline="0" axis="axisRow" fieldPosition="1"/>
    </format>
    <format dxfId="591">
      <pivotArea field="6" type="button" dataOnly="0" labelOnly="1" outline="0"/>
    </format>
    <format dxfId="590">
      <pivotArea field="7" type="button" dataOnly="0" labelOnly="1" outline="0"/>
    </format>
    <format dxfId="589">
      <pivotArea field="1" type="button" dataOnly="0" labelOnly="1" outline="0"/>
    </format>
    <format dxfId="588">
      <pivotArea field="45" type="button" dataOnly="0" labelOnly="1" outline="0"/>
    </format>
    <format dxfId="587">
      <pivotArea field="46" type="button" dataOnly="0" labelOnly="1" outline="0"/>
    </format>
    <format dxfId="586">
      <pivotArea field="3" type="button" dataOnly="0" labelOnly="1" outline="0" axis="axisRow" fieldPosition="1"/>
    </format>
    <format dxfId="585">
      <pivotArea field="6" type="button" dataOnly="0" labelOnly="1" outline="0"/>
    </format>
    <format dxfId="584">
      <pivotArea field="7" type="button" dataOnly="0" labelOnly="1" outline="0"/>
    </format>
    <format dxfId="583">
      <pivotArea field="1" type="button" dataOnly="0" labelOnly="1" outline="0"/>
    </format>
    <format dxfId="582">
      <pivotArea field="45" type="button" dataOnly="0" labelOnly="1" outline="0"/>
    </format>
    <format dxfId="581">
      <pivotArea field="46" type="button" dataOnly="0" labelOnly="1" outline="0"/>
    </format>
    <format dxfId="580">
      <pivotArea field="3" type="button" dataOnly="0" labelOnly="1" outline="0" axis="axisRow" fieldPosition="1"/>
    </format>
    <format dxfId="579">
      <pivotArea field="6" type="button" dataOnly="0" labelOnly="1" outline="0"/>
    </format>
    <format dxfId="578">
      <pivotArea field="7" type="button" dataOnly="0" labelOnly="1" outline="0"/>
    </format>
    <format dxfId="577">
      <pivotArea field="1" type="button" dataOnly="0" labelOnly="1" outline="0"/>
    </format>
    <format dxfId="576">
      <pivotArea field="45" type="button" dataOnly="0" labelOnly="1" outline="0"/>
    </format>
    <format dxfId="575">
      <pivotArea field="46" type="button" dataOnly="0" labelOnly="1" outline="0"/>
    </format>
    <format dxfId="574">
      <pivotArea field="3" type="button" dataOnly="0" labelOnly="1" outline="0" axis="axisRow" fieldPosition="1"/>
    </format>
    <format dxfId="573">
      <pivotArea field="6" type="button" dataOnly="0" labelOnly="1" outline="0"/>
    </format>
    <format dxfId="572">
      <pivotArea field="7" type="button" dataOnly="0" labelOnly="1" outline="0"/>
    </format>
    <format dxfId="571">
      <pivotArea field="1" type="button" dataOnly="0" labelOnly="1" outline="0"/>
    </format>
    <format dxfId="570">
      <pivotArea field="45" type="button" dataOnly="0" labelOnly="1" outline="0"/>
    </format>
    <format dxfId="569">
      <pivotArea field="46" type="button" dataOnly="0" labelOnly="1" outline="0"/>
    </format>
    <format dxfId="568">
      <pivotArea field="3" type="button" dataOnly="0" labelOnly="1" outline="0" axis="axisRow" fieldPosition="1"/>
    </format>
    <format dxfId="567">
      <pivotArea field="6" type="button" dataOnly="0" labelOnly="1" outline="0"/>
    </format>
    <format dxfId="566">
      <pivotArea field="7" type="button" dataOnly="0" labelOnly="1" outline="0"/>
    </format>
    <format dxfId="565">
      <pivotArea field="1" type="button" dataOnly="0" labelOnly="1" outline="0"/>
    </format>
    <format dxfId="564">
      <pivotArea field="45" type="button" dataOnly="0" labelOnly="1" outline="0"/>
    </format>
    <format dxfId="563">
      <pivotArea field="46" type="button" dataOnly="0" labelOnly="1" outline="0"/>
    </format>
    <format dxfId="562">
      <pivotArea field="3" type="button" dataOnly="0" labelOnly="1" outline="0" axis="axisRow" fieldPosition="1"/>
    </format>
    <format dxfId="561">
      <pivotArea field="6" type="button" dataOnly="0" labelOnly="1" outline="0"/>
    </format>
    <format dxfId="560">
      <pivotArea field="7" type="button" dataOnly="0" labelOnly="1" outline="0"/>
    </format>
    <format dxfId="559">
      <pivotArea field="1" type="button" dataOnly="0" labelOnly="1" outline="0"/>
    </format>
    <format dxfId="558">
      <pivotArea field="45" type="button" dataOnly="0" labelOnly="1" outline="0"/>
    </format>
    <format dxfId="557">
      <pivotArea field="46" type="button" dataOnly="0" labelOnly="1" outline="0"/>
    </format>
    <format dxfId="556">
      <pivotArea field="3" type="button" dataOnly="0" labelOnly="1" outline="0" axis="axisRow" fieldPosition="1"/>
    </format>
    <format dxfId="555">
      <pivotArea field="6" type="button" dataOnly="0" labelOnly="1" outline="0"/>
    </format>
    <format dxfId="554">
      <pivotArea field="7" type="button" dataOnly="0" labelOnly="1" outline="0"/>
    </format>
    <format dxfId="553">
      <pivotArea field="1" type="button" dataOnly="0" labelOnly="1" outline="0"/>
    </format>
    <format dxfId="552">
      <pivotArea field="45" type="button" dataOnly="0" labelOnly="1" outline="0"/>
    </format>
    <format dxfId="551">
      <pivotArea field="46" type="button" dataOnly="0" labelOnly="1" outline="0"/>
    </format>
    <format dxfId="550">
      <pivotArea field="3" type="button" dataOnly="0" labelOnly="1" outline="0" axis="axisRow" fieldPosition="1"/>
    </format>
    <format dxfId="549">
      <pivotArea field="6" type="button" dataOnly="0" labelOnly="1" outline="0"/>
    </format>
    <format dxfId="548">
      <pivotArea field="7" type="button" dataOnly="0" labelOnly="1" outline="0"/>
    </format>
    <format dxfId="547">
      <pivotArea field="1" type="button" dataOnly="0" labelOnly="1" outline="0"/>
    </format>
    <format dxfId="546">
      <pivotArea field="45" type="button" dataOnly="0" labelOnly="1" outline="0"/>
    </format>
    <format dxfId="545">
      <pivotArea field="46" type="button" dataOnly="0" labelOnly="1" outline="0"/>
    </format>
    <format dxfId="544">
      <pivotArea field="3" type="button" dataOnly="0" labelOnly="1" outline="0" axis="axisRow" fieldPosition="1"/>
    </format>
    <format dxfId="543">
      <pivotArea field="6" type="button" dataOnly="0" labelOnly="1" outline="0"/>
    </format>
    <format dxfId="542">
      <pivotArea field="7" type="button" dataOnly="0" labelOnly="1" outline="0"/>
    </format>
    <format dxfId="541">
      <pivotArea field="1" type="button" dataOnly="0" labelOnly="1" outline="0"/>
    </format>
    <format dxfId="540">
      <pivotArea field="45" type="button" dataOnly="0" labelOnly="1" outline="0"/>
    </format>
    <format dxfId="539">
      <pivotArea field="46" type="button" dataOnly="0" labelOnly="1" outline="0"/>
    </format>
    <format dxfId="538">
      <pivotArea field="3" type="button" dataOnly="0" labelOnly="1" outline="0" axis="axisRow" fieldPosition="1"/>
    </format>
    <format dxfId="537">
      <pivotArea field="6" type="button" dataOnly="0" labelOnly="1" outline="0"/>
    </format>
    <format dxfId="536">
      <pivotArea field="7" type="button" dataOnly="0" labelOnly="1" outline="0"/>
    </format>
    <format dxfId="535">
      <pivotArea field="1" type="button" dataOnly="0" labelOnly="1" outline="0"/>
    </format>
    <format dxfId="534">
      <pivotArea field="45" type="button" dataOnly="0" labelOnly="1" outline="0"/>
    </format>
    <format dxfId="533">
      <pivotArea field="46" type="button" dataOnly="0" labelOnly="1" outline="0"/>
    </format>
    <format dxfId="532">
      <pivotArea field="3" type="button" dataOnly="0" labelOnly="1" outline="0" axis="axisRow" fieldPosition="1"/>
    </format>
    <format dxfId="531">
      <pivotArea field="6" type="button" dataOnly="0" labelOnly="1" outline="0"/>
    </format>
    <format dxfId="530">
      <pivotArea field="7" type="button" dataOnly="0" labelOnly="1" outline="0"/>
    </format>
    <format dxfId="529">
      <pivotArea field="1" type="button" dataOnly="0" labelOnly="1" outline="0"/>
    </format>
    <format dxfId="528">
      <pivotArea field="45" type="button" dataOnly="0" labelOnly="1" outline="0"/>
    </format>
    <format dxfId="527">
      <pivotArea field="46" type="button" dataOnly="0" labelOnly="1" outline="0"/>
    </format>
    <format dxfId="526">
      <pivotArea field="3" type="button" dataOnly="0" labelOnly="1" outline="0" axis="axisRow" fieldPosition="1"/>
    </format>
    <format dxfId="525">
      <pivotArea field="6" type="button" dataOnly="0" labelOnly="1" outline="0"/>
    </format>
    <format dxfId="524">
      <pivotArea field="7" type="button" dataOnly="0" labelOnly="1" outline="0"/>
    </format>
    <format dxfId="523">
      <pivotArea field="1" type="button" dataOnly="0" labelOnly="1" outline="0"/>
    </format>
    <format dxfId="522">
      <pivotArea field="24" type="button" dataOnly="0" labelOnly="1" outline="0"/>
    </format>
    <format dxfId="521">
      <pivotArea field="45" type="button" dataOnly="0" labelOnly="1" outline="0"/>
    </format>
    <format dxfId="520">
      <pivotArea field="46" type="button" dataOnly="0" labelOnly="1" outline="0"/>
    </format>
    <format dxfId="519">
      <pivotArea field="35" type="button" dataOnly="0" labelOnly="1" outline="0" axis="axisRow" fieldPosition="2"/>
    </format>
    <format dxfId="518">
      <pivotArea field="3" type="button" dataOnly="0" labelOnly="1" outline="0" axis="axisRow" fieldPosition="1"/>
    </format>
    <format dxfId="517">
      <pivotArea field="1" type="button" dataOnly="0" labelOnly="1" outline="0"/>
    </format>
    <format dxfId="516">
      <pivotArea field="24" type="button" dataOnly="0" labelOnly="1" outline="0"/>
    </format>
    <format dxfId="515">
      <pivotArea field="45" type="button" dataOnly="0" labelOnly="1" outline="0"/>
    </format>
    <format dxfId="514">
      <pivotArea field="46" type="button" dataOnly="0" labelOnly="1" outline="0"/>
    </format>
    <format dxfId="513">
      <pivotArea field="35" type="button" dataOnly="0" labelOnly="1" outline="0" axis="axisRow" fieldPosition="2"/>
    </format>
    <format dxfId="512">
      <pivotArea field="7" type="button" dataOnly="0" labelOnly="1" outline="0"/>
    </format>
    <format dxfId="511">
      <pivotArea field="6" type="button" dataOnly="0" labelOnly="1" outline="0"/>
    </format>
    <format dxfId="510">
      <pivotArea field="7" type="button" dataOnly="0" labelOnly="1" outline="0"/>
    </format>
    <format dxfId="509">
      <pivotArea field="6" type="button" dataOnly="0" labelOnly="1" outline="0"/>
    </format>
    <format dxfId="508">
      <pivotArea field="6" type="button" dataOnly="0" labelOnly="1" outline="0"/>
    </format>
    <format dxfId="507">
      <pivotArea outline="0" fieldPosition="0">
        <references count="1">
          <reference field="4294967294" count="1">
            <x v="0"/>
          </reference>
        </references>
      </pivotArea>
    </format>
    <format dxfId="506">
      <pivotArea field="49" type="button" dataOnly="0" labelOnly="1" outline="0" axis="axisPage" fieldPosition="0"/>
    </format>
    <format dxfId="505">
      <pivotArea field="47" type="button" dataOnly="0" labelOnly="1" outline="0" axis="axisRow" fieldPosition="0"/>
    </format>
    <format dxfId="504">
      <pivotArea field="3" type="button" dataOnly="0" labelOnly="1" outline="0" axis="axisRow" fieldPosition="1"/>
    </format>
    <format dxfId="503">
      <pivotArea field="45" type="button" dataOnly="0" labelOnly="1" outline="0"/>
    </format>
    <format dxfId="502">
      <pivotArea field="49" type="button" dataOnly="0" labelOnly="1" outline="0" axis="axisPage" fieldPosition="0"/>
    </format>
    <format dxfId="501">
      <pivotArea field="47" type="button" dataOnly="0" labelOnly="1" outline="0" axis="axisRow" fieldPosition="0"/>
    </format>
    <format dxfId="500">
      <pivotArea field="3" type="button" dataOnly="0" labelOnly="1" outline="0" axis="axisRow" fieldPosition="1"/>
    </format>
    <format dxfId="499">
      <pivotArea field="45" type="button" dataOnly="0" labelOnly="1" outline="0"/>
    </format>
    <format dxfId="498">
      <pivotArea dataOnly="0" labelOnly="1" outline="0" fieldPosition="0">
        <references count="1">
          <reference field="49" count="0"/>
        </references>
      </pivotArea>
    </format>
    <format dxfId="497">
      <pivotArea dataOnly="0" labelOnly="1" outline="0" fieldPosition="0">
        <references count="1">
          <reference field="47" count="0"/>
        </references>
      </pivotArea>
    </format>
    <format dxfId="496">
      <pivotArea field="49" type="button" dataOnly="0" labelOnly="1" outline="0" axis="axisPage" fieldPosition="0"/>
    </format>
    <format dxfId="495">
      <pivotArea dataOnly="0" labelOnly="1" outline="0" fieldPosition="0">
        <references count="1">
          <reference field="49" count="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ivotTable4" cacheId="2" applyNumberFormats="0" applyBorderFormats="0" applyFontFormats="0" applyPatternFormats="0" applyAlignmentFormats="0" applyWidthHeightFormats="1" dataCaption="Values" errorCaption="0" showError="1" missingCaption="0" updatedVersion="4" minRefreshableVersion="3" showDrill="0" rowGrandTotals="0" itemPrintTitles="1" createdVersion="5" indent="0" compact="0" compactData="0" gridDropZones="1" multipleFieldFilters="0" fieldListSortAscending="1">
  <location ref="R11:U33" firstHeaderRow="2" firstDataRow="2" firstDataCol="3" rowPageCount="1" colPageCount="1"/>
  <pivotFields count="52">
    <pivotField compact="0" outline="0" showAll="0" defaultSubtotal="0"/>
    <pivotField compact="0" outline="0" multipleItemSelectionAllowed="1" showAll="0" defaultSubtotal="0">
      <items count="126">
        <item x="107"/>
        <item x="93"/>
        <item x="92"/>
        <item x="91"/>
        <item x="90"/>
        <item x="49"/>
        <item x="33"/>
        <item x="11"/>
        <item x="8"/>
        <item x="105"/>
        <item x="104"/>
        <item x="103"/>
        <item x="58"/>
        <item x="57"/>
        <item x="34"/>
        <item x="21"/>
        <item x="4"/>
        <item x="3"/>
        <item x="2"/>
        <item x="125"/>
        <item x="124"/>
        <item x="123"/>
        <item x="121"/>
        <item x="122"/>
        <item x="118"/>
        <item x="117"/>
        <item x="116"/>
        <item x="115"/>
        <item x="114"/>
        <item x="113"/>
        <item x="120"/>
        <item x="119"/>
        <item x="112"/>
        <item x="111"/>
        <item x="110"/>
        <item x="109"/>
        <item x="108"/>
        <item x="106"/>
        <item x="102"/>
        <item x="101"/>
        <item x="100"/>
        <item x="99"/>
        <item x="98"/>
        <item x="97"/>
        <item x="96"/>
        <item x="95"/>
        <item x="94"/>
        <item x="54"/>
        <item x="44"/>
        <item x="41"/>
        <item x="38"/>
        <item x="36"/>
        <item x="24"/>
        <item x="20"/>
        <item x="9"/>
        <item x="5"/>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6"/>
        <item x="55"/>
        <item x="53"/>
        <item x="52"/>
        <item x="51"/>
        <item x="50"/>
        <item x="48"/>
        <item x="47"/>
        <item x="46"/>
        <item x="45"/>
        <item x="43"/>
        <item x="42"/>
        <item x="40"/>
        <item x="39"/>
        <item x="37"/>
        <item x="35"/>
        <item x="32"/>
        <item x="31"/>
        <item x="30"/>
        <item x="29"/>
        <item x="28"/>
        <item x="27"/>
        <item x="17"/>
        <item x="18"/>
        <item x="19"/>
        <item x="22"/>
        <item x="23"/>
        <item x="25"/>
        <item x="26"/>
        <item x="10"/>
        <item x="12"/>
        <item x="13"/>
        <item x="14"/>
        <item x="15"/>
        <item x="16"/>
        <item x="0"/>
        <item x="1"/>
        <item x="6"/>
        <item x="7"/>
      </items>
      <extLst>
        <ext xmlns:x14="http://schemas.microsoft.com/office/spreadsheetml/2009/9/main" uri="{2946ED86-A175-432a-8AC1-64E0C546D7DE}">
          <x14:pivotField fillDownLabels="1"/>
        </ext>
      </extLst>
    </pivotField>
    <pivotField compact="0" outline="0" showAll="0" defaultSubtotal="0"/>
    <pivotField axis="axisRow" compact="0" outline="0" multipleItemSelectionAllowed="1" showAll="0" sortType="descending" defaultSubtotal="0">
      <items count="794">
        <item x="0"/>
        <item x="1"/>
        <item x="2"/>
        <item x="3"/>
        <item x="4"/>
        <item x="5"/>
        <item x="6"/>
        <item x="9"/>
        <item x="8"/>
        <item x="11"/>
        <item x="7"/>
        <item x="12"/>
        <item x="14"/>
        <item x="15"/>
        <item x="13"/>
        <item x="16"/>
        <item x="18"/>
        <item x="19"/>
        <item x="10"/>
        <item x="17"/>
        <item x="20"/>
        <item x="22"/>
        <item x="23"/>
        <item x="25"/>
        <item x="24"/>
        <item x="21"/>
        <item x="26"/>
        <item x="28"/>
        <item x="27"/>
        <item x="30"/>
        <item x="32"/>
        <item x="31"/>
        <item x="29"/>
        <item x="33"/>
        <item x="36"/>
        <item x="38"/>
        <item x="37"/>
        <item x="39"/>
        <item x="40"/>
        <item x="44"/>
        <item x="43"/>
        <item x="45"/>
        <item x="35"/>
        <item x="46"/>
        <item x="34"/>
        <item x="41"/>
        <item x="47"/>
        <item x="42"/>
        <item x="48"/>
        <item x="50"/>
        <item x="49"/>
        <item x="51"/>
        <item m="1" x="599"/>
        <item x="53"/>
        <item x="56"/>
        <item x="55"/>
        <item x="54"/>
        <item x="57"/>
        <item x="52"/>
        <item x="58"/>
        <item x="59"/>
        <item x="87"/>
        <item x="60"/>
        <item x="63"/>
        <item x="84"/>
        <item x="62"/>
        <item x="61"/>
        <item x="64"/>
        <item x="88"/>
        <item x="66"/>
        <item x="65"/>
        <item x="67"/>
        <item x="69"/>
        <item x="68"/>
        <item x="70"/>
        <item x="71"/>
        <item x="89"/>
        <item x="73"/>
        <item x="72"/>
        <item x="86"/>
        <item x="74"/>
        <item x="90"/>
        <item x="75"/>
        <item x="94"/>
        <item x="91"/>
        <item x="76"/>
        <item x="77"/>
        <item x="78"/>
        <item x="79"/>
        <item x="92"/>
        <item x="80"/>
        <item x="93"/>
        <item x="81"/>
        <item x="82"/>
        <item x="83"/>
        <item x="95"/>
        <item x="85"/>
        <item x="96"/>
        <item x="97"/>
        <item x="98"/>
        <item x="99"/>
        <item x="101"/>
        <item x="100"/>
        <item x="102"/>
        <item x="103"/>
        <item x="104"/>
        <item x="107"/>
        <item x="108"/>
        <item x="109"/>
        <item x="110"/>
        <item x="111"/>
        <item x="105"/>
        <item x="112"/>
        <item x="113"/>
        <item x="114"/>
        <item x="115"/>
        <item x="117"/>
        <item x="118"/>
        <item x="116"/>
        <item x="119"/>
        <item x="120"/>
        <item x="122"/>
        <item x="121"/>
        <item x="123"/>
        <item x="124"/>
        <item x="106"/>
        <item x="125"/>
        <item x="126"/>
        <item x="128"/>
        <item x="130"/>
        <item x="129"/>
        <item x="131"/>
        <item x="133"/>
        <item x="132"/>
        <item x="135"/>
        <item x="136"/>
        <item x="137"/>
        <item x="127"/>
        <item x="141"/>
        <item x="140"/>
        <item x="138"/>
        <item x="139"/>
        <item x="142"/>
        <item x="143"/>
        <item x="134"/>
        <item m="1" x="498"/>
        <item x="145"/>
        <item x="149"/>
        <item x="146"/>
        <item x="144"/>
        <item x="147"/>
        <item x="150"/>
        <item x="151"/>
        <item x="152"/>
        <item x="153"/>
        <item x="155"/>
        <item m="1" x="489"/>
        <item x="158"/>
        <item x="157"/>
        <item x="154"/>
        <item x="159"/>
        <item x="156"/>
        <item x="160"/>
        <item x="161"/>
        <item x="163"/>
        <item x="162"/>
        <item m="1" x="493"/>
        <item m="1" x="208"/>
        <item x="167"/>
        <item m="1" x="790"/>
        <item m="1" x="483"/>
        <item m="1" x="783"/>
        <item x="168"/>
        <item x="166"/>
        <item x="164"/>
        <item x="165"/>
        <item x="169"/>
        <item x="170"/>
        <item x="171"/>
        <item m="1" x="679"/>
        <item m="1" x="364"/>
        <item m="1" x="667"/>
        <item m="1" x="788"/>
        <item m="1" x="481"/>
        <item m="1" x="781"/>
        <item m="1" x="475"/>
        <item x="172"/>
        <item m="1" x="470"/>
        <item m="1" x="768"/>
        <item x="173"/>
        <item m="1" x="760"/>
        <item m="1" x="455"/>
        <item m="1" x="444"/>
        <item m="1" x="745"/>
        <item m="1" x="434"/>
        <item m="1" x="734"/>
        <item m="1" x="423"/>
        <item m="1" x="724"/>
        <item m="1" x="411"/>
        <item m="1" x="713"/>
        <item m="1" x="401"/>
        <item x="175"/>
        <item m="1" x="390"/>
        <item x="176"/>
        <item m="1" x="377"/>
        <item m="1" x="677"/>
        <item m="1" x="362"/>
        <item m="1" x="665"/>
        <item m="1" x="352"/>
        <item m="1" x="653"/>
        <item m="1" x="338"/>
        <item m="1" x="637"/>
        <item m="1" x="774"/>
        <item x="174"/>
        <item m="1" x="766"/>
        <item m="1" x="462"/>
        <item m="1" x="758"/>
        <item m="1" x="453"/>
        <item x="177"/>
        <item m="1" x="442"/>
        <item x="179"/>
        <item m="1" x="432"/>
        <item x="178"/>
        <item m="1" x="421"/>
        <item m="1" x="722"/>
        <item m="1" x="409"/>
        <item m="1" x="711"/>
        <item m="1" x="399"/>
        <item m="1" x="700"/>
        <item m="1" x="388"/>
        <item m="1" x="688"/>
        <item m="1" x="375"/>
        <item m="1" x="675"/>
        <item m="1" x="360"/>
        <item m="1" x="663"/>
        <item m="1" x="350"/>
        <item m="1" x="651"/>
        <item x="180"/>
        <item m="1" x="635"/>
        <item x="181"/>
        <item m="1" x="620"/>
        <item m="1" x="311"/>
        <item m="1" x="607"/>
        <item m="1" x="451"/>
        <item x="182"/>
        <item m="1" x="440"/>
        <item m="1" x="742"/>
        <item m="1" x="430"/>
        <item m="1" x="731"/>
        <item m="1" x="419"/>
        <item m="1" x="720"/>
        <item m="1" x="407"/>
        <item m="1" x="709"/>
        <item m="1" x="397"/>
        <item m="1" x="698"/>
        <item m="1" x="386"/>
        <item x="183"/>
        <item m="1" x="373"/>
        <item x="184"/>
        <item x="185"/>
        <item m="1" x="661"/>
        <item m="1" x="348"/>
        <item m="1" x="649"/>
        <item m="1" x="335"/>
        <item m="1" x="633"/>
        <item m="1" x="322"/>
        <item m="1" x="618"/>
        <item x="186"/>
        <item m="1" x="605"/>
        <item x="187"/>
        <item m="1" x="592"/>
        <item m="1" x="289"/>
        <item m="1" x="580"/>
        <item m="1" x="740"/>
        <item m="1" x="428"/>
        <item m="1" x="729"/>
        <item m="1" x="417"/>
        <item m="1" x="718"/>
        <item x="188"/>
        <item m="1" x="707"/>
        <item x="189"/>
        <item m="1" x="696"/>
        <item m="1" x="384"/>
        <item m="1" x="685"/>
        <item m="1" x="370"/>
        <item m="1" x="672"/>
        <item m="1" x="357"/>
        <item m="1" x="659"/>
        <item m="1" x="346"/>
        <item m="1" x="647"/>
        <item m="1" x="333"/>
        <item m="1" x="631"/>
        <item m="1" x="320"/>
        <item m="1" x="616"/>
        <item m="1" x="308"/>
        <item m="1" x="603"/>
        <item m="1" x="297"/>
        <item m="1" x="590"/>
        <item x="192"/>
        <item x="193"/>
        <item m="1" x="569"/>
        <item m="1" x="279"/>
        <item m="1" x="568"/>
        <item x="194"/>
        <item m="1" x="557"/>
        <item x="190"/>
        <item m="1" x="705"/>
        <item m="1" x="372"/>
        <item m="1" x="394"/>
        <item x="195"/>
        <item m="1" x="382"/>
        <item m="1" x="683"/>
        <item m="1" x="368"/>
        <item x="196"/>
        <item m="1" x="355"/>
        <item m="1" x="657"/>
        <item m="1" x="630"/>
        <item m="1" x="344"/>
        <item m="1" x="645"/>
        <item m="1" x="331"/>
        <item m="1" x="628"/>
        <item m="1" x="318"/>
        <item m="1" x="306"/>
        <item m="1" x="601"/>
        <item x="197"/>
        <item m="1" x="588"/>
        <item m="1" x="286"/>
        <item m="1" x="577"/>
        <item x="198"/>
        <item m="1" x="565"/>
        <item m="1" x="270"/>
        <item m="1" x="555"/>
        <item x="199"/>
        <item m="1" x="547"/>
        <item m="1" x="256"/>
        <item m="1" x="539"/>
        <item m="1" x="693"/>
        <item m="1" x="380"/>
        <item m="1" x="681"/>
        <item m="1" x="366"/>
        <item m="1" x="669"/>
        <item x="200"/>
        <item m="1" x="655"/>
        <item m="1" x="342"/>
        <item m="1" x="643"/>
        <item m="1" x="329"/>
        <item m="1" x="626"/>
        <item m="1" x="316"/>
        <item m="1" x="613"/>
        <item m="1" x="304"/>
        <item m="1" x="598"/>
        <item m="1" x="294"/>
        <item m="1" x="586"/>
        <item m="1" x="284"/>
        <item m="1" x="575"/>
        <item m="1" x="276"/>
        <item m="1" x="563"/>
        <item m="1" x="268"/>
        <item m="1" x="553"/>
        <item m="1" x="262"/>
        <item m="1" x="545"/>
        <item m="1" x="255"/>
        <item m="1" x="537"/>
        <item m="1" x="248"/>
        <item m="1" x="531"/>
        <item m="1" x="241"/>
        <item m="1" x="524"/>
        <item m="1" x="340"/>
        <item m="1" x="641"/>
        <item m="1" x="327"/>
        <item m="1" x="624"/>
        <item m="1" x="314"/>
        <item m="1" x="611"/>
        <item m="1" x="302"/>
        <item m="1" x="596"/>
        <item m="1" x="292"/>
        <item m="1" x="584"/>
        <item m="1" x="282"/>
        <item m="1" x="573"/>
        <item m="1" x="274"/>
        <item m="1" x="561"/>
        <item m="1" x="266"/>
        <item m="1" x="551"/>
        <item m="1" x="260"/>
        <item m="1" x="543"/>
        <item m="1" x="253"/>
        <item m="1" x="535"/>
        <item m="1" x="246"/>
        <item m="1" x="529"/>
        <item m="1" x="239"/>
        <item m="1" x="522"/>
        <item x="201"/>
        <item m="1" x="517"/>
        <item m="1" x="230"/>
        <item m="1" x="511"/>
        <item m="1" x="639"/>
        <item m="1" x="325"/>
        <item m="1" x="622"/>
        <item x="202"/>
        <item m="1" x="609"/>
        <item m="1" x="300"/>
        <item m="1" x="594"/>
        <item x="203"/>
        <item m="1" x="582"/>
        <item x="204"/>
        <item m="1" x="571"/>
        <item m="1" x="272"/>
        <item m="1" x="559"/>
        <item x="205"/>
        <item m="1" x="549"/>
        <item m="1" x="258"/>
        <item m="1" x="541"/>
        <item m="1" x="251"/>
        <item m="1" x="533"/>
        <item m="1" x="244"/>
        <item m="1" x="527"/>
        <item x="206"/>
        <item m="1" x="520"/>
        <item m="1" x="234"/>
        <item m="1" x="515"/>
        <item m="1" x="228"/>
        <item m="1" x="509"/>
        <item m="1" x="224"/>
        <item m="1" x="505"/>
        <item m="1" x="219"/>
        <item m="1" x="242"/>
        <item m="1" x="525"/>
        <item m="1" x="236"/>
        <item m="1" x="518"/>
        <item m="1" x="232"/>
        <item m="1" x="513"/>
        <item m="1" x="226"/>
        <item m="1" x="507"/>
        <item m="1" x="222"/>
        <item m="1" x="503"/>
        <item m="1" x="217"/>
        <item m="1" x="499"/>
        <item m="1" x="214"/>
        <item x="191"/>
        <item m="1" x="211"/>
        <item m="1" x="491"/>
        <item m="1" x="793"/>
        <item m="1" x="486"/>
        <item m="1" x="786"/>
        <item m="1" x="479"/>
        <item m="1" x="779"/>
        <item x="148"/>
        <item m="1" x="772"/>
        <item m="1" x="467"/>
        <item m="1" x="764"/>
        <item m="1" x="459"/>
        <item m="1" x="756"/>
        <item m="1" x="448"/>
        <item m="1" x="749"/>
        <item m="1" x="438"/>
        <item m="1" x="738"/>
        <item m="1" x="512"/>
        <item m="1" x="225"/>
        <item m="1" x="506"/>
        <item m="1" x="221"/>
        <item m="1" x="502"/>
        <item m="1" x="216"/>
        <item m="1" x="497"/>
        <item m="1" x="213"/>
        <item m="1" x="231"/>
        <item m="1" x="495"/>
        <item m="1" x="210"/>
        <item m="1" x="490"/>
        <item m="1" x="792"/>
        <item m="1" x="485"/>
        <item m="1" x="785"/>
        <item m="1" x="478"/>
        <item m="1" x="778"/>
        <item m="1" x="473"/>
        <item m="1" x="771"/>
        <item m="1" x="466"/>
        <item m="1" x="763"/>
        <item m="1" x="458"/>
        <item m="1" x="755"/>
        <item m="1" x="447"/>
        <item m="1" x="748"/>
        <item m="1" x="437"/>
        <item m="1" x="737"/>
        <item m="1" x="426"/>
        <item m="1" x="727"/>
        <item m="1" x="414"/>
        <item m="1" x="716"/>
        <item m="1" x="220"/>
        <item m="1" x="501"/>
        <item m="1" x="215"/>
        <item m="1" x="496"/>
        <item m="1" x="212"/>
        <item m="1" x="494"/>
        <item m="1" x="209"/>
        <item m="1" x="488"/>
        <item m="1" x="791"/>
        <item m="1" x="484"/>
        <item m="1" x="784"/>
        <item m="1" x="477"/>
        <item m="1" x="777"/>
        <item m="1" x="472"/>
        <item m="1" x="770"/>
        <item m="1" x="465"/>
        <item m="1" x="762"/>
        <item m="1" x="457"/>
        <item m="1" x="754"/>
        <item m="1" x="446"/>
        <item m="1" x="747"/>
        <item m="1" x="436"/>
        <item m="1" x="736"/>
        <item m="1" x="425"/>
        <item m="1" x="726"/>
        <item m="1" x="413"/>
        <item m="1" x="715"/>
        <item m="1" x="403"/>
        <item m="1" x="703"/>
        <item m="1" x="392"/>
        <item m="1" x="691"/>
        <item m="1" x="492"/>
        <item m="1" x="207"/>
        <item m="1" x="487"/>
        <item m="1" x="789"/>
        <item m="1" x="482"/>
        <item m="1" x="782"/>
        <item m="1" x="476"/>
        <item m="1" x="776"/>
        <item m="1" x="471"/>
        <item m="1" x="769"/>
        <item m="1" x="464"/>
        <item m="1" x="761"/>
        <item m="1" x="456"/>
        <item m="1" x="753"/>
        <item m="1" x="445"/>
        <item m="1" x="746"/>
        <item m="1" x="435"/>
        <item m="1" x="735"/>
        <item m="1" x="424"/>
        <item m="1" x="725"/>
        <item m="1" x="412"/>
        <item m="1" x="714"/>
        <item m="1" x="402"/>
        <item m="1" x="702"/>
        <item m="1" x="391"/>
        <item m="1" x="690"/>
        <item m="1" x="378"/>
        <item m="1" x="678"/>
        <item m="1" x="363"/>
        <item m="1" x="666"/>
        <item m="1" x="787"/>
        <item m="1" x="480"/>
        <item m="1" x="780"/>
        <item m="1" x="474"/>
        <item m="1" x="775"/>
        <item m="1" x="469"/>
        <item m="1" x="767"/>
        <item m="1" x="463"/>
        <item m="1" x="759"/>
        <item m="1" x="454"/>
        <item m="1" x="752"/>
        <item m="1" x="443"/>
        <item m="1" x="744"/>
        <item m="1" x="433"/>
        <item m="1" x="733"/>
        <item m="1" x="422"/>
        <item m="1" x="723"/>
        <item m="1" x="410"/>
        <item m="1" x="712"/>
        <item m="1" x="400"/>
        <item m="1" x="701"/>
        <item m="1" x="389"/>
        <item m="1" x="689"/>
        <item m="1" x="376"/>
        <item m="1" x="676"/>
        <item m="1" x="361"/>
        <item m="1" x="664"/>
        <item m="1" x="351"/>
        <item m="1" x="652"/>
        <item m="1" x="337"/>
        <item m="1" x="636"/>
        <item m="1" x="773"/>
        <item m="1" x="468"/>
        <item m="1" x="765"/>
        <item m="1" x="461"/>
        <item m="1" x="757"/>
        <item m="1" x="452"/>
        <item m="1" x="751"/>
        <item m="1" x="441"/>
        <item m="1" x="743"/>
        <item m="1" x="431"/>
        <item m="1" x="732"/>
        <item m="1" x="420"/>
        <item m="1" x="721"/>
        <item m="1" x="408"/>
        <item m="1" x="710"/>
        <item m="1" x="398"/>
        <item m="1" x="699"/>
        <item m="1" x="387"/>
        <item m="1" x="687"/>
        <item m="1" x="374"/>
        <item m="1" x="674"/>
        <item m="1" x="359"/>
        <item m="1" x="662"/>
        <item m="1" x="449"/>
        <item m="1" x="349"/>
        <item m="1" x="650"/>
        <item m="1" x="336"/>
        <item m="1" x="634"/>
        <item m="1" x="323"/>
        <item m="1" x="619"/>
        <item m="1" x="310"/>
        <item m="1" x="606"/>
        <item m="1" x="450"/>
        <item m="1" x="750"/>
        <item m="1" x="439"/>
        <item m="1" x="741"/>
        <item m="1" x="429"/>
        <item m="1" x="730"/>
        <item m="1" x="418"/>
        <item m="1" x="719"/>
        <item m="1" x="406"/>
        <item m="1" x="708"/>
        <item m="1" x="396"/>
        <item m="1" x="697"/>
        <item m="1" x="385"/>
        <item m="1" x="686"/>
        <item m="1" x="371"/>
        <item m="1" x="673"/>
        <item m="1" x="358"/>
        <item m="1" x="660"/>
        <item m="1" x="347"/>
        <item m="1" x="648"/>
        <item m="1" x="334"/>
        <item m="1" x="632"/>
        <item m="1" x="321"/>
        <item m="1" x="617"/>
        <item m="1" x="309"/>
        <item m="1" x="604"/>
        <item m="1" x="298"/>
        <item m="1" x="591"/>
        <item m="1" x="288"/>
        <item m="1" x="579"/>
        <item m="1" x="739"/>
        <item m="1" x="427"/>
        <item m="1" x="728"/>
        <item m="1" x="416"/>
        <item m="1" x="717"/>
        <item m="1" x="405"/>
        <item m="1" x="706"/>
        <item m="1" x="395"/>
        <item m="1" x="695"/>
        <item m="1" x="383"/>
        <item m="1" x="684"/>
        <item m="1" x="369"/>
        <item m="1" x="671"/>
        <item m="1" x="356"/>
        <item m="1" x="658"/>
        <item m="1" x="345"/>
        <item m="1" x="646"/>
        <item m="1" x="332"/>
        <item m="1" x="629"/>
        <item m="1" x="319"/>
        <item m="1" x="615"/>
        <item m="1" x="307"/>
        <item m="1" x="602"/>
        <item m="1" x="296"/>
        <item m="1" x="589"/>
        <item m="1" x="287"/>
        <item m="1" x="578"/>
        <item m="1" x="278"/>
        <item m="1" x="567"/>
        <item m="1" x="556"/>
        <item m="1" x="404"/>
        <item m="1" x="704"/>
        <item m="1" x="393"/>
        <item m="1" x="694"/>
        <item m="1" x="381"/>
        <item m="1" x="682"/>
        <item m="1" x="367"/>
        <item m="1" x="670"/>
        <item m="1" x="354"/>
        <item m="1" x="656"/>
        <item m="1" x="343"/>
        <item m="1" x="644"/>
        <item m="1" x="330"/>
        <item m="1" x="627"/>
        <item m="1" x="317"/>
        <item m="1" x="614"/>
        <item m="1" x="305"/>
        <item m="1" x="600"/>
        <item m="1" x="295"/>
        <item m="1" x="587"/>
        <item m="1" x="566"/>
        <item m="1" x="285"/>
        <item m="1" x="576"/>
        <item m="1" x="277"/>
        <item m="1" x="415"/>
        <item m="1" x="564"/>
        <item m="1" x="269"/>
        <item m="1" x="554"/>
        <item m="1" x="263"/>
        <item m="1" x="546"/>
        <item m="1" x="538"/>
        <item m="1" x="692"/>
        <item m="1" x="379"/>
        <item m="1" x="680"/>
        <item m="1" x="365"/>
        <item m="1" x="668"/>
        <item m="1" x="353"/>
        <item m="1" x="654"/>
        <item m="1" x="341"/>
        <item m="1" x="642"/>
        <item m="1" x="328"/>
        <item m="1" x="625"/>
        <item m="1" x="315"/>
        <item m="1" x="612"/>
        <item m="1" x="303"/>
        <item m="1" x="597"/>
        <item m="1" x="293"/>
        <item m="1" x="585"/>
        <item m="1" x="283"/>
        <item m="1" x="574"/>
        <item m="1" x="275"/>
        <item m="1" x="562"/>
        <item m="1" x="267"/>
        <item m="1" x="552"/>
        <item m="1" x="261"/>
        <item m="1" x="544"/>
        <item m="1" x="254"/>
        <item m="1" x="536"/>
        <item m="1" x="247"/>
        <item m="1" x="530"/>
        <item m="1" x="240"/>
        <item m="1" x="523"/>
        <item m="1" x="339"/>
        <item m="1" x="640"/>
        <item m="1" x="326"/>
        <item m="1" x="623"/>
        <item m="1" x="313"/>
        <item m="1" x="610"/>
        <item m="1" x="301"/>
        <item m="1" x="595"/>
        <item m="1" x="291"/>
        <item m="1" x="583"/>
        <item m="1" x="281"/>
        <item m="1" x="460"/>
        <item m="1" x="572"/>
        <item m="1" x="273"/>
        <item m="1" x="560"/>
        <item m="1" x="265"/>
        <item m="1" x="550"/>
        <item m="1" x="259"/>
        <item m="1" x="542"/>
        <item m="1" x="249"/>
        <item m="1" x="252"/>
        <item m="1" x="534"/>
        <item m="1" x="245"/>
        <item m="1" x="528"/>
        <item m="1" x="238"/>
        <item m="1" x="521"/>
        <item m="1" x="235"/>
        <item m="1" x="516"/>
        <item m="1" x="229"/>
        <item m="1" x="510"/>
        <item m="1" x="638"/>
        <item m="1" x="324"/>
        <item m="1" x="621"/>
        <item m="1" x="312"/>
        <item m="1" x="608"/>
        <item m="1" x="299"/>
        <item m="1" x="593"/>
        <item m="1" x="290"/>
        <item m="1" x="581"/>
        <item m="1" x="280"/>
        <item m="1" x="570"/>
        <item m="1" x="271"/>
        <item m="1" x="558"/>
        <item m="1" x="264"/>
        <item m="1" x="548"/>
        <item m="1" x="257"/>
        <item m="1" x="540"/>
        <item m="1" x="250"/>
        <item m="1" x="532"/>
        <item m="1" x="243"/>
        <item m="1" x="526"/>
        <item m="1" x="237"/>
        <item m="1" x="519"/>
        <item m="1" x="233"/>
        <item m="1" x="514"/>
        <item m="1" x="227"/>
        <item m="1" x="508"/>
        <item m="1" x="223"/>
        <item m="1" x="504"/>
        <item m="1" x="218"/>
        <item m="1" x="500"/>
      </items>
      <extLst>
        <ext xmlns:x14="http://schemas.microsoft.com/office/spreadsheetml/2009/9/main" uri="{2946ED86-A175-432a-8AC1-64E0C546D7DE}">
          <x14:pivotField fillDownLabels="1"/>
        </ext>
      </extLst>
    </pivotField>
    <pivotField compact="0" outline="0" showAll="0" defaultSubtotal="0"/>
    <pivotField compact="0" outline="0" multipleItemSelectionAllowed="1" showAll="0"/>
    <pivotField compact="0" outline="0" multipleItemSelectionAllowed="1" showAll="0" defaultSubtotal="0">
      <items count="69">
        <item m="1" x="58"/>
        <item m="1" x="32"/>
        <item m="1" x="12"/>
        <item m="1" x="15"/>
        <item m="1" x="47"/>
        <item m="1" x="67"/>
        <item m="1" x="63"/>
        <item m="1" x="35"/>
        <item m="1" x="23"/>
        <item m="1" x="49"/>
        <item m="1" x="54"/>
        <item m="1" x="13"/>
        <item m="1" x="48"/>
        <item m="1" x="24"/>
        <item m="1" x="57"/>
        <item m="1" x="55"/>
        <item m="1" x="39"/>
        <item m="1" x="33"/>
        <item m="1" x="65"/>
        <item m="1" x="38"/>
        <item m="1" x="40"/>
        <item m="1" x="50"/>
        <item m="1" x="37"/>
        <item x="0"/>
        <item m="1" x="46"/>
        <item m="1" x="29"/>
        <item m="1" x="68"/>
        <item m="1" x="18"/>
        <item m="1" x="66"/>
        <item m="1" x="59"/>
        <item m="1" x="62"/>
        <item m="1" x="19"/>
        <item m="1" x="43"/>
        <item m="1" x="51"/>
        <item m="1" x="11"/>
        <item m="1" x="21"/>
        <item m="1" x="45"/>
        <item m="1" x="16"/>
        <item m="1" x="60"/>
        <item m="1" x="20"/>
        <item m="1" x="64"/>
        <item m="1" x="10"/>
        <item m="1" x="42"/>
        <item m="1" x="56"/>
        <item m="1" x="34"/>
        <item m="1" x="17"/>
        <item x="2"/>
        <item m="1" x="36"/>
        <item x="1"/>
        <item m="1" x="27"/>
        <item m="1" x="25"/>
        <item m="1" x="22"/>
        <item m="1" x="26"/>
        <item m="1" x="41"/>
        <item m="1" x="31"/>
        <item m="1" x="30"/>
        <item x="7"/>
        <item m="1" x="61"/>
        <item x="5"/>
        <item x="9"/>
        <item m="1" x="28"/>
        <item x="8"/>
        <item m="1" x="44"/>
        <item m="1" x="53"/>
        <item m="1" x="14"/>
        <item m="1" x="52"/>
        <item x="6"/>
        <item x="3"/>
        <item x="4"/>
      </items>
      <extLst>
        <ext xmlns:x14="http://schemas.microsoft.com/office/spreadsheetml/2009/9/main" uri="{2946ED86-A175-432a-8AC1-64E0C546D7DE}">
          <x14:pivotField fillDownLabels="1"/>
        </ext>
      </extLst>
    </pivotField>
    <pivotField compact="0" outline="0" multipleItemSelectionAllowed="1" showAll="0" defaultSubtotal="0">
      <items count="171">
        <item m="1" x="16"/>
        <item m="1" x="28"/>
        <item m="1" x="159"/>
        <item m="1" x="23"/>
        <item m="1" x="126"/>
        <item m="1" x="127"/>
        <item m="1" x="81"/>
        <item m="1" x="130"/>
        <item m="1" x="75"/>
        <item m="1" x="125"/>
        <item m="1" x="150"/>
        <item m="1" x="134"/>
        <item m="1" x="160"/>
        <item m="1" x="113"/>
        <item m="1" x="91"/>
        <item m="1" x="47"/>
        <item m="1" x="71"/>
        <item m="1" x="155"/>
        <item m="1" x="143"/>
        <item m="1" x="146"/>
        <item m="1" x="82"/>
        <item m="1" x="18"/>
        <item m="1" x="65"/>
        <item m="1" x="148"/>
        <item m="1" x="27"/>
        <item m="1" x="139"/>
        <item m="1" x="89"/>
        <item m="1" x="147"/>
        <item m="1" x="48"/>
        <item m="1" x="31"/>
        <item m="1" x="12"/>
        <item m="1" x="41"/>
        <item m="1" x="135"/>
        <item m="1" x="133"/>
        <item m="1" x="128"/>
        <item m="1" x="129"/>
        <item m="1" x="109"/>
        <item m="1" x="44"/>
        <item m="1" x="68"/>
        <item m="1" x="153"/>
        <item m="1" x="123"/>
        <item m="1" x="22"/>
        <item m="1" x="164"/>
        <item m="1" x="110"/>
        <item m="1" x="105"/>
        <item m="1" x="37"/>
        <item m="1" x="120"/>
        <item m="1" x="119"/>
        <item m="1" x="122"/>
        <item m="1" x="4"/>
        <item m="1" x="114"/>
        <item m="1" x="117"/>
        <item m="1" x="96"/>
        <item m="1" x="49"/>
        <item m="1" x="124"/>
        <item m="1" x="112"/>
        <item m="1" x="57"/>
        <item m="1" x="83"/>
        <item m="1" x="87"/>
        <item m="1" x="94"/>
        <item m="1" x="90"/>
        <item m="1" x="34"/>
        <item m="1" x="144"/>
        <item m="1" x="142"/>
        <item m="1" x="154"/>
        <item m="1" x="97"/>
        <item m="1" x="67"/>
        <item m="1" x="167"/>
        <item m="1" x="84"/>
        <item m="1" x="8"/>
        <item m="1" x="29"/>
        <item m="1" x="24"/>
        <item m="1" x="26"/>
        <item m="1" x="9"/>
        <item m="1" x="56"/>
        <item m="1" x="40"/>
        <item m="1" x="131"/>
        <item m="1" x="62"/>
        <item m="1" x="54"/>
        <item m="1" x="61"/>
        <item m="1" x="19"/>
        <item m="1" x="163"/>
        <item m="1" x="73"/>
        <item m="1" x="32"/>
        <item m="1" x="33"/>
        <item m="1" x="46"/>
        <item m="1" x="20"/>
        <item m="1" x="102"/>
        <item m="1" x="166"/>
        <item m="1" x="85"/>
        <item m="1" x="151"/>
        <item m="1" x="38"/>
        <item m="1" x="36"/>
        <item m="1" x="136"/>
        <item m="1" x="77"/>
        <item m="1" x="5"/>
        <item m="1" x="80"/>
        <item m="1" x="35"/>
        <item m="1" x="42"/>
        <item m="1" x="72"/>
        <item m="1" x="45"/>
        <item m="1" x="116"/>
        <item m="1" x="95"/>
        <item m="1" x="70"/>
        <item m="1" x="55"/>
        <item m="1" x="79"/>
        <item m="1" x="76"/>
        <item m="1" x="145"/>
        <item m="1" x="108"/>
        <item m="1" x="59"/>
        <item m="1" x="152"/>
        <item m="1" x="14"/>
        <item m="1" x="50"/>
        <item m="1" x="107"/>
        <item m="1" x="169"/>
        <item m="1" x="60"/>
        <item m="1" x="6"/>
        <item m="1" x="78"/>
        <item m="1" x="93"/>
        <item m="1" x="162"/>
        <item m="1" x="21"/>
        <item m="1" x="52"/>
        <item m="1" x="86"/>
        <item m="1" x="63"/>
        <item m="1" x="121"/>
        <item m="1" x="137"/>
        <item m="1" x="51"/>
        <item m="1" x="39"/>
        <item m="1" x="98"/>
        <item m="1" x="158"/>
        <item m="1" x="157"/>
        <item m="1" x="165"/>
        <item m="1" x="161"/>
        <item m="1" x="69"/>
        <item m="1" x="106"/>
        <item m="1" x="101"/>
        <item m="1" x="104"/>
        <item m="1" x="103"/>
        <item m="1" x="141"/>
        <item m="1" x="170"/>
        <item m="1" x="64"/>
        <item m="1" x="10"/>
        <item m="1" x="100"/>
        <item m="1" x="111"/>
        <item m="1" x="138"/>
        <item m="1" x="115"/>
        <item m="1" x="66"/>
        <item m="1" x="7"/>
        <item m="1" x="99"/>
        <item m="1" x="43"/>
        <item m="1" x="118"/>
        <item m="1" x="3"/>
        <item m="1" x="168"/>
        <item m="1" x="149"/>
        <item m="1" x="53"/>
        <item m="1" x="88"/>
        <item m="1" x="58"/>
        <item m="1" x="25"/>
        <item m="1" x="15"/>
        <item m="1" x="11"/>
        <item m="1" x="30"/>
        <item m="1" x="132"/>
        <item m="1" x="156"/>
        <item m="1" x="13"/>
        <item m="1" x="140"/>
        <item m="1" x="92"/>
        <item x="0"/>
        <item x="1"/>
        <item m="1" x="74"/>
        <item m="1" x="17"/>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0">
        <item x="25"/>
        <item x="31"/>
        <item x="18"/>
        <item x="22"/>
        <item x="36"/>
        <item x="29"/>
        <item m="1" x="43"/>
        <item x="32"/>
        <item x="14"/>
        <item m="1" x="49"/>
        <item x="33"/>
        <item m="1" x="46"/>
        <item x="23"/>
        <item m="1" x="47"/>
        <item m="1" x="48"/>
        <item m="1" x="44"/>
        <item x="30"/>
        <item x="4"/>
        <item x="5"/>
        <item x="1"/>
        <item x="42"/>
        <item x="17"/>
        <item x="20"/>
        <item x="28"/>
        <item x="21"/>
        <item x="37"/>
        <item m="1" x="45"/>
        <item x="35"/>
        <item x="34"/>
        <item x="24"/>
        <item x="27"/>
        <item x="19"/>
        <item x="15"/>
        <item x="16"/>
        <item x="26"/>
        <item x="2"/>
        <item x="40"/>
        <item x="41"/>
        <item x="39"/>
        <item x="38"/>
        <item x="13"/>
        <item x="12"/>
        <item x="11"/>
        <item x="3"/>
        <item x="7"/>
        <item x="10"/>
        <item x="9"/>
        <item x="8"/>
        <item x="6"/>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95">
        <item m="1" x="80"/>
        <item m="1" x="87"/>
        <item m="1" x="91"/>
        <item x="27"/>
        <item x="14"/>
        <item x="13"/>
        <item m="1" x="92"/>
        <item m="1" x="84"/>
        <item m="1" x="94"/>
        <item m="1" x="75"/>
        <item x="56"/>
        <item x="31"/>
        <item m="1" x="77"/>
        <item m="1" x="93"/>
        <item m="1" x="86"/>
        <item m="1" x="71"/>
        <item m="1" x="89"/>
        <item m="1" x="82"/>
        <item m="1" x="76"/>
        <item x="51"/>
        <item m="1" x="85"/>
        <item m="1" x="70"/>
        <item m="1" x="81"/>
        <item m="1" x="88"/>
        <item m="1" x="72"/>
        <item x="69"/>
        <item x="60"/>
        <item m="1" x="90"/>
        <item m="1" x="74"/>
        <item x="15"/>
        <item x="66"/>
        <item x="65"/>
        <item x="58"/>
        <item x="68"/>
        <item x="17"/>
        <item x="25"/>
        <item x="29"/>
        <item x="28"/>
        <item x="46"/>
        <item x="35"/>
        <item x="42"/>
        <item x="2"/>
        <item x="59"/>
        <item x="44"/>
        <item m="1" x="79"/>
        <item x="57"/>
        <item m="1" x="83"/>
        <item x="30"/>
        <item m="1" x="78"/>
        <item x="18"/>
        <item x="11"/>
        <item x="24"/>
        <item x="9"/>
        <item x="0"/>
        <item x="67"/>
        <item x="48"/>
        <item m="1" x="73"/>
        <item x="47"/>
        <item x="12"/>
        <item x="37"/>
        <item x="61"/>
        <item x="62"/>
        <item x="63"/>
        <item x="64"/>
        <item x="6"/>
        <item x="55"/>
        <item x="36"/>
        <item x="34"/>
        <item x="4"/>
        <item x="3"/>
        <item x="19"/>
        <item x="20"/>
        <item x="21"/>
        <item x="54"/>
        <item x="53"/>
        <item x="16"/>
        <item x="52"/>
        <item x="32"/>
        <item x="7"/>
        <item x="1"/>
        <item x="49"/>
        <item x="50"/>
        <item x="43"/>
        <item x="41"/>
        <item x="39"/>
        <item x="40"/>
        <item x="45"/>
        <item x="33"/>
        <item x="10"/>
        <item x="38"/>
        <item x="8"/>
        <item x="5"/>
        <item x="26"/>
        <item x="23"/>
        <item x="2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7">
        <item m="1" x="23"/>
        <item m="1" x="15"/>
        <item m="1" x="24"/>
        <item x="2"/>
        <item m="1" x="10"/>
        <item x="1"/>
        <item m="1" x="18"/>
        <item m="1" x="21"/>
        <item m="1" x="11"/>
        <item m="1" x="26"/>
        <item m="1" x="22"/>
        <item m="1" x="16"/>
        <item m="1" x="14"/>
        <item x="7"/>
        <item m="1" x="17"/>
        <item x="5"/>
        <item x="9"/>
        <item m="1" x="19"/>
        <item x="8"/>
        <item m="1" x="25"/>
        <item m="1" x="13"/>
        <item x="0"/>
        <item m="1" x="12"/>
        <item m="1" x="20"/>
        <item x="6"/>
        <item x="3"/>
        <item x="4"/>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sortType="ascending" defaultSubtotal="0">
      <items count="3336">
        <item m="1" x="70"/>
        <item m="1" x="1988"/>
        <item m="1" x="833"/>
        <item m="1" x="1802"/>
        <item m="1" x="127"/>
        <item m="1" x="2090"/>
        <item m="1" x="178"/>
        <item m="1" x="678"/>
        <item m="1" x="613"/>
        <item m="1" x="2175"/>
        <item m="1" x="251"/>
        <item m="1" x="618"/>
        <item m="1" x="173"/>
        <item m="1" x="2830"/>
        <item m="1" x="551"/>
        <item m="1" x="133"/>
        <item m="1" x="633"/>
        <item m="1" x="1902"/>
        <item m="1" x="2561"/>
        <item m="1" x="3327"/>
        <item m="1" x="358"/>
        <item m="1" x="2930"/>
        <item m="1" x="1738"/>
        <item m="1" x="364"/>
        <item m="1" x="703"/>
        <item m="1" x="2183"/>
        <item m="1" x="2033"/>
        <item m="1" x="2451"/>
        <item m="1" x="2203"/>
        <item m="1" x="2293"/>
        <item m="1" x="1395"/>
        <item m="1" x="2655"/>
        <item m="1" x="1328"/>
        <item m="1" x="2789"/>
        <item m="1" x="2909"/>
        <item m="1" x="943"/>
        <item m="1" x="90"/>
        <item m="1" x="2449"/>
        <item m="1" x="1366"/>
        <item m="1" x="2685"/>
        <item m="1" x="2354"/>
        <item m="1" x="1379"/>
        <item m="1" x="2070"/>
        <item m="1" x="1931"/>
        <item m="1" x="297"/>
        <item m="1" x="669"/>
        <item m="1" x="384"/>
        <item m="1" x="3294"/>
        <item m="1" x="2590"/>
        <item m="1" x="1654"/>
        <item m="1" x="2898"/>
        <item m="1" x="1651"/>
        <item m="1" x="3166"/>
        <item m="1" x="2044"/>
        <item m="1" x="2110"/>
        <item m="1" x="1205"/>
        <item m="1" x="2337"/>
        <item m="1" x="1058"/>
        <item m="1" x="453"/>
        <item m="1" x="819"/>
        <item m="1" x="3140"/>
        <item m="1" x="2609"/>
        <item m="1" x="597"/>
        <item m="1" x="648"/>
        <item m="1" x="2516"/>
        <item m="1" x="2192"/>
        <item m="1" x="2232"/>
        <item m="1" x="1858"/>
        <item m="1" x="2129"/>
        <item m="1" x="1734"/>
        <item m="1" x="2096"/>
        <item m="1" x="2121"/>
        <item m="1" x="732"/>
        <item m="1" x="1795"/>
        <item m="1" x="2737"/>
        <item m="1" x="2704"/>
        <item m="1" x="1385"/>
        <item m="1" x="2848"/>
        <item m="1" x="2884"/>
        <item m="1" x="2021"/>
        <item m="1" x="2463"/>
        <item m="1" x="2174"/>
        <item m="1" x="1421"/>
        <item m="1" x="1966"/>
        <item m="1" x="270"/>
        <item m="1" x="3270"/>
        <item m="1" x="3180"/>
        <item m="1" x="979"/>
        <item m="1" x="3085"/>
        <item m="1" x="981"/>
        <item m="1" x="2730"/>
        <item m="1" x="125"/>
        <item m="1" x="698"/>
        <item m="1" x="540"/>
        <item m="1" x="1448"/>
        <item m="1" x="2688"/>
        <item m="1" x="2689"/>
        <item m="1" x="451"/>
        <item m="1" x="3121"/>
        <item m="1" x="2426"/>
        <item m="1" x="2351"/>
        <item m="1" x="1480"/>
        <item m="1" x="1766"/>
        <item m="1" x="486"/>
        <item m="1" x="2701"/>
        <item m="1" x="2374"/>
        <item m="1" x="1220"/>
        <item m="1" x="911"/>
        <item m="1" x="475"/>
        <item m="1" x="1505"/>
        <item m="1" x="2052"/>
        <item m="1" x="223"/>
        <item m="1" x="724"/>
        <item m="1" x="1681"/>
        <item m="1" x="89"/>
        <item m="1" x="2692"/>
        <item m="1" x="2434"/>
        <item m="1" x="1389"/>
        <item m="1" x="2943"/>
        <item m="1" x="2563"/>
        <item m="1" x="326"/>
        <item m="1" x="799"/>
        <item m="1" x="974"/>
        <item m="1" x="1410"/>
        <item m="1" x="2756"/>
        <item m="1" x="1353"/>
        <item m="1" x="713"/>
        <item m="1" x="2610"/>
        <item m="1" x="808"/>
        <item m="1" x="232"/>
        <item m="1" x="3006"/>
        <item m="1" x="87"/>
        <item m="1" x="2433"/>
        <item m="1" x="1882"/>
        <item m="1" x="741"/>
        <item m="1" x="1067"/>
        <item m="1" x="1278"/>
        <item m="1" x="1844"/>
        <item m="1" x="3179"/>
        <item m="1" x="1132"/>
        <item m="1" x="2294"/>
        <item m="1" x="757"/>
        <item m="1" x="736"/>
        <item m="1" x="906"/>
        <item m="1" x="785"/>
        <item m="1" x="962"/>
        <item m="1" x="320"/>
        <item m="1" x="1809"/>
        <item m="1" x="284"/>
        <item m="1" x="1563"/>
        <item m="1" x="2618"/>
        <item m="1" x="3002"/>
        <item m="1" x="3203"/>
        <item m="1" x="2881"/>
        <item m="1" x="2383"/>
        <item m="1" x="649"/>
        <item m="1" x="858"/>
        <item m="1" x="1146"/>
        <item m="1" x="1657"/>
        <item m="1" x="1696"/>
        <item m="1" x="1721"/>
        <item m="1" x="3138"/>
        <item m="1" x="245"/>
        <item m="1" x="1587"/>
        <item m="1" x="1449"/>
        <item m="1" x="160"/>
        <item m="1" x="106"/>
        <item m="1" x="793"/>
        <item m="1" x="2671"/>
        <item m="1" x="3275"/>
        <item m="1" x="489"/>
        <item m="1" x="528"/>
        <item m="1" x="3091"/>
        <item m="1" x="3027"/>
        <item m="1" x="2952"/>
        <item m="1" x="1030"/>
        <item m="1" x="1457"/>
        <item m="1" x="1092"/>
        <item m="1" x="2916"/>
        <item m="1" x="1811"/>
        <item m="1" x="2008"/>
        <item m="1" x="1891"/>
        <item m="1" x="3157"/>
        <item m="1" x="119"/>
        <item m="1" x="1173"/>
        <item m="1" x="1645"/>
        <item m="1" x="1556"/>
        <item m="1" x="1623"/>
        <item m="1" x="1683"/>
        <item m="1" x="2553"/>
        <item m="1" x="2691"/>
        <item m="1" x="1163"/>
        <item m="1" x="2497"/>
        <item m="1" x="2978"/>
        <item m="1" x="2302"/>
        <item m="1" x="1903"/>
        <item m="1" x="1720"/>
        <item m="1" x="294"/>
        <item m="1" x="375"/>
        <item m="1" x="2425"/>
        <item m="1" x="2783"/>
        <item m="1" x="3192"/>
        <item m="1" x="2370"/>
        <item m="1" x="1692"/>
        <item m="1" x="1964"/>
        <item m="1" x="1265"/>
        <item m="1" x="182"/>
        <item m="1" x="1846"/>
        <item m="1" x="1835"/>
        <item m="1" x="2048"/>
        <item m="1" x="1838"/>
        <item m="1" x="2765"/>
        <item m="1" x="2639"/>
        <item m="1" x="1552"/>
        <item m="1" x="2051"/>
        <item m="1" x="2437"/>
        <item m="1" x="932"/>
        <item m="1" x="298"/>
        <item m="1" x="1028"/>
        <item m="1" x="2573"/>
        <item m="1" x="1049"/>
        <item m="1" x="2015"/>
        <item m="1" x="1686"/>
        <item m="1" x="1798"/>
        <item m="1" x="760"/>
        <item m="1" x="1154"/>
        <item m="1" x="276"/>
        <item m="1" x="889"/>
        <item m="1" x="1778"/>
        <item m="1" x="907"/>
        <item m="1" x="1314"/>
        <item m="1" x="131"/>
        <item m="1" x="593"/>
        <item m="1" x="2062"/>
        <item m="1" x="1221"/>
        <item m="1" x="990"/>
        <item m="1" x="2435"/>
        <item m="1" x="3315"/>
        <item m="1" x="3287"/>
        <item m="1" x="1765"/>
        <item m="1" x="772"/>
        <item m="1" x="323"/>
        <item m="1" x="1228"/>
        <item m="1" x="2264"/>
        <item m="1" x="2407"/>
        <item m="1" x="756"/>
        <item m="1" x="3083"/>
        <item m="1" x="1983"/>
        <item m="1" x="1579"/>
        <item m="1" x="1502"/>
        <item m="1" x="2177"/>
        <item m="1" x="1684"/>
        <item m="1" x="1803"/>
        <item m="1" x="222"/>
        <item m="1" x="112"/>
        <item m="1" x="2199"/>
        <item m="1" x="958"/>
        <item m="1" x="388"/>
        <item m="1" x="1805"/>
        <item m="1" x="1534"/>
        <item m="1" x="1155"/>
        <item m="1" x="1586"/>
        <item m="1" x="1588"/>
        <item m="1" x="1548"/>
        <item m="1" x="1160"/>
        <item m="1" x="369"/>
        <item m="1" x="682"/>
        <item m="1" x="3266"/>
        <item m="1" x="951"/>
        <item m="1" x="357"/>
        <item m="1" x="3050"/>
        <item m="1" x="379"/>
        <item m="1" x="132"/>
        <item m="1" x="1251"/>
        <item m="1" x="2085"/>
        <item m="1" x="2456"/>
        <item m="1" x="561"/>
        <item m="1" x="1218"/>
        <item m="1" x="1610"/>
        <item m="1" x="3282"/>
        <item m="1" x="3231"/>
        <item m="1" x="3284"/>
        <item m="1" x="1120"/>
        <item m="1" x="2115"/>
        <item m="1" x="815"/>
        <item m="1" x="3224"/>
        <item m="1" x="3302"/>
        <item m="1" x="2076"/>
        <item m="1" x="584"/>
        <item m="1" x="2251"/>
        <item m="1" x="474"/>
        <item m="1" x="3195"/>
        <item m="1" x="429"/>
        <item m="1" x="1329"/>
        <item m="1" x="983"/>
        <item m="1" x="1189"/>
        <item m="1" x="1878"/>
        <item m="1" x="121"/>
        <item m="1" x="1506"/>
        <item m="1" x="645"/>
        <item m="1" x="308"/>
        <item m="1" x="1694"/>
        <item m="1" x="2269"/>
        <item m="1" x="2215"/>
        <item m="1" x="1908"/>
        <item m="1" x="2938"/>
        <item m="1" x="1998"/>
        <item m="1" x="2717"/>
        <item m="1" x="1797"/>
        <item m="1" x="476"/>
        <item m="1" x="3259"/>
        <item m="1" x="891"/>
        <item m="1" x="2274"/>
        <item m="1" x="1215"/>
        <item m="1" x="1597"/>
        <item m="1" x="2343"/>
        <item m="1" x="2315"/>
        <item m="1" x="2487"/>
        <item m="1" x="1674"/>
        <item m="1" x="1178"/>
        <item m="1" x="226"/>
        <item m="1" x="2917"/>
        <item m="1" x="957"/>
        <item m="1" x="1397"/>
        <item m="1" x="2597"/>
        <item m="1" x="3268"/>
        <item m="1" x="2892"/>
        <item m="1" x="2893"/>
        <item m="1" x="3279"/>
        <item m="1" x="3191"/>
        <item m="1" x="3066"/>
        <item m="1" x="1775"/>
        <item m="1" x="103"/>
        <item m="1" x="2341"/>
        <item m="1" x="493"/>
        <item m="1" x="2672"/>
        <item m="1" x="1666"/>
        <item m="1" x="814"/>
        <item m="1" x="1559"/>
        <item m="1" x="831"/>
        <item m="1" x="1628"/>
        <item m="1" x="1396"/>
        <item m="1" x="1042"/>
        <item m="1" x="961"/>
        <item m="1" x="763"/>
        <item m="1" x="1510"/>
        <item m="1" x="1664"/>
        <item m="1" x="2159"/>
        <item m="1" x="949"/>
        <item m="1" x="1914"/>
        <item m="1" x="3155"/>
        <item m="1" x="2956"/>
        <item m="1" x="3247"/>
        <item m="1" x="240"/>
        <item m="1" x="1295"/>
        <item m="1" x="1753"/>
        <item m="1" x="2517"/>
        <item x="4"/>
        <item x="2"/>
        <item x="3"/>
        <item x="15"/>
        <item m="1" x="1223"/>
        <item m="1" x="517"/>
        <item x="27"/>
        <item x="68"/>
        <item x="55"/>
        <item x="39"/>
        <item x="29"/>
        <item x="56"/>
        <item x="67"/>
        <item x="10"/>
        <item m="1" x="1569"/>
        <item x="40"/>
        <item x="64"/>
        <item x="58"/>
        <item x="53"/>
        <item m="1" x="2841"/>
        <item m="1" x="2847"/>
        <item m="1" x="610"/>
        <item m="1" x="663"/>
        <item m="1" x="838"/>
        <item m="1" x="695"/>
        <item m="1" x="916"/>
        <item m="1" x="495"/>
        <item m="1" x="936"/>
        <item m="1" x="2889"/>
        <item m="1" x="2887"/>
        <item m="1" x="659"/>
        <item m="1" x="1399"/>
        <item m="1" x="1052"/>
        <item m="1" x="1498"/>
        <item m="1" x="1020"/>
        <item m="1" x="1698"/>
        <item m="1" x="3326"/>
        <item m="1" x="1890"/>
        <item m="1" x="2627"/>
        <item m="1" x="925"/>
        <item m="1" x="2911"/>
        <item m="1" x="2757"/>
        <item m="1" x="2149"/>
        <item m="1" x="3303"/>
        <item m="1" x="1358"/>
        <item x="28"/>
        <item m="1" x="596"/>
        <item m="1" x="3307"/>
        <item x="47"/>
        <item m="1" x="751"/>
        <item x="5"/>
        <item m="1" x="1571"/>
        <item x="48"/>
        <item m="1" x="1388"/>
        <item x="59"/>
        <item x="41"/>
        <item m="1" x="165"/>
        <item x="30"/>
        <item x="38"/>
        <item x="42"/>
        <item x="61"/>
        <item x="62"/>
        <item x="63"/>
        <item m="1" x="1129"/>
        <item m="1" x="1864"/>
        <item m="1" x="3201"/>
        <item m="1" x="749"/>
        <item m="1" x="2406"/>
        <item m="1" x="664"/>
        <item m="1" x="2713"/>
        <item m="1" x="1665"/>
        <item m="1" x="1355"/>
        <item m="1" x="933"/>
        <item x="16"/>
        <item m="1" x="1688"/>
        <item x="14"/>
        <item x="8"/>
        <item x="66"/>
        <item m="1" x="2910"/>
        <item m="1" x="2443"/>
        <item m="1" x="2823"/>
        <item m="1" x="2146"/>
        <item m="1" x="1487"/>
        <item m="1" x="1605"/>
        <item m="1" x="1226"/>
        <item m="1" x="2860"/>
        <item m="1" x="638"/>
        <item m="1" x="3009"/>
        <item m="1" x="1181"/>
        <item m="1" x="1972"/>
        <item m="1" x="2528"/>
        <item m="1" x="1536"/>
        <item m="1" x="3291"/>
        <item m="1" x="2010"/>
        <item m="1" x="556"/>
        <item m="1" x="2522"/>
        <item m="1" x="987"/>
        <item m="1" x="3045"/>
        <item m="1" x="1577"/>
        <item m="1" x="1832"/>
        <item m="1" x="221"/>
        <item m="1" x="1892"/>
        <item m="1" x="738"/>
        <item x="52"/>
        <item m="1" x="2801"/>
        <item x="43"/>
        <item x="44"/>
        <item m="1" x="531"/>
        <item x="45"/>
        <item x="46"/>
        <item m="1" x="2670"/>
        <item x="13"/>
        <item x="25"/>
        <item x="65"/>
        <item m="1" x="1345"/>
        <item m="1" x="620"/>
        <item m="1" x="631"/>
        <item m="1" x="1857"/>
        <item m="1" x="406"/>
        <item m="1" x="1276"/>
        <item m="1" x="1060"/>
        <item x="9"/>
        <item m="1" x="728"/>
        <item m="1" x="1352"/>
        <item m="1" x="3143"/>
        <item m="1" x="774"/>
        <item m="1" x="371"/>
        <item m="1" x="2562"/>
        <item m="1" x="1208"/>
        <item m="1" x="144"/>
        <item m="1" x="1259"/>
        <item m="1" x="2498"/>
        <item m="1" x="2394"/>
        <item m="1" x="2361"/>
        <item m="1" x="2095"/>
        <item m="1" x="3169"/>
        <item m="1" x="1182"/>
        <item m="1" x="2029"/>
        <item m="1" x="3037"/>
        <item m="1" x="2824"/>
        <item m="1" x="1827"/>
        <item m="1" x="2035"/>
        <item m="1" x="317"/>
        <item m="1" x="1547"/>
        <item m="1" x="138"/>
        <item m="1" x="1794"/>
        <item m="1" x="968"/>
        <item m="1" x="3320"/>
        <item m="1" x="555"/>
        <item m="1" x="565"/>
        <item m="1" x="3229"/>
        <item m="1" x="1095"/>
        <item m="1" x="603"/>
        <item m="1" x="2828"/>
        <item m="1" x="370"/>
        <item m="1" x="2959"/>
        <item m="1" x="918"/>
        <item m="1" x="2965"/>
        <item m="1" x="1064"/>
        <item m="1" x="684"/>
        <item m="1" x="428"/>
        <item m="1" x="1787"/>
        <item m="1" x="928"/>
        <item m="1" x="1456"/>
        <item m="1" x="2245"/>
        <item m="1" x="2744"/>
        <item m="1" x="2321"/>
        <item m="1" x="3051"/>
        <item m="1" x="573"/>
        <item m="1" x="2791"/>
        <item m="1" x="3095"/>
        <item m="1" x="1501"/>
        <item m="1" x="2408"/>
        <item m="1" x="3232"/>
        <item m="1" x="2595"/>
        <item m="1" x="85"/>
        <item m="1" x="376"/>
        <item m="1" x="3123"/>
        <item m="1" x="564"/>
        <item m="1" x="2509"/>
        <item m="1" x="2966"/>
        <item m="1" x="252"/>
        <item m="1" x="2849"/>
        <item m="1" x="558"/>
        <item m="1" x="386"/>
        <item m="1" x="1057"/>
        <item m="1" x="1641"/>
        <item m="1" x="1911"/>
        <item m="1" x="2651"/>
        <item m="1" x="3150"/>
        <item m="1" x="1517"/>
        <item m="1" x="1507"/>
        <item m="1" x="2420"/>
        <item m="1" x="2873"/>
        <item m="1" x="753"/>
        <item m="1" x="881"/>
        <item m="1" x="2770"/>
        <item m="1" x="2421"/>
        <item m="1" x="258"/>
        <item m="1" x="777"/>
        <item m="1" x="2631"/>
        <item m="1" x="2678"/>
        <item m="1" x="2755"/>
        <item m="1" x="2391"/>
        <item m="1" x="1245"/>
        <item m="1" x="1499"/>
        <item m="1" x="3102"/>
        <item m="1" x="803"/>
        <item m="1" x="3242"/>
        <item m="1" x="2229"/>
        <item m="1" x="3239"/>
        <item m="1" x="2564"/>
        <item m="1" x="1703"/>
        <item m="1" x="1390"/>
        <item m="1" x="1769"/>
        <item m="1" x="174"/>
        <item m="1" x="653"/>
        <item m="1" x="998"/>
        <item m="1" x="3208"/>
        <item m="1" x="2599"/>
        <item m="1" x="2669"/>
        <item m="1" x="395"/>
        <item m="1" x="331"/>
        <item m="1" x="1461"/>
        <item m="1" x="2334"/>
        <item m="1" x="447"/>
        <item m="1" x="1087"/>
        <item m="1" x="2326"/>
        <item m="1" x="2252"/>
        <item m="1" x="1780"/>
        <item m="1" x="2227"/>
        <item m="1" x="2329"/>
        <item m="1" x="2308"/>
        <item m="1" x="2134"/>
        <item m="1" x="2116"/>
        <item m="1" x="2491"/>
        <item m="1" x="285"/>
        <item m="1" x="2228"/>
        <item m="1" x="353"/>
        <item m="1" x="1969"/>
        <item m="1" x="1557"/>
        <item m="1" x="2152"/>
        <item m="1" x="2703"/>
        <item m="1" x="115"/>
        <item m="1" x="389"/>
        <item m="1" x="1537"/>
        <item m="1" x="1428"/>
        <item m="1" x="1333"/>
        <item m="1" x="2211"/>
        <item m="1" x="3148"/>
        <item m="1" x="2657"/>
        <item m="1" x="504"/>
        <item m="1" x="421"/>
        <item m="1" x="1304"/>
        <item m="1" x="2186"/>
        <item m="1" x="3126"/>
        <item m="1" x="2852"/>
        <item m="1" x="2117"/>
        <item m="1" x="1944"/>
        <item m="1" x="2802"/>
        <item m="1" x="1719"/>
        <item m="1" x="2222"/>
        <item m="1" x="1570"/>
        <item m="1" x="1904"/>
        <item m="1" x="1634"/>
        <item m="1" x="195"/>
        <item m="1" x="454"/>
        <item m="1" x="3117"/>
        <item m="1" x="95"/>
        <item m="1" x="1951"/>
        <item m="1" x="220"/>
        <item m="1" x="991"/>
        <item m="1" x="2540"/>
        <item m="1" x="2305"/>
        <item m="1" x="2774"/>
        <item m="1" x="2082"/>
        <item m="1" x="3128"/>
        <item m="1" x="1121"/>
        <item m="1" x="1392"/>
        <item m="1" x="768"/>
        <item m="1" x="1010"/>
        <item m="1" x="283"/>
        <item m="1" x="213"/>
        <item m="1" x="2169"/>
        <item m="1" x="1206"/>
        <item m="1" x="1166"/>
        <item m="1" x="2486"/>
        <item m="1" x="2469"/>
        <item m="1" x="2481"/>
        <item m="1" x="362"/>
        <item m="1" x="365"/>
        <item m="1" x="321"/>
        <item m="1" x="2905"/>
        <item m="1" x="2804"/>
        <item m="1" x="328"/>
        <item m="1" x="1302"/>
        <item m="1" x="868"/>
        <item m="1" x="731"/>
        <item m="1" x="937"/>
        <item m="1" x="805"/>
        <item m="1" x="2696"/>
        <item m="1" x="1026"/>
        <item m="1" x="3228"/>
        <item m="1" x="1697"/>
        <item m="1" x="1486"/>
        <item m="1" x="1419"/>
        <item m="1" x="975"/>
        <item m="1" x="1126"/>
        <item m="1" x="1022"/>
        <item m="1" x="1630"/>
        <item m="1" x="2640"/>
        <item m="1" x="3124"/>
        <item m="1" x="1883"/>
        <item m="1" x="725"/>
        <item m="1" x="2810"/>
        <item m="1" x="2633"/>
        <item m="1" x="900"/>
        <item m="1" x="497"/>
        <item m="1" x="288"/>
        <item m="1" x="1102"/>
        <item m="1" x="887"/>
        <item m="1" x="2568"/>
        <item m="1" x="2220"/>
        <item m="1" x="2381"/>
        <item m="1" x="2474"/>
        <item m="1" x="1821"/>
        <item m="1" x="1745"/>
        <item m="1" x="1777"/>
        <item m="1" x="2624"/>
        <item m="1" x="1995"/>
        <item m="1" x="1568"/>
        <item m="1" x="1147"/>
        <item m="1" x="1008"/>
        <item m="1" x="278"/>
        <item m="1" x="3043"/>
        <item m="1" x="2821"/>
        <item m="1" x="2585"/>
        <item m="1" x="1572"/>
        <item m="1" x="1518"/>
        <item m="1" x="734"/>
        <item m="1" x="2041"/>
        <item m="1" x="205"/>
        <item m="1" x="218"/>
        <item m="1" x="3288"/>
        <item m="1" x="2201"/>
        <item m="1" x="2681"/>
        <item m="1" x="1308"/>
        <item m="1" x="2853"/>
        <item x="1"/>
        <item m="1" x="2054"/>
        <item m="1" x="2197"/>
        <item m="1" x="1466"/>
        <item m="1" x="559"/>
        <item m="1" x="985"/>
        <item m="1" x="1767"/>
        <item m="1" x="1801"/>
        <item m="1" x="128"/>
        <item m="1" x="505"/>
        <item m="1" x="1021"/>
        <item m="1" x="2151"/>
        <item m="1" x="529"/>
        <item m="1" x="2673"/>
        <item m="1" x="707"/>
        <item m="1" x="714"/>
        <item m="1" x="1238"/>
        <item m="1" x="1394"/>
        <item m="1" x="194"/>
        <item m="1" x="2098"/>
        <item m="1" x="2591"/>
        <item m="1" x="196"/>
        <item m="1" x="2376"/>
        <item m="1" x="1687"/>
        <item m="1" x="1037"/>
        <item m="1" x="880"/>
        <item m="1" x="2709"/>
        <item m="1" x="1290"/>
        <item m="1" x="3312"/>
        <item m="1" x="2996"/>
        <item m="1" x="407"/>
        <item m="1" x="1594"/>
        <item m="1" x="2547"/>
        <item m="1" x="1075"/>
        <item m="1" x="146"/>
        <item m="1" x="2262"/>
        <item m="1" x="238"/>
        <item m="1" x="2024"/>
        <item m="1" x="291"/>
        <item m="1" x="249"/>
        <item m="1" x="560"/>
        <item m="1" x="1551"/>
        <item m="1" x="1718"/>
        <item m="1" x="204"/>
        <item m="1" x="2056"/>
        <item m="1" x="1319"/>
        <item m="1" x="1519"/>
        <item m="1" x="1348"/>
        <item m="1" x="1578"/>
        <item m="1" x="1747"/>
        <item m="1" x="2271"/>
        <item m="1" x="623"/>
        <item m="1" x="563"/>
        <item m="1" x="2224"/>
        <item m="1" x="1522"/>
        <item m="1" x="1624"/>
        <item m="1" x="3178"/>
        <item m="1" x="1191"/>
        <item m="1" x="1168"/>
        <item m="1" x="3130"/>
        <item m="1" x="1331"/>
        <item m="1" x="2985"/>
        <item m="1" x="1196"/>
        <item m="1" x="1091"/>
        <item m="1" x="674"/>
        <item m="1" x="1617"/>
        <item m="1" x="2291"/>
        <item m="1" x="680"/>
        <item m="1" x="2414"/>
        <item m="1" x="1472"/>
        <item m="1" x="1981"/>
        <item m="1" x="2667"/>
        <item m="1" x="1725"/>
        <item m="1" x="1359"/>
        <item m="1" x="2647"/>
        <item m="1" x="1225"/>
        <item m="1" x="2488"/>
        <item m="1" x="1620"/>
        <item m="1" x="3118"/>
        <item m="1" x="1669"/>
        <item m="1" x="2832"/>
        <item m="1" x="852"/>
        <item m="1" x="2290"/>
        <item m="1" x="616"/>
        <item m="1" x="956"/>
        <item m="1" x="2812"/>
        <item m="1" x="622"/>
        <item m="1" x="3012"/>
        <item m="1" x="3088"/>
        <item m="1" x="647"/>
        <item m="1" x="2675"/>
        <item m="1" x="479"/>
        <item m="1" x="2822"/>
        <item m="1" x="1373"/>
        <item m="1" x="2935"/>
        <item m="1" x="816"/>
        <item m="1" x="2304"/>
        <item m="1" x="2702"/>
        <item m="1" x="566"/>
        <item m="1" x="2178"/>
        <item m="1" x="2941"/>
        <item m="1" x="2969"/>
        <item m="1" x="677"/>
        <item m="1" x="1236"/>
        <item m="1" x="1044"/>
        <item m="1" x="1553"/>
        <item m="1" x="1743"/>
        <item m="1" x="466"/>
        <item m="1" x="1326"/>
        <item m="1" x="1068"/>
        <item m="1" x="2311"/>
        <item m="1" x="2102"/>
        <item m="1" x="2444"/>
        <item m="1" x="2555"/>
        <item m="1" x="533"/>
        <item m="1" x="2556"/>
        <item m="1" x="2963"/>
        <item m="1" x="902"/>
        <item m="1" x="948"/>
        <item m="1" x="2773"/>
        <item m="1" x="913"/>
        <item m="1" x="661"/>
        <item m="1" x="804"/>
        <item m="1" x="104"/>
        <item m="1" x="74"/>
        <item m="1" x="256"/>
        <item m="1" x="202"/>
        <item m="1" x="1211"/>
        <item m="1" x="1108"/>
        <item m="1" x="1408"/>
        <item m="1" x="922"/>
        <item m="1" x="3174"/>
        <item m="1" x="3215"/>
        <item m="1" x="3110"/>
        <item m="1" x="865"/>
        <item m="1" x="1230"/>
        <item m="1" x="2690"/>
        <item m="1" x="312"/>
        <item m="1" x="3071"/>
        <item m="1" x="1343"/>
        <item m="1" x="1700"/>
        <item m="1" x="1096"/>
        <item m="1" x="1841"/>
        <item m="1" x="3031"/>
        <item m="1" x="1757"/>
        <item m="1" x="412"/>
        <item m="1" x="1468"/>
        <item x="34"/>
        <item m="1" x="333"/>
        <item m="1" x="363"/>
        <item m="1" x="3015"/>
        <item m="1" x="2768"/>
        <item m="1" x="2605"/>
        <item m="1" x="2040"/>
        <item m="1" x="78"/>
        <item m="1" x="550"/>
        <item m="1" x="1949"/>
        <item m="1" x="2213"/>
        <item m="1" x="2364"/>
        <item m="1" x="874"/>
        <item m="1" x="2030"/>
        <item m="1" x="1429"/>
        <item m="1" x="1644"/>
        <item m="1" x="1945"/>
        <item m="1" x="2896"/>
        <item m="1" x="1330"/>
        <item m="1" x="2218"/>
        <item m="1" x="1377"/>
        <item m="1" x="2273"/>
        <item m="1" x="1740"/>
        <item m="1" x="2906"/>
        <item m="1" x="1335"/>
        <item m="1" x="1528"/>
        <item m="1" x="237"/>
        <item m="1" x="1782"/>
        <item m="1" x="2442"/>
        <item m="1" x="711"/>
        <item m="1" x="1514"/>
        <item m="1" x="1593"/>
        <item m="1" x="1867"/>
        <item m="1" x="1682"/>
        <item m="1" x="2395"/>
        <item m="1" x="595"/>
        <item m="1" x="589"/>
        <item m="1" x="2630"/>
        <item m="1" x="217"/>
        <item m="1" x="1762"/>
        <item m="1" x="1543"/>
        <item m="1" x="1047"/>
        <item m="1" x="1272"/>
        <item m="1" x="3034"/>
        <item m="1" x="1746"/>
        <item m="1" x="764"/>
        <item m="1" x="1383"/>
        <item m="1" x="1110"/>
        <item m="1" x="992"/>
        <item m="1" x="3250"/>
        <item m="1" x="473"/>
        <item m="1" x="997"/>
        <item m="1" x="1554"/>
        <item m="1" x="1837"/>
        <item m="1" x="3059"/>
        <item m="1" x="1763"/>
        <item m="1" x="2511"/>
        <item m="1" x="2796"/>
        <item m="1" x="337"/>
        <item m="1" x="2289"/>
        <item m="1" x="2727"/>
        <item m="1" x="2809"/>
        <item m="1" x="1497"/>
        <item m="1" x="1671"/>
        <item m="1" x="2984"/>
        <item m="1" x="302"/>
        <item m="1" x="1161"/>
        <item m="1" x="491"/>
        <item m="1" x="740"/>
        <item m="1" x="702"/>
        <item m="1" x="2836"/>
        <item m="1" x="2999"/>
        <item m="1" x="1962"/>
        <item m="1" x="1889"/>
        <item m="1" x="2084"/>
        <item m="1" x="1430"/>
        <item m="1" x="953"/>
        <item m="1" x="1851"/>
        <item m="1" x="1561"/>
        <item m="1" x="3026"/>
        <item m="1" x="569"/>
        <item m="1" x="306"/>
        <item m="1" x="2107"/>
        <item m="1" x="2504"/>
        <item m="1" x="1137"/>
        <item m="1" x="2880"/>
        <item m="1" x="1626"/>
        <item m="1" x="2128"/>
        <item m="1" x="2539"/>
        <item m="1" x="2136"/>
        <item m="1" x="1973"/>
        <item m="1" x="149"/>
        <item m="1" x="894"/>
        <item m="1" x="3167"/>
        <item m="1" x="3210"/>
        <item m="1" x="1071"/>
        <item m="1" x="2130"/>
        <item m="1" x="2977"/>
        <item m="1" x="1025"/>
        <item m="1" x="726"/>
        <item m="1" x="1054"/>
        <item m="1" x="225"/>
        <item m="1" x="1839"/>
        <item m="1" x="1960"/>
        <item m="1" x="1216"/>
        <item m="1" x="1582"/>
        <item m="1" x="3160"/>
        <item m="1" x="522"/>
        <item m="1" x="2588"/>
        <item m="1" x="2296"/>
        <item m="1" x="2982"/>
        <item m="1" x="2409"/>
        <item m="1" x="2124"/>
        <item m="1" x="2652"/>
        <item m="1" x="1661"/>
        <item m="1" x="2560"/>
        <item m="1" x="455"/>
        <item m="1" x="2843"/>
        <item m="1" x="142"/>
        <item m="1" x="2524"/>
        <item m="1" x="2844"/>
        <item m="1" x="2300"/>
        <item m="1" x="646"/>
        <item m="1" x="1367"/>
        <item m="1" x="1175"/>
        <item m="1" x="2366"/>
        <item m="1" x="488"/>
        <item m="1" x="836"/>
        <item m="1" x="1520"/>
        <item m="1" x="2960"/>
        <item m="1" x="1447"/>
        <item m="1" x="1414"/>
        <item m="1" x="2806"/>
        <item m="1" x="2068"/>
        <item m="1" x="2936"/>
        <item m="1" x="467"/>
        <item m="1" x="1124"/>
        <item m="1" x="329"/>
        <item m="1" x="1247"/>
        <item m="1" x="1089"/>
        <item m="1" x="448"/>
        <item m="1" x="1145"/>
        <item m="1" x="2993"/>
        <item m="1" x="201"/>
        <item m="1" x="3199"/>
        <item m="1" x="1420"/>
        <item m="1" x="2749"/>
        <item x="7"/>
        <item m="1" x="797"/>
        <item m="1" x="2752"/>
        <item m="1" x="1090"/>
        <item m="1" x="1760"/>
        <item m="1" x="2101"/>
        <item m="1" x="3308"/>
        <item m="1" x="3056"/>
        <item m="1" x="2057"/>
        <item m="1" x="2931"/>
        <item m="1" x="1477"/>
        <item m="1" x="2700"/>
        <item m="1" x="2519"/>
        <item m="1" x="2500"/>
        <item m="1" x="1489"/>
        <item m="1" x="1400"/>
        <item m="1" x="2254"/>
        <item m="1" x="110"/>
        <item m="1" x="157"/>
        <item m="1" x="2986"/>
        <item m="1" x="2763"/>
        <item m="1" x="886"/>
        <item m="1" x="644"/>
        <item m="1" x="367"/>
        <item m="1" x="643"/>
        <item m="1" x="494"/>
        <item m="1" x="3272"/>
        <item m="1" x="1629"/>
        <item m="1" x="72"/>
        <item m="1" x="939"/>
        <item m="1" x="1825"/>
        <item m="1" x="2840"/>
        <item m="1" x="2953"/>
        <item m="1" x="163"/>
        <item m="1" x="2761"/>
        <item m="1" x="2813"/>
        <item m="1" x="823"/>
        <item m="1" x="468"/>
        <item m="1" x="1362"/>
        <item m="1" x="879"/>
        <item m="1" x="1256"/>
        <item m="1" x="1848"/>
        <item m="1" x="93"/>
        <item m="1" x="1649"/>
        <item m="1" x="3156"/>
        <item m="1" x="2257"/>
        <item m="1" x="827"/>
        <item m="1" x="1881"/>
        <item m="1" x="587"/>
        <item m="1" x="1776"/>
        <item m="1" x="181"/>
        <item m="1" x="141"/>
        <item m="1" x="1584"/>
        <item m="1" x="2659"/>
        <item m="1" x="2157"/>
        <item m="1" x="1638"/>
        <item m="1" x="1790"/>
        <item m="1" x="1081"/>
        <item m="1" x="2436"/>
        <item m="1" x="938"/>
        <item m="1" x="947"/>
        <item m="1" x="2924"/>
        <item m="1" x="1033"/>
        <item m="1" x="3122"/>
        <item m="1" x="1865"/>
        <item m="1" x="431"/>
        <item m="1" x="611"/>
        <item m="1" x="1659"/>
        <item m="1" x="324"/>
        <item m="1" x="1714"/>
        <item m="1" x="1927"/>
        <item m="1" x="2465"/>
        <item m="1" x="758"/>
        <item m="1" x="3058"/>
        <item m="1" x="1602"/>
        <item m="1" x="2150"/>
        <item m="1" x="2998"/>
        <item m="1" x="945"/>
        <item m="1" x="1913"/>
        <item m="1" x="2747"/>
        <item m="1" x="2219"/>
        <item m="1" x="3137"/>
        <item m="1" x="415"/>
        <item m="1" x="3198"/>
        <item m="1" x="1426"/>
        <item m="1" x="2990"/>
        <item m="1" x="2280"/>
        <item m="1" x="1018"/>
        <item m="1" x="2485"/>
        <item m="1" x="268"/>
        <item m="1" x="134"/>
        <item m="1" x="315"/>
        <item m="1" x="2792"/>
        <item m="1" x="2684"/>
        <item m="1" x="2862"/>
        <item m="1" x="88"/>
        <item m="1" x="2845"/>
        <item m="1" x="1806"/>
        <item m="1" x="3133"/>
        <item m="1" x="2016"/>
        <item m="1" x="1134"/>
        <item m="1" x="1305"/>
        <item m="1" x="1342"/>
        <item m="1" x="1658"/>
        <item m="1" x="3295"/>
        <item m="1" x="1898"/>
        <item m="1" x="851"/>
        <item m="1" x="897"/>
        <item m="1" x="1997"/>
        <item m="1" x="484"/>
        <item m="1" x="3297"/>
        <item m="1" x="1986"/>
        <item m="1" x="2162"/>
        <item m="1" x="1741"/>
        <item m="1" x="1580"/>
        <item m="1" x="1701"/>
        <item m="1" x="469"/>
        <item m="1" x="2583"/>
        <item m="1" x="1099"/>
        <item m="1" x="599"/>
        <item m="1" x="156"/>
        <item m="1" x="1198"/>
        <item m="1" x="854"/>
        <item m="1" x="2794"/>
        <item m="1" x="1606"/>
        <item m="1" x="413"/>
        <item m="1" x="895"/>
        <item m="1" x="1689"/>
        <item m="1" x="1078"/>
        <item m="1" x="637"/>
        <item m="1" x="2039"/>
        <item m="1" x="2886"/>
        <item m="1" x="1662"/>
        <item m="1" x="1177"/>
        <item m="1" x="2495"/>
        <item m="1" x="2275"/>
        <item m="1" x="612"/>
        <item m="1" x="652"/>
        <item m="1" x="2529"/>
        <item m="1" x="553"/>
        <item m="1" x="794"/>
        <item m="1" x="2720"/>
        <item m="1" x="2242"/>
        <item m="1" x="1340"/>
        <item m="1" x="3063"/>
        <item m="1" x="1481"/>
        <item m="1" x="3013"/>
        <item m="1" x="352"/>
        <item m="1" x="452"/>
        <item m="1" x="272"/>
        <item m="1" x="471"/>
        <item m="1" x="2026"/>
        <item m="1" x="800"/>
        <item m="1" x="2446"/>
        <item m="1" x="2992"/>
        <item m="1" x="876"/>
        <item m="1" x="870"/>
        <item m="1" x="3260"/>
        <item m="1" x="2751"/>
        <item m="1" x="1894"/>
        <item m="1" x="3070"/>
        <item m="1" x="1855"/>
        <item m="1" x="2422"/>
        <item m="1" x="1282"/>
        <item m="1" x="2868"/>
        <item m="1" x="1284"/>
        <item m="1" x="1739"/>
        <item m="1" x="1640"/>
        <item m="1" x="2277"/>
        <item m="1" x="1351"/>
        <item m="1" x="255"/>
        <item m="1" x="970"/>
        <item m="1" x="1627"/>
        <item m="1" x="3241"/>
        <item m="1" x="1915"/>
        <item m="1" x="1214"/>
        <item m="1" x="1618"/>
        <item m="1" x="1647"/>
        <item m="1" x="397"/>
        <item m="1" x="1187"/>
        <item m="1" x="1482"/>
        <item m="1" x="3131"/>
        <item m="1" x="2259"/>
        <item m="1" x="135"/>
        <item m="1" x="507"/>
        <item m="1" x="2838"/>
        <item m="1" x="692"/>
        <item m="1" x="1127"/>
        <item m="1" x="568"/>
        <item m="1" x="862"/>
        <item m="1" x="670"/>
        <item m="1" x="1702"/>
        <item m="1" x="2608"/>
        <item m="1" x="3097"/>
        <item m="1" x="3030"/>
        <item m="1" x="1540"/>
        <item m="1" x="1364"/>
        <item m="1" x="3305"/>
        <item m="1" x="1106"/>
        <item m="1" x="2601"/>
        <item m="1" x="2319"/>
        <item m="1" x="1027"/>
        <item m="1" x="1603"/>
        <item m="1" x="1982"/>
        <item m="1" x="1164"/>
        <item m="1" x="1512"/>
        <item m="1" x="1562"/>
        <item m="1" x="3151"/>
        <item m="1" x="3188"/>
        <item m="1" x="1000"/>
        <item m="1" x="393"/>
        <item m="1" x="538"/>
        <item m="1" x="924"/>
        <item m="1" x="2775"/>
        <item m="1" x="3100"/>
        <item m="1" x="2375"/>
        <item m="1" x="2307"/>
        <item m="1" x="2348"/>
        <item m="1" x="2165"/>
        <item m="1" x="1051"/>
        <item m="1" x="1495"/>
        <item m="1" x="1815"/>
        <item m="1" x="1504"/>
        <item m="1" x="2478"/>
        <item m="1" x="2499"/>
        <item m="1" x="582"/>
        <item m="1" x="361"/>
        <item m="1" x="2722"/>
        <item m="1" x="1716"/>
        <item m="1" x="2607"/>
        <item m="1" x="545"/>
        <item x="17"/>
        <item m="1" x="2338"/>
        <item m="1" x="820"/>
        <item m="1" x="1332"/>
        <item m="1" x="2184"/>
        <item m="1" x="2328"/>
        <item m="1" x="837"/>
        <item m="1" x="839"/>
        <item m="1" x="848"/>
        <item m="1" x="931"/>
        <item m="1" x="2139"/>
        <item m="1" x="2046"/>
        <item m="1" x="1772"/>
        <item m="1" x="336"/>
        <item m="1" x="418"/>
        <item m="1" x="1491"/>
        <item m="1" x="3005"/>
        <item m="1" x="83"/>
        <item m="1" x="2617"/>
        <item m="1" x="449"/>
        <item m="1" x="2158"/>
        <item m="1" x="1670"/>
        <item m="1" x="2454"/>
        <item m="1" x="2462"/>
        <item m="1" x="666"/>
        <item m="1" x="810"/>
        <item m="1" x="2067"/>
        <item m="1" x="1880"/>
        <item m="1" x="1567"/>
        <item m="1" x="2106"/>
        <item m="1" x="1872"/>
        <item m="1" x="1558"/>
        <item m="1" x="2851"/>
        <item x="57"/>
        <item m="1" x="1942"/>
        <item m="1" x="1239"/>
        <item m="1" x="2483"/>
        <item m="1" x="1515"/>
        <item m="1" x="3046"/>
        <item m="1" x="1934"/>
        <item m="1" x="3196"/>
        <item m="1" x="2718"/>
        <item m="1" x="1541"/>
        <item m="1" x="242"/>
        <item m="1" x="1529"/>
        <item m="1" x="1984"/>
        <item m="1" x="113"/>
        <item m="1" x="1546"/>
        <item m="1" x="1158"/>
        <item m="1" x="282"/>
        <item m="1" x="1761"/>
        <item m="1" x="1953"/>
        <item m="1" x="606"/>
        <item m="1" x="2602"/>
        <item m="1" x="2145"/>
        <item m="1" x="247"/>
        <item m="1" x="2901"/>
        <item m="1" x="1059"/>
        <item m="1" x="2820"/>
        <item m="1" x="2168"/>
        <item m="1" x="1656"/>
        <item m="1" x="2198"/>
        <item m="1" x="1017"/>
        <item m="1" x="2592"/>
        <item m="1" x="3172"/>
        <item m="1" x="2648"/>
        <item m="1" x="1544"/>
        <item m="1" x="403"/>
        <item m="1" x="2831"/>
        <item m="1" x="2937"/>
        <item m="1" x="1612"/>
        <item m="1" x="123"/>
        <item m="1" x="1470"/>
        <item m="1" x="359"/>
        <item m="1" x="464"/>
        <item m="1" x="955"/>
        <item m="1" x="927"/>
        <item m="1" x="1464"/>
        <item m="1" x="2133"/>
        <item m="1" x="2138"/>
        <item m="1" x="2143"/>
        <item m="1" x="1300"/>
        <item m="1" x="1980"/>
        <item m="1" x="1003"/>
        <item m="1" x="1590"/>
        <item m="1" x="2622"/>
        <item m="1" x="330"/>
        <item m="1" x="869"/>
        <item m="1" x="871"/>
        <item m="1" x="506"/>
        <item m="1" x="2066"/>
        <item m="1" x="1921"/>
        <item m="1" x="2309"/>
        <item m="1" x="1063"/>
        <item m="1" x="2127"/>
        <item m="1" x="439"/>
        <item m="1" x="301"/>
        <item m="1" x="1636"/>
        <item m="1" x="1285"/>
        <item m="1" x="921"/>
        <item m="1" x="3062"/>
        <item m="1" x="1788"/>
        <item m="1" x="1622"/>
        <item m="1" x="373"/>
        <item m="1" x="124"/>
        <item m="1" x="2196"/>
        <item m="1" x="792"/>
        <item m="1" x="628"/>
        <item m="1" x="120"/>
        <item m="1" x="1930"/>
        <item m="1" x="748"/>
        <item m="1" x="2644"/>
        <item m="1" x="1928"/>
        <item m="1" x="2569"/>
        <item m="1" x="2570"/>
        <item m="1" x="210"/>
        <item m="1" x="2520"/>
        <item m="1" x="3135"/>
        <item m="1" x="1905"/>
        <item m="1" x="2439"/>
        <item m="1" x="3052"/>
        <item m="1" x="2904"/>
        <item m="1" x="1693"/>
        <item m="1" x="2031"/>
        <item m="1" x="586"/>
        <item m="1" x="2538"/>
        <item m="1" x="427"/>
        <item m="1" x="699"/>
        <item m="1" x="211"/>
        <item m="1" x="782"/>
        <item m="1" x="1483"/>
        <item m="1" x="2577"/>
        <item m="1" x="514"/>
        <item m="1" x="1826"/>
        <item m="1" x="960"/>
        <item m="1" x="1717"/>
        <item m="1" x="1531"/>
        <item m="1" x="2891"/>
        <item m="1" x="1478"/>
        <item m="1" x="277"/>
        <item m="1" x="842"/>
        <item m="1" x="430"/>
        <item m="1" x="973"/>
        <item m="1" x="1676"/>
        <item m="1" x="2780"/>
        <item m="1" x="720"/>
        <item m="1" x="2419"/>
        <item m="1" x="3014"/>
        <item m="1" x="1526"/>
        <item m="1" x="2735"/>
        <item m="1" x="3304"/>
        <item m="1" x="1125"/>
        <item m="1" x="3112"/>
        <item m="1" x="802"/>
        <item m="1" x="1338"/>
        <item m="1" x="1237"/>
        <item m="1" x="952"/>
        <item m="1" x="1549"/>
        <item m="1" x="482"/>
        <item m="1" x="2758"/>
        <item m="1" x="1895"/>
        <item m="1" x="3278"/>
        <item m="1" x="3257"/>
        <item m="1" x="571"/>
        <item m="1" x="2336"/>
        <item m="1" x="296"/>
        <item m="1" x="853"/>
        <item m="1" x="2714"/>
        <item m="1" x="1843"/>
        <item m="1" x="1861"/>
        <item m="1" x="3165"/>
        <item m="1" x="273"/>
        <item m="1" x="1186"/>
        <item m="1" x="950"/>
        <item m="1" x="534"/>
        <item m="1" x="3299"/>
        <item m="1" x="457"/>
        <item m="1" x="1334"/>
        <item m="1" x="2396"/>
        <item m="1" x="102"/>
        <item m="1" x="2258"/>
        <item m="1" x="1417"/>
        <item m="1" x="705"/>
        <item x="33"/>
        <item x="12"/>
        <item m="1" x="773"/>
        <item m="1" x="2005"/>
        <item m="1" x="3060"/>
        <item m="1" x="3154"/>
        <item m="1" x="2759"/>
        <item m="1" x="2814"/>
        <item m="1" x="1296"/>
        <item m="1" x="1289"/>
        <item m="1" x="1156"/>
        <item m="1" x="1530"/>
        <item m="1" x="209"/>
        <item m="1" x="2118"/>
        <item m="1" x="244"/>
        <item m="1" x="458"/>
        <item m="1" x="1893"/>
        <item m="1" x="3217"/>
        <item m="1" x="1887"/>
        <item m="1" x="1613"/>
        <item m="1" x="1907"/>
        <item m="1" x="3029"/>
        <item m="1" x="527"/>
        <item m="1" x="2441"/>
        <item m="1" x="2707"/>
        <item m="1" x="2445"/>
        <item m="1" x="2012"/>
        <item m="1" x="2729"/>
        <item m="1" x="2480"/>
        <item m="1" x="396"/>
        <item m="1" x="539"/>
        <item m="1" x="3300"/>
        <item m="1" x="3129"/>
        <item m="1" x="2632"/>
        <item m="1" x="2089"/>
        <item m="1" x="1652"/>
        <item m="1" x="456"/>
        <item m="1" x="3022"/>
        <item m="1" x="1253"/>
        <item m="1" x="3181"/>
        <item m="1" x="2144"/>
        <item m="1" x="2708"/>
        <item m="1" x="1943"/>
        <item m="1" x="80"/>
        <item m="1" x="2594"/>
        <item m="1" x="1494"/>
        <item m="1" x="442"/>
        <item m="1" x="3296"/>
        <item m="1" x="1941"/>
        <item m="1" x="2578"/>
        <item m="1" x="1098"/>
        <item m="1" x="1813"/>
        <item m="1" x="601"/>
        <item m="1" x="1350"/>
        <item m="1" x="583"/>
        <item m="1" x="2616"/>
        <item m="1" x="733"/>
        <item m="1" x="459"/>
        <item m="1" x="2505"/>
        <item m="1" x="3234"/>
        <item m="1" x="2292"/>
        <item m="1" x="542"/>
        <item m="1" x="923"/>
        <item m="1" x="1446"/>
        <item m="1" x="914"/>
        <item m="1" x="3076"/>
        <item m="1" x="2858"/>
        <item m="1" x="2739"/>
        <item m="1" x="1252"/>
        <item m="1" x="1368"/>
        <item m="1" x="2223"/>
        <item m="1" x="2404"/>
        <item m="1" x="166"/>
        <item m="1" x="3324"/>
        <item m="1" x="2261"/>
        <item m="1" x="3080"/>
        <item m="1" x="690"/>
        <item m="1" x="2389"/>
        <item m="1" x="1185"/>
        <item m="1" x="2241"/>
        <item m="1" x="1375"/>
        <item m="1" x="2111"/>
        <item m="1" x="3141"/>
        <item m="1" x="1808"/>
        <item m="1" x="1493"/>
        <item m="1" x="290"/>
        <item m="1" x="1347"/>
        <item m="1" x="860"/>
        <item m="1" x="1935"/>
        <item m="1" x="2036"/>
        <item m="1" x="3113"/>
        <item m="1" x="2387"/>
        <item m="1" x="2450"/>
        <item m="1" x="672"/>
        <item m="1" x="1503"/>
        <item m="1" x="3223"/>
        <item m="1" x="2732"/>
        <item m="1" x="1320"/>
        <item m="1" x="2914"/>
        <item m="1" x="109"/>
        <item m="1" x="3093"/>
        <item m="1" x="2037"/>
        <item m="1" x="2514"/>
        <item m="1" x="346"/>
        <item m="1" x="1117"/>
        <item m="1" x="2007"/>
        <item m="1" x="1277"/>
        <item m="1" x="2642"/>
        <item m="1" x="685"/>
        <item m="1" x="3035"/>
        <item m="1" x="3158"/>
        <item m="1" x="704"/>
        <item m="1" x="3145"/>
        <item m="1" x="2721"/>
        <item m="1" x="2579"/>
        <item m="1" x="2377"/>
        <item m="1" x="366"/>
        <item m="1" x="523"/>
        <item m="1" x="818"/>
        <item m="1" x="470"/>
        <item m="1" x="499"/>
        <item m="1" x="259"/>
        <item m="1" x="2523"/>
        <item m="1" x="3264"/>
        <item m="1" x="1398"/>
        <item m="1" x="2131"/>
        <item m="1" x="1200"/>
        <item m="1" x="2398"/>
        <item m="1" x="235"/>
        <item m="1" x="1987"/>
        <item m="1" x="478"/>
        <item m="1" x="443"/>
        <item m="1" x="3271"/>
        <item m="1" x="1323"/>
        <item m="1" x="1072"/>
        <item m="1" x="2715"/>
        <item m="1" x="3018"/>
        <item m="1" x="855"/>
        <item m="1" x="577"/>
        <item m="1" x="754"/>
        <item m="1" x="1197"/>
        <item m="1" x="977"/>
        <item m="1" x="171"/>
        <item m="1" x="2003"/>
        <item m="1" x="2530"/>
        <item m="1" x="1084"/>
        <item m="1" x="2738"/>
        <item m="1" x="665"/>
        <item m="1" x="2534"/>
        <item m="1" x="1036"/>
        <item m="1" x="2743"/>
        <item m="1" x="2231"/>
        <item m="1" x="1789"/>
        <item m="1" x="512"/>
        <item m="1" x="81"/>
        <item m="1" x="747"/>
        <item m="1" x="701"/>
        <item m="1" x="1600"/>
        <item m="1" x="2064"/>
        <item m="1" x="718"/>
        <item m="1" x="1339"/>
        <item m="1" x="2846"/>
        <item m="1" x="188"/>
        <item m="1" x="1007"/>
        <item m="1" x="2468"/>
        <item m="1" x="1750"/>
        <item m="1" x="2492"/>
        <item m="1" x="2899"/>
        <item m="1" x="3073"/>
        <item m="1" x="1371"/>
        <item m="1" x="3248"/>
        <item m="1" x="2193"/>
        <item m="1" x="2912"/>
        <item m="1" x="1906"/>
        <item m="1" x="3147"/>
        <item m="1" x="863"/>
        <item m="1" x="2861"/>
        <item m="1" x="105"/>
        <item m="1" x="2019"/>
        <item m="1" x="2857"/>
        <item m="1" x="626"/>
        <item m="1" x="1207"/>
        <item m="1" x="549"/>
        <item m="1" x="2731"/>
        <item m="1" x="1001"/>
        <item m="1" x="3023"/>
        <item m="1" x="2081"/>
        <item m="1" x="2957"/>
        <item m="1" x="3177"/>
        <item m="1" x="1704"/>
        <item m="1" x="759"/>
        <item m="1" x="594"/>
        <item m="1" x="1454"/>
        <item m="1" x="2543"/>
        <item m="1" x="2510"/>
        <item m="1" x="1824"/>
        <item m="1" x="3220"/>
        <item m="1" x="2867"/>
        <item m="1" x="1555"/>
        <item m="1" x="1297"/>
        <item m="1" x="2795"/>
        <item m="1" x="2558"/>
        <item m="1" x="250"/>
        <item m="1" x="1382"/>
        <item m="1" x="1255"/>
        <item m="1" x="118"/>
        <item m="1" x="1939"/>
        <item m="1" x="1850"/>
        <item m="1" x="2949"/>
        <item m="1" x="1783"/>
        <item m="1" x="915"/>
        <item m="1" x="414"/>
        <item m="1" x="675"/>
        <item m="1" x="1677"/>
        <item m="1" x="2397"/>
        <item m="1" x="2100"/>
        <item m="1" x="671"/>
        <item m="1" x="338"/>
        <item m="1" x="537"/>
        <item m="1" x="130"/>
        <item m="1" x="1524"/>
        <item m="1" x="2994"/>
        <item m="1" x="1341"/>
        <item m="1" x="1004"/>
        <item m="1" x="3274"/>
        <item m="1" x="1046"/>
        <item m="1" x="1201"/>
        <item m="1" x="2078"/>
        <item m="1" x="1637"/>
        <item m="1" x="2327"/>
        <item m="1" x="3183"/>
        <item m="1" x="1479"/>
        <item m="1" x="2628"/>
        <item m="1" x="1860"/>
        <item m="1" x="2762"/>
        <item m="1" x="920"/>
        <item m="1" x="2286"/>
        <item x="37"/>
        <item m="1" x="716"/>
        <item m="1" x="1957"/>
        <item m="1" x="1770"/>
        <item m="1" x="2279"/>
        <item m="1" x="2535"/>
        <item m="1" x="2922"/>
        <item m="1" x="3049"/>
        <item m="1" x="2473"/>
        <item m="1" x="2390"/>
        <item m="1" x="503"/>
        <item m="1" x="2470"/>
        <item m="1" x="2105"/>
        <item m="1" x="872"/>
        <item m="1" x="1598"/>
        <item m="1" x="1386"/>
        <item m="1" x="1435"/>
        <item m="1" x="2629"/>
        <item m="1" x="423"/>
        <item m="1" x="1800"/>
        <item m="1" x="752"/>
        <item m="1" x="2637"/>
        <item m="1" x="591"/>
        <item m="1" x="867"/>
        <item m="1" x="2923"/>
        <item m="1" x="2546"/>
        <item m="1" x="2928"/>
        <item m="1" x="2950"/>
        <item m="1" x="177"/>
        <item m="1" x="2976"/>
        <item m="1" x="2368"/>
        <item m="1" x="3265"/>
        <item m="1" x="2769"/>
        <item m="1" x="2027"/>
        <item m="1" x="2120"/>
        <item m="1" x="745"/>
        <item m="1" x="1321"/>
        <item m="1" x="1202"/>
        <item m="1" x="1786"/>
        <item m="1" x="224"/>
        <item m="1" x="687"/>
        <item m="1" x="243"/>
        <item m="1" x="1425"/>
        <item m="1" x="2649"/>
        <item m="1" x="345"/>
        <item m="1" x="2207"/>
        <item m="1" x="650"/>
        <item m="1" x="2187"/>
        <item m="1" x="2113"/>
        <item m="1" x="3236"/>
        <item m="1" x="2344"/>
        <item m="1" x="1267"/>
        <item m="1" x="1310"/>
        <item m="1" x="463"/>
        <item m="1" x="322"/>
        <item m="1" x="2438"/>
        <item m="1" x="3101"/>
        <item m="1" x="651"/>
        <item m="1" x="1159"/>
        <item m="1" x="776"/>
        <item m="1" x="2975"/>
        <item m="1" x="2584"/>
        <item m="1" x="1337"/>
        <item m="1" x="1303"/>
        <item m="1" x="2580"/>
        <item m="1" x="398"/>
        <item m="1" x="1490"/>
        <item m="1" x="3301"/>
        <item m="1" x="2108"/>
        <item m="1" x="2951"/>
        <item m="1" x="162"/>
        <item m="1" x="1963"/>
        <item m="1" x="518"/>
        <item m="1" x="1792"/>
        <item m="1" x="1270"/>
        <item m="1" x="2385"/>
        <item m="1" x="1884"/>
        <item m="1" x="1919"/>
        <item m="1" x="2447"/>
        <item m="1" x="2362"/>
        <item m="1" x="2017"/>
        <item m="1" x="2508"/>
        <item m="1" x="2536"/>
        <item m="1" x="1755"/>
        <item m="1" x="888"/>
        <item m="1" x="2072"/>
        <item m="1" x="1012"/>
        <item m="1" x="856"/>
        <item m="1" x="1188"/>
        <item m="1" x="2697"/>
        <item m="1" x="2581"/>
        <item m="1" x="2864"/>
        <item m="1" x="1050"/>
        <item m="1" x="1450"/>
        <item m="1" x="200"/>
        <item m="1" x="2698"/>
        <item m="1" x="176"/>
        <item m="1" x="2088"/>
        <item m="1" x="1599"/>
        <item m="1" x="1708"/>
        <item m="1" x="84"/>
        <item m="1" x="746"/>
        <item m="1" x="1219"/>
        <item m="1" x="755"/>
        <item m="1" x="882"/>
        <item m="1" x="642"/>
        <item m="1" x="1411"/>
        <item m="1" x="1866"/>
        <item m="1" x="2049"/>
        <item m="1" x="1764"/>
        <item m="1" x="2787"/>
        <item m="1" x="441"/>
        <item m="1" x="662"/>
        <item m="1" x="1292"/>
        <item m="1" x="2850"/>
        <item m="1" x="635"/>
        <item m="1" x="409"/>
        <item m="1" x="588"/>
        <item m="1" x="2834"/>
        <item m="1" x="1999"/>
        <item m="1" x="2541"/>
        <item m="1" x="1709"/>
        <item m="1" x="2206"/>
        <item m="1" x="1910"/>
        <item m="1" x="114"/>
        <item m="1" x="191"/>
        <item m="1" x="140"/>
        <item m="1" x="744"/>
        <item m="1" x="1157"/>
        <item m="1" x="1229"/>
        <item m="1" x="1019"/>
        <item m="1" x="1257"/>
        <item m="1" x="2172"/>
        <item m="1" x="2557"/>
        <item m="1" x="1301"/>
        <item m="1" x="2566"/>
        <item m="1" x="2587"/>
        <item m="1" x="617"/>
        <item m="1" x="2988"/>
        <item m="1" x="2908"/>
        <item m="1" x="824"/>
        <item m="1" x="592"/>
        <item m="1" x="492"/>
        <item m="1" x="246"/>
        <item m="1" x="1834"/>
        <item m="1" x="1015"/>
        <item m="1" x="2225"/>
        <item m="1" x="786"/>
        <item m="1" x="719"/>
        <item m="1" x="2216"/>
        <item m="1" x="280"/>
        <item m="1" x="2475"/>
        <item m="1" x="536"/>
        <item m="1" x="2270"/>
        <item m="1" x="3309"/>
        <item m="1" x="1542"/>
        <item x="19"/>
        <item m="1" x="619"/>
        <item x="20"/>
        <item m="1" x="417"/>
        <item m="1" x="965"/>
        <item x="21"/>
        <item m="1" x="234"/>
        <item m="1" x="1532"/>
        <item m="1" x="1422"/>
        <item m="1" x="866"/>
        <item m="1" x="164"/>
        <item m="1" x="3016"/>
        <item m="1" x="630"/>
        <item m="1" x="2303"/>
        <item m="1" x="2266"/>
        <item m="1" x="686"/>
        <item m="1" x="3068"/>
        <item m="1" x="532"/>
        <item m="1" x="2281"/>
        <item m="1" x="2803"/>
        <item m="1" x="3003"/>
        <item m="1" x="3115"/>
        <item m="1" x="1900"/>
        <item m="1" x="2137"/>
        <item m="1" x="432"/>
        <item m="1" x="356"/>
        <item m="1" x="694"/>
        <item m="1" x="3084"/>
        <item m="1" x="1635"/>
        <item m="1" x="1831"/>
        <item m="1" x="2710"/>
        <item m="1" x="1781"/>
        <item m="1" x="513"/>
        <item m="1" x="2430"/>
        <item m="1" x="3222"/>
        <item m="1" x="1920"/>
        <item m="1" x="2574"/>
        <item m="1" x="2156"/>
        <item m="1" x="1011"/>
        <item m="1" x="3182"/>
        <item m="1" x="1500"/>
        <item m="1" x="2332"/>
        <item m="1" x="2979"/>
        <item m="1" x="1535"/>
        <item m="1" x="1573"/>
        <item m="1" x="1105"/>
        <item m="1" x="286"/>
        <item m="1" x="1093"/>
        <item m="1" x="167"/>
        <item m="1" x="1403"/>
        <item m="1" x="2009"/>
        <item m="1" x="2987"/>
        <item m="1" x="2384"/>
        <item m="1" x="2109"/>
        <item m="1" x="1985"/>
        <item m="1" x="1667"/>
        <item m="1" x="3065"/>
        <item m="1" x="2798"/>
        <item m="1" x="2856"/>
        <item m="1" x="2818"/>
        <item m="1" x="305"/>
        <item m="1" x="2604"/>
        <item m="1" x="1432"/>
        <item m="1" x="2074"/>
        <item m="1" x="1241"/>
        <item m="1" x="1318"/>
        <item m="1" x="206"/>
        <item m="1" x="1006"/>
        <item m="1" x="861"/>
        <item m="1" x="1751"/>
        <item m="1" x="3325"/>
        <item m="1" x="1956"/>
        <item m="1" x="187"/>
        <item m="1" x="2119"/>
        <item m="1" x="1646"/>
        <item m="1" x="2413"/>
        <item m="1" x="2114"/>
        <item m="1" x="917"/>
        <item m="1" x="1140"/>
        <item m="1" x="2606"/>
        <item m="1" x="2427"/>
        <item m="1" x="864"/>
        <item m="1" x="567"/>
        <item m="1" x="604"/>
        <item m="1" x="2666"/>
        <item m="1" x="2842"/>
        <item m="1" x="999"/>
        <item m="1" x="2537"/>
        <item m="1" x="3079"/>
        <item m="1" x="3194"/>
        <item m="1" x="2260"/>
        <item m="1" x="1852"/>
        <item m="1" x="2894"/>
        <item m="1" x="1369"/>
        <item m="1" x="1190"/>
        <item m="1" x="2045"/>
        <item m="1" x="969"/>
        <item m="1" x="2711"/>
        <item m="1" x="1444"/>
        <item m="1" x="3316"/>
        <item m="1" x="1675"/>
        <item m="1" x="197"/>
        <item m="1" x="2544"/>
        <item m="1" x="1947"/>
        <item m="1" x="2871"/>
        <item m="1" x="515"/>
        <item m="1" x="2182"/>
        <item m="1" x="2611"/>
        <item m="1" x="2235"/>
        <item m="1" x="602"/>
        <item m="1" x="535"/>
        <item m="1" x="787"/>
        <item m="1" x="1991"/>
        <item m="1" x="2921"/>
        <item m="1" x="2496"/>
        <item m="1" x="715"/>
        <item m="1" x="2494"/>
        <item m="1" x="2502"/>
        <item m="1" x="835"/>
        <item m="1" x="801"/>
        <item m="1" x="2099"/>
        <item m="1" x="73"/>
        <item m="1" x="408"/>
        <item m="1" x="700"/>
        <item m="1" x="1965"/>
        <item m="1" x="1380"/>
        <item m="1" x="2918"/>
        <item m="1" x="812"/>
        <item m="1" x="1723"/>
        <item m="1" x="2001"/>
        <item m="1" x="1592"/>
        <item m="1" x="3187"/>
        <item m="1" x="2287"/>
        <item m="1" x="2440"/>
        <item m="1" x="1069"/>
        <item m="1" x="2004"/>
        <item m="1" x="729"/>
        <item m="1" x="1917"/>
        <item m="1" x="1869"/>
        <item m="1" x="207"/>
        <item m="1" x="1151"/>
        <item m="1" x="274"/>
        <item m="1" x="1438"/>
        <item m="1" x="438"/>
        <item m="1" x="519"/>
        <item m="1" x="1254"/>
        <item m="1" x="2533"/>
        <item m="1" x="2964"/>
        <item m="1" x="1014"/>
        <item m="1" x="2876"/>
        <item m="1" x="1653"/>
        <item m="1" x="1260"/>
        <item m="1" x="1043"/>
        <item m="1" x="1779"/>
        <item m="1" x="2614"/>
        <item m="1" x="254"/>
        <item m="1" x="1384"/>
        <item m="1" x="3064"/>
        <item m="1" x="2615"/>
        <item m="1" x="1856"/>
        <item m="1" x="3116"/>
        <item m="1" x="1070"/>
        <item m="1" x="2356"/>
        <item m="1" x="1576"/>
        <item m="1" x="3086"/>
        <item m="1" x="3322"/>
        <item m="1" x="1233"/>
        <item m="1" x="909"/>
        <item m="1" x="392"/>
        <item m="1" x="1715"/>
        <item m="1" x="1273"/>
        <item m="1" x="2559"/>
        <item m="1" x="3004"/>
        <item m="1" x="1929"/>
        <item m="1" x="526"/>
        <item m="1" x="605"/>
        <item m="1" x="1179"/>
        <item m="1" x="2038"/>
        <item m="1" x="2359"/>
        <item m="1" x="1948"/>
        <item m="1" x="2736"/>
        <item m="1" x="3298"/>
        <item m="1" x="2233"/>
        <item m="1" x="1101"/>
        <item m="1" x="989"/>
        <item m="1" x="1094"/>
        <item m="1" x="2415"/>
        <item m="1" x="766"/>
        <item m="1" x="1994"/>
        <item m="1" x="1346"/>
        <item m="1" x="2379"/>
        <item m="1" x="275"/>
        <item m="1" x="3238"/>
        <item m="1" x="2324"/>
        <item m="1" x="184"/>
        <item m="1" x="1748"/>
        <item m="1" x="1678"/>
        <item m="1" x="1485"/>
        <item m="1" x="2991"/>
        <item m="1" x="2902"/>
        <item m="1" x="509"/>
        <item m="1" x="2885"/>
        <item m="1" x="2479"/>
        <item m="1" x="2355"/>
        <item m="1" x="1784"/>
        <item m="1" x="1097"/>
        <item m="1" x="1406"/>
        <item m="1" x="524"/>
        <item m="1" x="2077"/>
        <item m="1" x="2352"/>
        <item m="1" x="2283"/>
        <item m="1" x="416"/>
        <item m="1" x="508"/>
        <item m="1" x="1123"/>
        <item m="1" x="2253"/>
        <item m="1" x="2997"/>
        <item m="1" x="2086"/>
        <item m="1" x="640"/>
        <item m="1" x="2621"/>
        <item m="1" x="3255"/>
        <item m="1" x="1437"/>
        <item m="1" x="1616"/>
        <item m="1" x="444"/>
        <item m="1" x="2431"/>
        <item m="1" x="3281"/>
        <item m="1" x="1830"/>
        <item m="1" x="2927"/>
        <item m="1" x="2457"/>
        <item m="1" x="1136"/>
        <item m="1" x="988"/>
        <item m="1" x="607"/>
        <item m="1" x="1416"/>
        <item m="1" x="717"/>
        <item m="1" x="487"/>
        <item m="1" x="2267"/>
        <item m="1" x="1879"/>
        <item m="1" x="2323"/>
        <item m="1" x="1086"/>
        <item m="1" x="1222"/>
        <item m="1" x="2507"/>
        <item m="1" x="91"/>
        <item m="1" x="2811"/>
        <item m="1" x="1976"/>
        <item m="1" x="472"/>
        <item m="1" x="1735"/>
        <item m="1" x="3267"/>
        <item m="1" x="3273"/>
        <item m="1" x="2554"/>
        <item m="1" x="343"/>
        <item m="1" x="1311"/>
        <item m="1" x="1874"/>
        <item m="1" x="1441"/>
        <item m="1" x="2746"/>
        <item m="1" x="780"/>
        <item m="1" x="2874"/>
        <item m="1" x="2728"/>
        <item m="1" x="926"/>
        <item m="1" x="3212"/>
        <item m="1" x="2221"/>
        <item m="1" x="2349"/>
        <item m="1" x="3054"/>
        <item m="1" x="3149"/>
        <item m="1" x="3289"/>
        <item m="1" x="1258"/>
        <item m="1" x="1977"/>
        <item m="1" x="2243"/>
        <item m="1" x="2472"/>
        <item m="1" x="2925"/>
        <item m="1" x="1909"/>
        <item m="1" x="2022"/>
        <item m="1" x="910"/>
        <item m="1" x="3077"/>
        <item m="1" x="265"/>
        <item m="1" x="1611"/>
        <item m="1" x="935"/>
        <item m="1" x="627"/>
        <item m="1" x="2011"/>
        <item m="1" x="433"/>
        <item m="1" x="1633"/>
        <item m="1" x="1210"/>
        <item m="1" x="576"/>
        <item m="1" x="2897"/>
        <item m="1" x="600"/>
        <item m="1" x="185"/>
        <item m="1" x="2575"/>
        <item m="1" x="1707"/>
        <item m="1" x="995"/>
        <item m="1" x="798"/>
        <item m="1" x="3081"/>
        <item m="1" x="511"/>
        <item m="1" x="590"/>
        <item m="1" x="3119"/>
        <item m="1" x="2340"/>
        <item m="1" x="2200"/>
        <item m="1" x="289"/>
        <item m="1" x="2140"/>
        <item m="1" x="2766"/>
        <item m="1" x="1150"/>
        <item m="1" x="1508"/>
        <item m="1" x="2781"/>
        <item m="1" x="3061"/>
        <item m="1" x="2087"/>
        <item m="1" x="147"/>
        <item m="1" x="2025"/>
        <item m="1" x="342"/>
        <item m="1" x="2954"/>
        <item m="1" x="1294"/>
        <item m="1" x="2501"/>
        <item m="1" x="1031"/>
        <item m="1" x="401"/>
        <item m="1" x="3038"/>
        <item m="1" x="2298"/>
        <item m="1" x="1888"/>
        <item m="1" x="3103"/>
        <item m="1" x="554"/>
        <item m="1" x="2372"/>
        <item m="1" x="3176"/>
        <item m="1" x="1475"/>
        <item m="1" x="1170"/>
        <item m="1" x="3319"/>
        <item m="1" x="830"/>
        <item m="1" x="3019"/>
        <item m="1" x="1896"/>
        <item m="1" x="2636"/>
        <item m="1" x="212"/>
        <item m="1" x="813"/>
        <item m="1" x="136"/>
        <item m="1" x="2412"/>
        <item m="1" x="2028"/>
        <item m="1" x="890"/>
        <item m="1" x="1249"/>
        <item m="1" x="2776"/>
        <item m="1" x="2002"/>
        <item m="1" x="3263"/>
        <item m="1" x="1538"/>
        <item m="1" x="1217"/>
        <item m="1" x="1299"/>
        <item m="1" x="129"/>
        <item m="1" x="1793"/>
        <item m="1" x="1862"/>
        <item m="1" x="1118"/>
        <item m="1" x="264"/>
        <item m="1" x="437"/>
        <item m="1" x="99"/>
        <item m="1" x="1961"/>
        <item m="1" x="1680"/>
        <item m="1" x="2645"/>
        <item m="1" x="762"/>
        <item m="1" x="1148"/>
        <item m="1" x="1104"/>
        <item m="1" x="1492"/>
        <item m="1" x="1103"/>
        <item m="1" x="2205"/>
        <item m="1" x="2786"/>
        <item m="1" x="3221"/>
        <item m="1" x="2058"/>
        <item m="1" x="2947"/>
        <item m="1" x="2322"/>
        <item m="1" x="944"/>
        <item m="1" x="2239"/>
        <item m="1" x="405"/>
        <item m="1" x="3067"/>
        <item m="1" x="3108"/>
        <item m="1" x="1073"/>
        <item m="1" x="2464"/>
        <item m="1" x="840"/>
        <item m="1" x="904"/>
        <item m="1" x="978"/>
        <item m="1" x="3069"/>
        <item m="1" x="3072"/>
        <item m="1" x="3226"/>
        <item m="1" x="634"/>
        <item m="1" x="340"/>
        <item m="1" x="2526"/>
        <item m="1" x="3090"/>
        <item m="1" x="1471"/>
        <item m="1" x="1381"/>
        <item m="1" x="2400"/>
        <item m="1" x="1818"/>
        <item m="1" x="3010"/>
        <item m="1" x="2018"/>
        <item m="1" x="2358"/>
        <item m="1" x="575"/>
        <item m="1" x="3152"/>
        <item m="1" x="520"/>
        <item m="1" x="139"/>
        <item m="1" x="781"/>
        <item m="1" x="883"/>
        <item m="1" x="1971"/>
        <item m="1" x="2006"/>
        <item m="1" x="1785"/>
        <item m="1" x="2284"/>
        <item x="11"/>
        <item m="1" x="2712"/>
        <item m="1" x="1871"/>
        <item m="1" x="3209"/>
        <item m="1" x="3334"/>
        <item m="1" x="2448"/>
        <item m="1" x="3032"/>
        <item m="1" x="2142"/>
        <item m="1" x="2771"/>
        <item m="1" x="1631"/>
        <item m="1" x="1897"/>
        <item m="1" x="1932"/>
        <item m="1" x="2234"/>
        <item m="1" x="2163"/>
        <item m="1" x="2301"/>
        <item m="1" x="3184"/>
        <item m="1" x="180"/>
        <item m="1" x="208"/>
        <item m="1" x="354"/>
        <item m="1" x="516"/>
        <item m="1" x="3283"/>
        <item m="1" x="1564"/>
        <item m="1" x="2682"/>
        <item m="1" x="877"/>
        <item m="1" x="263"/>
        <item m="1" x="2989"/>
        <item m="1" x="2970"/>
        <item m="1" x="79"/>
        <item m="1" x="3213"/>
        <item m="1" x="3310"/>
        <item m="1" x="2392"/>
        <item m="1" x="1199"/>
        <item m="1" x="2097"/>
        <item m="1" x="2342"/>
        <item m="1" x="3197"/>
        <item m="1" x="1009"/>
        <item m="1" x="1032"/>
        <item m="1" x="1112"/>
        <item m="1" x="1194"/>
        <item m="1" x="1212"/>
        <item m="1" x="2668"/>
        <item m="1" x="2865"/>
        <item m="1" x="3332"/>
        <item m="1" x="2490"/>
        <item m="1" x="2423"/>
        <item m="1" x="2132"/>
        <item m="1" x="1404"/>
        <item m="1" x="2550"/>
        <item m="1" x="351"/>
        <item m="1" x="2793"/>
        <item m="1" x="480"/>
        <item m="1" x="1144"/>
        <item m="1" x="2285"/>
        <item m="1" x="97"/>
        <item m="1" x="2549"/>
        <item m="1" x="230"/>
        <item m="1" x="3246"/>
        <item m="1" x="1313"/>
        <item m="1" x="552"/>
        <item m="1" x="1992"/>
        <item m="1" x="1306"/>
        <item m="1" x="893"/>
        <item m="1" x="1325"/>
        <item m="1" x="1434"/>
        <item m="1" x="279"/>
        <item m="1" x="1545"/>
        <item m="1" x="2014"/>
        <item m="1" x="3048"/>
        <item m="1" x="311"/>
        <item m="1" x="2247"/>
        <item m="1" x="2237"/>
        <item m="1" x="1143"/>
        <item m="1" x="1378"/>
        <item m="1" x="1836"/>
        <item m="1" x="986"/>
        <item m="1" x="972"/>
        <item m="1" x="2210"/>
        <item m="1" x="2013"/>
        <item m="1" x="3105"/>
        <item m="1" x="2135"/>
        <item m="1" x="347"/>
        <item m="1" x="1085"/>
        <item m="1" x="743"/>
        <item m="1" x="168"/>
        <item m="1" x="2369"/>
        <item m="1" x="2141"/>
        <item m="1" x="1607"/>
        <item m="1" x="2571"/>
        <item m="1" x="1736"/>
        <item m="1" x="1621"/>
        <item x="26"/>
        <item m="1" x="1854"/>
        <item m="1" x="3000"/>
        <item m="1" x="1655"/>
        <item m="1" x="1133"/>
        <item m="1" x="723"/>
        <item m="1" x="3142"/>
        <item m="1" x="1840"/>
        <item m="1" x="380"/>
        <item m="1" x="1283"/>
        <item m="1" x="789"/>
        <item m="1" x="1469"/>
        <item m="1" x="1511"/>
        <item m="1" x="1979"/>
        <item m="1" x="271"/>
        <item m="1" x="941"/>
        <item m="1" x="3186"/>
        <item m="1" x="1660"/>
        <item m="1" x="809"/>
        <item m="1" x="1730"/>
        <item m="1" x="2687"/>
        <item m="1" x="3161"/>
        <item m="1" x="1863"/>
        <item m="1" x="2371"/>
        <item m="1" x="3175"/>
        <item m="1" x="1724"/>
        <item m="1" x="3082"/>
        <item m="1" x="1474"/>
        <item m="1" x="2882"/>
        <item m="1" x="1165"/>
        <item m="1" x="660"/>
        <item m="1" x="1967"/>
        <item m="1" x="3256"/>
        <item m="1" x="261"/>
        <item m="1" x="1609"/>
        <item m="1" x="1713"/>
        <item m="1" x="984"/>
        <item m="1" x="2238"/>
        <item m="1" x="3207"/>
        <item m="1" x="2282"/>
        <item m="1" x="1248"/>
        <item m="1" x="3205"/>
        <item m="1" x="1401"/>
        <item m="1" x="2740"/>
        <item m="1" x="657"/>
        <item m="1" x="2065"/>
        <item m="1" x="3053"/>
        <item m="1" x="1722"/>
        <item x="35"/>
        <item m="1" x="2363"/>
        <item m="1" x="3096"/>
        <item m="1" x="1131"/>
        <item m="1" x="1604"/>
        <item m="1" x="1728"/>
        <item m="1" x="2185"/>
        <item m="1" x="2318"/>
        <item m="1" x="229"/>
        <item m="1" x="2779"/>
        <item m="1" x="722"/>
        <item m="1" x="2784"/>
        <item m="1" x="2399"/>
        <item m="1" x="3106"/>
        <item m="1" x="1038"/>
        <item m="1" x="779"/>
        <item m="1" x="1842"/>
        <item m="1" x="614"/>
        <item m="1" x="1632"/>
        <item m="1" x="770"/>
        <item m="1" x="1817"/>
        <item m="1" x="625"/>
        <item m="1" x="2325"/>
        <item m="1" x="959"/>
        <item m="1" x="1243"/>
        <item m="1" x="2244"/>
        <item m="1" x="2195"/>
        <item m="1" x="2596"/>
        <item m="1" x="1814"/>
        <item m="1" x="1415"/>
        <item m="1" x="1442"/>
        <item m="1" x="440"/>
        <item m="1" x="419"/>
        <item m="1" x="2214"/>
        <item m="1" x="1816"/>
        <item m="1" x="3261"/>
        <item m="1" x="2866"/>
        <item m="1" x="1458"/>
        <item m="1" x="1460"/>
        <item m="1" x="2955"/>
        <item m="1" x="1993"/>
        <item m="1" x="1756"/>
        <item m="1" x="183"/>
        <item m="1" x="696"/>
        <item x="69"/>
        <item m="1" x="1016"/>
        <item m="1" x="1859"/>
        <item x="49"/>
        <item x="60"/>
        <item x="54"/>
        <item x="50"/>
        <item m="1" x="295"/>
        <item m="1" x="2933"/>
        <item m="1" x="1916"/>
        <item m="1" x="2582"/>
        <item x="18"/>
        <item m="1" x="1224"/>
        <item m="1" x="2545"/>
        <item m="1" x="96"/>
        <item m="1" x="1527"/>
        <item m="1" x="2330"/>
        <item m="1" x="1402"/>
        <item m="1" x="3146"/>
        <item m="1" x="2973"/>
        <item m="1" x="2346"/>
        <item m="1" x="3254"/>
        <item m="1" x="339"/>
        <item m="1" x="316"/>
        <item m="1" x="2208"/>
        <item m="1" x="562"/>
        <item m="1" x="500"/>
        <item m="1" x="706"/>
        <item m="1" x="1184"/>
        <item m="1" x="1142"/>
        <item m="1" x="2945"/>
        <item m="1" x="2288"/>
        <item m="1" x="1180"/>
        <item m="1" x="75"/>
        <item m="1" x="3292"/>
        <item m="1" x="1625"/>
        <item m="1" x="3111"/>
        <item m="1" x="1240"/>
        <item m="1" x="2797"/>
        <item m="1" x="2104"/>
        <item m="1" x="2542"/>
        <item m="1" x="2094"/>
        <item m="1" x="828"/>
        <item m="1" x="2080"/>
        <item m="1" x="896"/>
        <item m="1" x="189"/>
        <item x="23"/>
        <item m="1" x="86"/>
        <item m="1" x="1918"/>
        <item m="1" x="2967"/>
        <item m="1" x="368"/>
        <item m="1" x="1370"/>
        <item m="1" x="319"/>
        <item m="1" x="624"/>
        <item m="1" x="465"/>
        <item m="1" x="1451"/>
        <item m="1" x="2567"/>
        <item m="1" x="2122"/>
        <item m="1" x="632"/>
        <item m="1" x="1459"/>
        <item m="1" x="1336"/>
        <item m="1" x="2482"/>
        <item m="1" x="1521"/>
        <item m="1" x="1899"/>
        <item m="1" x="1424"/>
        <item m="1" x="1433"/>
        <item m="1" x="1271"/>
        <item m="1" x="3331"/>
        <item m="1" x="2306"/>
        <item m="1" x="1234"/>
        <item m="1" x="2458"/>
        <item m="1" x="1204"/>
        <item m="1" x="228"/>
        <item m="1" x="1453"/>
        <item m="1" x="873"/>
        <item m="1" x="2460"/>
        <item m="1" x="1950"/>
        <item m="1" x="2589"/>
        <item m="1" x="1167"/>
        <item m="1" x="2532"/>
        <item m="1" x="2572"/>
        <item m="1" x="544"/>
        <item m="1" x="3171"/>
        <item m="1" x="2073"/>
        <item m="1" x="155"/>
        <item m="1" x="3007"/>
        <item m="1" x="769"/>
        <item m="1" x="2895"/>
        <item m="1" x="1924"/>
        <item m="1" x="1614"/>
        <item m="1" x="2189"/>
        <item m="1" x="1796"/>
        <item m="1" x="3042"/>
        <item m="1" x="2265"/>
        <item m="1" x="425"/>
        <item m="1" x="832"/>
        <item m="1" x="2380"/>
        <item m="1" x="233"/>
        <item m="1" x="1706"/>
        <item m="1" x="2829"/>
        <item m="1" x="1176"/>
        <item m="1" x="1539"/>
        <item m="1" x="3134"/>
        <item m="1" x="1925"/>
        <item m="1" x="976"/>
        <item m="1" x="845"/>
        <item m="1" x="1975"/>
        <item m="1" x="2103"/>
        <item m="1" x="1162"/>
        <item m="1" x="2665"/>
        <item m="1" x="1357"/>
        <item m="1" x="1690"/>
        <item m="1" x="1877"/>
        <item m="1" x="656"/>
        <item m="1" x="844"/>
        <item m="1" x="847"/>
        <item m="1" x="581"/>
        <item m="1" x="94"/>
        <item m="1" x="2335"/>
        <item x="22"/>
        <item m="1" x="117"/>
        <item m="1" x="1039"/>
        <item m="1" x="215"/>
        <item x="36"/>
        <item m="1" x="2626"/>
        <item m="1" x="585"/>
        <item m="1" x="2531"/>
        <item m="1" x="1516"/>
        <item m="1" x="1082"/>
        <item m="1" x="2060"/>
        <item m="1" x="1171"/>
        <item m="1" x="2816"/>
        <item m="1" x="1705"/>
        <item m="1" x="3162"/>
        <item m="1" x="791"/>
        <item m="1" x="1316"/>
        <item m="1" x="1990"/>
        <item m="1" x="1029"/>
        <item m="1" x="1901"/>
        <item m="1" x="3328"/>
        <item m="1" x="1413"/>
        <item m="1" x="1309"/>
        <item m="1" x="460"/>
        <item m="1" x="2679"/>
        <item m="1" x="655"/>
        <item m="1" x="3277"/>
        <item m="1" x="1250"/>
        <item m="1" x="2023"/>
        <item m="1" x="899"/>
        <item m="1" x="3211"/>
        <item m="1" x="822"/>
        <item m="1" x="2790"/>
        <item m="1" x="930"/>
        <item m="1" x="980"/>
        <item m="1" x="821"/>
        <item m="1" x="673"/>
        <item m="1" x="300"/>
        <item m="1" x="1752"/>
        <item m="1" x="152"/>
        <item m="1" x="1484"/>
        <item m="1" x="2378"/>
        <item m="1" x="1774"/>
        <item m="1" x="2230"/>
        <item m="1" x="1349"/>
        <item m="1" x="2942"/>
        <item m="1" x="1077"/>
        <item m="1" x="2879"/>
        <item m="1" x="2983"/>
        <item m="1" x="387"/>
        <item m="1" x="2032"/>
        <item m="1" x="2782"/>
        <item m="1" x="2191"/>
        <item m="1" x="2147"/>
        <item m="1" x="3104"/>
        <item m="1" x="2063"/>
        <item m="1" x="2461"/>
        <item m="1" x="3269"/>
        <item m="1" x="3164"/>
        <item m="1" x="525"/>
        <item m="1" x="1845"/>
        <item m="1" x="3249"/>
        <item m="1" x="1172"/>
        <item m="1" x="767"/>
        <item m="1" x="1409"/>
        <item m="1" x="2603"/>
        <item m="1" x="2695"/>
        <item m="1" x="710"/>
        <item m="1" x="3214"/>
        <item m="1" x="3170"/>
        <item m="1" x="169"/>
        <item m="1" x="2466"/>
        <item m="1" x="2634"/>
        <item m="1" x="1079"/>
        <item m="1" x="1387"/>
        <item m="1" x="2656"/>
        <item m="1" x="434"/>
        <item m="1" x="3206"/>
        <item m="1" x="2310"/>
        <item m="1" x="2948"/>
        <item m="1" x="2075"/>
        <item m="1" x="2598"/>
        <item m="1" x="1327"/>
        <item m="1" x="391"/>
        <item m="1" x="1405"/>
        <item m="1" x="826"/>
        <item m="1" x="3078"/>
        <item m="1" x="1820"/>
        <item m="1" x="381"/>
        <item m="1" x="101"/>
        <item m="1" x="2411"/>
        <item m="1" x="885"/>
        <item m="1" x="402"/>
        <item m="1" x="2619"/>
        <item m="1" x="850"/>
        <item m="1" x="2913"/>
        <item m="1" x="1566"/>
        <item m="1" x="2180"/>
        <item m="1" x="1213"/>
        <item m="1" x="834"/>
        <item m="1" x="2246"/>
        <item m="1" x="996"/>
        <item m="1" x="2317"/>
        <item m="1" x="2170"/>
        <item m="1" x="2339"/>
        <item m="1" x="260"/>
        <item m="1" x="1439"/>
        <item m="1" x="2071"/>
        <item m="1" x="2365"/>
        <item m="1" x="2939"/>
        <item m="1" x="3136"/>
        <item m="1" x="3075"/>
        <item m="1" x="3098"/>
        <item m="1" x="572"/>
        <item m="1" x="2506"/>
        <item m="1" x="1829"/>
        <item m="1" x="360"/>
        <item m="1" x="2489"/>
        <item m="1" x="481"/>
        <item m="1" x="485"/>
        <item m="1" x="3173"/>
        <item m="1" x="2808"/>
        <item m="1" x="122"/>
        <item m="1" x="1550"/>
        <item m="1" x="1452"/>
        <item m="1" x="385"/>
        <item m="1" x="2525"/>
        <item m="1" x="1227"/>
        <item m="1" x="3313"/>
        <item m="1" x="461"/>
        <item m="1" x="2981"/>
        <item m="1" x="1138"/>
        <item m="1" x="2653"/>
        <item m="1" x="1262"/>
        <item m="1" x="2734"/>
        <item m="1" x="1119"/>
        <item m="1" x="2171"/>
        <item m="1" x="3120"/>
        <item m="1" x="1393"/>
        <item m="1" x="3139"/>
        <item m="1" x="2276"/>
        <item m="1" x="1149"/>
        <item m="1" x="1523"/>
        <item m="1" x="2263"/>
        <item m="1" x="2854"/>
        <item m="1" x="1639"/>
        <item m="1" x="667"/>
        <item m="1" x="2551"/>
        <item m="1" x="829"/>
        <item m="1" x="2586"/>
        <item m="1" x="2694"/>
        <item m="1" x="3233"/>
        <item m="1" x="2788"/>
        <item m="1" x="2173"/>
        <item m="1" x="578"/>
        <item m="1" x="1940"/>
        <item m="1" x="843"/>
        <item m="1" x="1759"/>
        <item m="1" x="3317"/>
        <item m="1" x="742"/>
        <item m="1" x="2405"/>
        <item m="1" x="3020"/>
        <item m="1" x="3044"/>
        <item m="1" x="1828"/>
        <item m="1" x="2726"/>
        <item m="1" x="1275"/>
        <item m="1" x="1356"/>
        <item m="1" x="775"/>
        <item m="1" x="2360"/>
        <item m="1" x="668"/>
        <item m="1" x="1412"/>
        <item m="1" x="383"/>
        <item x="32"/>
        <item x="24"/>
        <item m="1" x="1954"/>
        <item x="0"/>
        <item x="51"/>
        <item m="1" x="2083"/>
        <item x="31"/>
        <item m="1" x="2153"/>
        <item m="1" x="1365"/>
        <item m="1" x="3092"/>
        <item m="1" x="3314"/>
        <item m="1" x="2807"/>
        <item m="1" x="966"/>
        <item m="1" x="1286"/>
        <item m="1" x="2643"/>
        <item m="1" x="859"/>
        <item m="1" x="2091"/>
        <item m="1" x="2432"/>
        <item m="1" x="3189"/>
        <item m="1" x="1135"/>
        <item m="1" x="349"/>
        <item m="1" x="2576"/>
        <item m="1" x="3280"/>
        <item m="1" x="2299"/>
        <item m="1" x="2827"/>
        <item m="1" x="1642"/>
        <item m="1" x="2932"/>
        <item m="1" x="2154"/>
        <item m="1" x="2388"/>
        <item m="1" x="908"/>
        <item m="1" x="2825"/>
        <item m="1" x="1317"/>
        <item m="1" x="1849"/>
        <item m="1" x="404"/>
        <item m="1" x="1731"/>
        <item m="1" x="299"/>
        <item m="1" x="2565"/>
        <item m="1" x="2373"/>
        <item m="1" x="693"/>
        <item m="1" x="2754"/>
        <item m="1" x="3323"/>
        <item m="1" x="1875"/>
        <item m="1" x="450"/>
        <item m="1" x="98"/>
        <item m="1" x="2742"/>
        <item m="1" x="1231"/>
        <item m="1" x="1376"/>
        <item m="1" x="1672"/>
        <item m="1" x="1673"/>
        <item x="6"/>
        <item m="1" x="3243"/>
        <item m="1" x="219"/>
        <item m="1" x="257"/>
        <item m="1" x="350"/>
        <item m="1" x="1045"/>
        <item m="1" x="1024"/>
        <item m="1" x="1053"/>
        <item m="1" x="3024"/>
        <item m="1" x="3028"/>
        <item m="1" x="1065"/>
        <item m="1" x="3041"/>
        <item m="1" x="2250"/>
        <item m="1" x="3089"/>
        <item m="1" x="3109"/>
        <item m="1" x="1959"/>
        <item m="1" x="1263"/>
        <item m="1" x="2635"/>
        <item m="1" x="557"/>
        <item m="1" x="1193"/>
        <item m="1" x="737"/>
        <item m="1" x="2660"/>
        <item m="1" x="1114"/>
        <item m="1" x="3039"/>
        <item m="1" x="2429"/>
        <item m="1" x="1440"/>
        <item m="1" x="598"/>
        <item m="1" x="2204"/>
        <item m="1" x="1679"/>
        <item m="1" x="3153"/>
        <item m="1" x="1488"/>
        <item m="1" x="236"/>
        <item m="1" x="2455"/>
        <item m="1" x="547"/>
        <item m="1" x="739"/>
        <item m="1" x="2357"/>
        <item m="1" x="2613"/>
        <item m="1" x="2750"/>
        <item m="1" x="410"/>
        <item m="1" x="1023"/>
        <item m="1" x="309"/>
        <item m="1" x="2092"/>
        <item m="1" x="689"/>
        <item m="1" x="100"/>
        <item m="1" x="2946"/>
        <item m="1" x="1465"/>
        <item m="1" x="1712"/>
        <item m="1" x="1467"/>
        <item m="1" x="1870"/>
        <item m="1" x="679"/>
        <item m="1" x="1436"/>
        <item m="1" x="2418"/>
        <item m="1" x="2907"/>
        <item m="1" x="1812"/>
        <item m="1" x="2331"/>
        <item m="1" x="2980"/>
        <item m="1" x="2055"/>
        <item m="1" x="857"/>
        <item m="1" x="2313"/>
        <item m="1" x="796"/>
        <item m="1" x="107"/>
        <item m="1" x="790"/>
        <item m="1" x="1922"/>
        <item m="1" x="1938"/>
        <item m="1" x="1139"/>
        <item m="1" x="548"/>
        <item m="1" x="2915"/>
        <item m="1" x="1427"/>
        <item m="1" x="1726"/>
        <item m="1" x="1268"/>
        <item m="1" x="898"/>
        <item m="1" x="2047"/>
        <item m="1" x="1080"/>
        <item m="1" x="1955"/>
        <item m="1" x="1619"/>
        <item m="1" x="1589"/>
        <item m="1" x="2785"/>
        <item m="1" x="1868"/>
        <item m="1" x="993"/>
        <item m="1" x="2833"/>
        <item m="1" x="1737"/>
        <item m="1" x="771"/>
        <item m="1" x="2190"/>
        <item m="1" x="2593"/>
        <item m="1" x="3252"/>
        <item m="1" x="2513"/>
        <item m="1" x="510"/>
        <item m="1" x="878"/>
        <item m="1" x="1242"/>
        <item m="1" x="394"/>
        <item m="1" x="483"/>
        <item m="1" x="281"/>
        <item m="1" x="2745"/>
        <item m="1" x="1742"/>
        <item m="1" x="2256"/>
        <item m="1" x="2518"/>
        <item m="1" x="2515"/>
        <item m="1" x="691"/>
        <item m="1" x="3168"/>
        <item m="1" x="1691"/>
        <item m="1" x="580"/>
        <item m="1" x="2417"/>
        <item m="1" x="307"/>
        <item m="1" x="2209"/>
        <item m="1" x="1372"/>
        <item m="1" x="2725"/>
        <item m="1" x="1431"/>
        <item m="1" x="1192"/>
        <item m="1" x="198"/>
        <item m="1" x="1833"/>
        <item m="1" x="1100"/>
        <item m="1" x="3230"/>
        <item m="1" x="1055"/>
        <item m="1" x="709"/>
        <item m="1" x="1152"/>
        <item m="1" x="2778"/>
        <item m="1" x="1005"/>
        <item m="1" x="2248"/>
        <item m="1" x="2527"/>
        <item m="1" x="1423"/>
        <item m="1" x="2000"/>
        <item m="1" x="1727"/>
        <item m="1" x="2367"/>
        <item m="1" x="2382"/>
        <item m="1" x="435"/>
        <item m="1" x="2226"/>
        <item m="1" x="783"/>
        <item m="1" x="2753"/>
        <item m="1" x="2777"/>
        <item m="1" x="3285"/>
        <item m="1" x="248"/>
        <item m="1" x="1583"/>
        <item m="1" x="2333"/>
        <item m="1" x="1322"/>
        <item m="1" x="2805"/>
        <item m="1" x="2872"/>
        <item m="1" x="77"/>
        <item m="1" x="1280"/>
        <item m="1" x="1581"/>
        <item m="1" x="761"/>
        <item m="1" x="348"/>
        <item m="1" x="436"/>
        <item m="1" x="807"/>
        <item m="1" x="227"/>
        <item m="1" x="3040"/>
        <item m="1" x="292"/>
        <item m="1" x="2188"/>
        <item m="1" x="1847"/>
        <item m="1" x="1729"/>
        <item m="1" x="543"/>
        <item m="1" x="849"/>
        <item m="1" x="203"/>
        <item m="1" x="2995"/>
        <item m="1" x="159"/>
        <item m="1" x="1970"/>
        <item m="1" x="426"/>
        <item m="1" x="2772"/>
        <item m="1" x="3235"/>
        <item m="1" x="1974"/>
        <item m="1" x="817"/>
        <item m="1" x="2623"/>
        <item m="1" x="3057"/>
        <item m="1" x="2484"/>
        <item m="1" x="806"/>
        <item m="1" x="3318"/>
        <item m="1" x="2393"/>
        <item m="1" x="2043"/>
        <item m="1" x="92"/>
        <item m="1" x="3163"/>
        <item m="1" x="1525"/>
        <item m="1" x="1153"/>
        <item m="1" x="1749"/>
        <item m="1" x="2641"/>
        <item m="1" x="1591"/>
        <item m="1" x="1989"/>
        <item m="1" x="420"/>
        <item m="1" x="2477"/>
        <item m="1" x="2493"/>
        <item m="1" x="490"/>
        <item m="1" x="193"/>
        <item m="1" x="1418"/>
        <item m="1" x="1923"/>
        <item m="1" x="1946"/>
        <item m="1" x="2240"/>
        <item m="1" x="2161"/>
        <item m="1" x="2883"/>
        <item m="1" x="2452"/>
        <item m="1" x="3107"/>
        <item m="1" x="2760"/>
        <item m="1" x="712"/>
        <item m="1" x="1264"/>
        <item m="1" x="2402"/>
        <item m="1" x="3125"/>
        <item m="1" x="1574"/>
        <item m="1" x="1668"/>
        <item m="1" x="2278"/>
        <item m="1" x="994"/>
        <item m="1" x="2459"/>
        <item m="1" x="2855"/>
        <item m="1" x="811"/>
        <item m="1" x="108"/>
        <item m="1" x="3127"/>
        <item m="1" x="1978"/>
        <item m="1" x="2839"/>
        <item m="1" x="137"/>
        <item m="1" x="1113"/>
        <item m="1" x="2123"/>
        <item m="1" x="2061"/>
        <item m="1" x="116"/>
        <item m="1" x="1111"/>
        <item m="1" x="1608"/>
        <item m="1" x="477"/>
        <item m="1" x="150"/>
        <item m="1" x="2654"/>
        <item m="1" x="1585"/>
        <item m="1" x="3025"/>
        <item m="1" x="1615"/>
        <item m="1" x="1445"/>
        <item m="1" x="2112"/>
        <item m="1" x="502"/>
        <item m="1" x="1575"/>
        <item m="1" x="1733"/>
        <item m="1" x="332"/>
        <item m="1" x="2093"/>
        <item m="1" x="501"/>
        <item m="1" x="3074"/>
        <item m="1" x="2202"/>
        <item m="1" x="496"/>
        <item m="1" x="267"/>
        <item m="1" x="3262"/>
        <item m="1" x="2548"/>
        <item m="1" x="2961"/>
        <item m="1" x="1996"/>
        <item m="1" x="239"/>
        <item m="1" x="1040"/>
        <item m="1" x="2386"/>
        <item m="1" x="579"/>
        <item m="1" x="1565"/>
        <item m="1" x="1061"/>
        <item m="1" x="377"/>
        <item m="1" x="1822"/>
        <item m="1" x="318"/>
        <item m="1" x="2929"/>
        <item m="1" x="3293"/>
        <item m="1" x="3202"/>
        <item m="1" x="546"/>
        <item m="1" x="2869"/>
        <item m="1" x="3216"/>
        <item m="1" x="293"/>
        <item m="1" x="1130"/>
        <item m="1" x="199"/>
        <item m="1" x="2799"/>
        <item m="1" x="2693"/>
        <item m="1" x="1744"/>
        <item m="1" x="382"/>
        <item m="1" x="2676"/>
        <item m="1" x="2748"/>
        <item m="1" x="884"/>
        <item m="1" x="892"/>
        <item m="1" x="400"/>
        <item m="1" x="3244"/>
        <item m="1" x="905"/>
        <item m="1" x="1912"/>
        <item m="1" x="269"/>
        <item m="1" x="1754"/>
        <item m="1" x="2320"/>
        <item m="1" x="2347"/>
        <item m="1" x="608"/>
        <item m="1" x="2295"/>
        <item m="1" x="570"/>
        <item m="1" x="1710"/>
        <item m="1" x="2767"/>
        <item m="1" x="304"/>
        <item m="1" x="186"/>
        <item m="1" x="639"/>
        <item m="1" x="541"/>
        <item m="1" x="3047"/>
        <item m="1" x="158"/>
        <item m="1" x="2268"/>
        <item m="1" x="2661"/>
        <item m="1" x="2662"/>
        <item m="1" x="629"/>
        <item m="1" x="1141"/>
        <item m="1" x="1088"/>
        <item m="1" x="1496"/>
        <item m="1" x="688"/>
        <item m="1" x="903"/>
        <item m="1" x="3204"/>
        <item m="1" x="310"/>
        <item m="1" x="1595"/>
        <item m="1" x="765"/>
        <item m="1" x="1056"/>
        <item m="1" x="1298"/>
        <item m="1" x="1663"/>
        <item m="1" x="2297"/>
        <item m="1" x="919"/>
        <item m="1" x="3286"/>
        <item m="1" x="3240"/>
        <item m="1" x="1601"/>
        <item m="1" x="3321"/>
        <item m="1" x="1183"/>
        <item m="1" x="82"/>
        <item m="1" x="2944"/>
        <item m="1" x="2416"/>
        <item m="1" x="1810"/>
        <item m="1" x="3329"/>
        <item m="1" x="2453"/>
        <item m="1" x="1771"/>
        <item m="1" x="2900"/>
        <item m="1" x="2424"/>
        <item m="1" x="335"/>
        <item m="1" x="179"/>
        <item m="1" x="462"/>
        <item m="1" x="2059"/>
        <item m="1" x="170"/>
        <item m="1" x="1455"/>
        <item m="1" x="1685"/>
        <item m="1" x="161"/>
        <item m="1" x="2350"/>
        <item m="1" x="2680"/>
        <item m="1" x="253"/>
        <item m="1" x="2646"/>
        <item m="1" x="3001"/>
        <item m="1" x="1648"/>
        <item m="1" x="1266"/>
        <item m="1" x="2683"/>
        <item m="1" x="1819"/>
        <item m="1" x="1926"/>
        <item m="1" x="3017"/>
        <item m="1" x="942"/>
        <item m="1" x="1876"/>
        <item m="1" x="784"/>
        <item m="1" x="1107"/>
        <item m="1" x="1312"/>
        <item m="1" x="2926"/>
        <item m="1" x="2663"/>
        <item m="1" x="654"/>
        <item m="1" x="190"/>
        <item m="1" x="1293"/>
        <item m="1" x="3099"/>
        <item m="1" x="3311"/>
        <item m="1" x="411"/>
        <item m="1" x="1443"/>
        <item m="1" x="1374"/>
        <item m="1" x="750"/>
        <item m="1" x="1933"/>
        <item m="1" x="2870"/>
        <item m="1" x="3094"/>
        <item m="1" x="2521"/>
        <item m="1" x="1074"/>
        <item m="1" x="934"/>
        <item m="1" x="2972"/>
        <item m="1" x="3033"/>
        <item m="1" x="143"/>
        <item m="1" x="390"/>
        <item m="1" x="287"/>
        <item m="1" x="153"/>
        <item m="1" x="2875"/>
        <item m="1" x="1361"/>
        <item m="1" x="214"/>
        <item m="1" x="1391"/>
        <item m="1" x="636"/>
        <item m="1" x="3008"/>
        <item m="1" x="2034"/>
        <item m="1" x="325"/>
        <item m="1" x="609"/>
        <item m="1" x="3219"/>
        <item m="1" x="2503"/>
        <item m="1" x="1244"/>
        <item m="1" x="708"/>
        <item m="1" x="2053"/>
        <item m="1" x="446"/>
        <item m="1" x="1462"/>
        <item m="1" x="3253"/>
        <item m="1" x="1768"/>
        <item m="1" x="1937"/>
        <item m="1" x="126"/>
        <item m="1" x="2179"/>
        <item m="1" x="2625"/>
        <item m="1" x="2800"/>
        <item m="1" x="841"/>
        <item m="1" x="2255"/>
        <item m="1" x="2079"/>
        <item m="1" x="2428"/>
        <item m="1" x="344"/>
        <item m="1" x="1324"/>
        <item m="1" x="971"/>
        <item m="1" x="1873"/>
        <item m="1" x="2971"/>
        <item m="1" x="374"/>
        <item m="1" x="2312"/>
        <item m="1" x="1062"/>
        <item m="1" x="3144"/>
        <item m="1" x="2167"/>
        <item m="1" x="2069"/>
        <item m="1" x="901"/>
        <item m="1" x="2176"/>
        <item m="1" x="658"/>
        <item m="1" x="1279"/>
        <item m="1" x="721"/>
        <item m="1" x="3190"/>
        <item m="1" x="3227"/>
        <item m="1" x="422"/>
        <item m="1" x="111"/>
        <item m="1" x="2403"/>
        <item m="1" x="1235"/>
        <item m="1" x="1307"/>
        <item m="1" x="1246"/>
        <item m="1" x="1958"/>
        <item m="1" x="192"/>
        <item m="1" x="2217"/>
        <item m="1" x="1807"/>
        <item m="1" x="1232"/>
        <item m="1" x="3021"/>
        <item m="1" x="846"/>
        <item m="1" x="334"/>
        <item m="1" x="1203"/>
        <item m="1" x="967"/>
        <item m="1" x="2890"/>
        <item m="1" x="1209"/>
        <item m="1" x="2920"/>
        <item m="1" x="2552"/>
        <item m="1" x="1463"/>
        <item m="1" x="1261"/>
        <item m="1" x="1643"/>
        <item m="1" x="681"/>
        <item m="1" x="2968"/>
        <item m="1" x="1711"/>
        <item m="1" x="683"/>
        <item m="1" x="530"/>
        <item m="1" x="172"/>
        <item m="1" x="2272"/>
        <item m="1" x="2741"/>
        <item m="1" x="341"/>
        <item m="1" x="2476"/>
        <item m="1" x="2859"/>
        <item m="1" x="1291"/>
        <item m="1" x="1758"/>
        <item m="1" x="3330"/>
        <item m="1" x="1360"/>
        <item m="1" x="2958"/>
        <item m="1" x="2699"/>
        <item m="1" x="3237"/>
        <item m="1" x="1936"/>
        <item m="1" x="1695"/>
        <item m="1" x="1886"/>
        <item m="1" x="2194"/>
        <item m="1" x="327"/>
        <item m="1" x="621"/>
        <item m="1" x="912"/>
        <item m="1" x="778"/>
        <item m="1" x="940"/>
        <item m="1" x="148"/>
        <item m="1" x="2674"/>
        <item m="1" x="1596"/>
        <item m="1" x="1885"/>
        <item m="1" x="1363"/>
        <item m="1" x="3335"/>
        <item m="1" x="1732"/>
        <item m="1" x="727"/>
        <item m="1" x="3036"/>
        <item m="1" x="2974"/>
        <item m="1" x="2724"/>
        <item m="1" x="3200"/>
        <item m="1" x="2719"/>
        <item m="1" x="2181"/>
        <item m="1" x="788"/>
        <item m="1" x="76"/>
        <item m="1" x="2764"/>
        <item m="1" x="2962"/>
        <item m="1" x="615"/>
        <item m="1" x="355"/>
        <item m="1" x="1269"/>
        <item m="1" x="3258"/>
        <item m="1" x="2249"/>
        <item m="1" x="795"/>
        <item m="1" x="2705"/>
        <item m="1" x="399"/>
        <item m="1" x="2512"/>
        <item m="1" x="3011"/>
        <item m="1" x="1169"/>
        <item m="1" x="1473"/>
        <item m="1" x="3055"/>
        <item m="1" x="216"/>
        <item m="1" x="954"/>
        <item m="1" x="1533"/>
        <item m="1" x="2940"/>
        <item m="1" x="3193"/>
        <item m="1" x="2878"/>
        <item m="1" x="3185"/>
        <item m="1" x="2155"/>
        <item m="1" x="2835"/>
        <item m="1" x="2650"/>
        <item m="1" x="2612"/>
        <item m="1" x="1002"/>
        <item m="1" x="1560"/>
        <item m="1" x="445"/>
        <item m="1" x="1407"/>
        <item m="1" x="2236"/>
        <item m="1" x="574"/>
        <item m="1" x="151"/>
        <item m="1" x="676"/>
        <item m="1" x="372"/>
        <item m="1" x="2706"/>
        <item m="1" x="3225"/>
        <item m="1" x="521"/>
        <item m="1" x="2212"/>
        <item m="1" x="266"/>
        <item m="1" x="2733"/>
        <item m="1" x="3333"/>
        <item m="1" x="875"/>
        <item m="1" x="2353"/>
        <item m="1" x="2837"/>
        <item m="1" x="2166"/>
        <item m="1" x="1773"/>
        <item m="1" x="2664"/>
        <item m="1" x="2042"/>
        <item m="1" x="1287"/>
        <item m="1" x="498"/>
        <item m="1" x="2125"/>
        <item m="1" x="1076"/>
        <item m="1" x="175"/>
        <item m="1" x="2817"/>
        <item m="1" x="303"/>
        <item m="1" x="1083"/>
        <item m="1" x="2826"/>
        <item m="1" x="2716"/>
        <item m="1" x="314"/>
        <item m="1" x="231"/>
        <item m="1" x="3306"/>
        <item m="1" x="2638"/>
        <item m="1" x="2148"/>
        <item m="1" x="1122"/>
        <item m="1" x="3290"/>
        <item m="1" x="424"/>
        <item m="1" x="2316"/>
        <item m="1" x="1476"/>
        <item m="1" x="1115"/>
        <item m="1" x="963"/>
        <item m="1" x="2815"/>
        <item m="1" x="641"/>
        <item m="1" x="2686"/>
        <item m="1" x="2658"/>
        <item m="1" x="1804"/>
        <item m="1" x="1509"/>
        <item m="1" x="730"/>
        <item m="1" x="3276"/>
        <item m="1" x="1344"/>
        <item m="1" x="1041"/>
        <item m="1" x="2600"/>
        <item m="1" x="1048"/>
        <item m="1" x="2819"/>
        <item m="1" x="1354"/>
        <item m="1" x="2020"/>
        <item m="1" x="1952"/>
        <item m="1" x="1116"/>
        <item m="1" x="1315"/>
        <item m="1" x="1109"/>
        <item m="1" x="262"/>
        <item m="1" x="3114"/>
        <item m="1" x="3132"/>
        <item m="1" x="3251"/>
        <item m="1" x="2919"/>
        <item m="1" x="2164"/>
        <item m="1" x="1650"/>
        <item m="1" x="2314"/>
        <item m="1" x="946"/>
        <item m="1" x="982"/>
        <item m="1" x="145"/>
        <item m="1" x="378"/>
        <item m="1" x="3218"/>
        <item m="1" x="1066"/>
        <item m="1" x="2160"/>
        <item m="1" x="2471"/>
        <item m="1" x="313"/>
        <item m="1" x="1791"/>
        <item m="1" x="3087"/>
        <item m="1" x="2934"/>
        <item m="1" x="1699"/>
        <item m="1" x="1513"/>
        <item m="1" x="735"/>
        <item m="1" x="1799"/>
        <item m="1" x="1281"/>
        <item m="1" x="2050"/>
        <item m="1" x="1128"/>
        <item m="1" x="2877"/>
        <item m="1" x="697"/>
        <item m="1" x="929"/>
        <item m="1" x="2410"/>
        <item m="1" x="3245"/>
        <item m="1" x="1035"/>
        <item m="1" x="2888"/>
        <item m="1" x="1174"/>
        <item m="1" x="2863"/>
        <item m="1" x="1288"/>
        <item m="1" x="2723"/>
        <item m="1" x="1823"/>
        <item m="1" x="1034"/>
        <item m="1" x="1853"/>
        <item m="1" x="964"/>
        <item m="1" x="1195"/>
        <item m="1" x="2620"/>
        <item m="1" x="2345"/>
        <item m="1" x="2467"/>
        <item m="1" x="1968"/>
        <item m="1" x="2401"/>
        <item m="1" x="2126"/>
        <item m="1" x="1274"/>
        <item m="1" x="2903"/>
        <item m="1" x="3159"/>
        <item m="1" x="2677"/>
        <item m="1" x="825"/>
        <item m="1" x="241"/>
        <item m="1" x="1013"/>
        <item m="1" x="154"/>
        <item m="1" x="71"/>
      </items>
      <extLst>
        <ext xmlns:x14="http://schemas.microsoft.com/office/spreadsheetml/2009/9/main" uri="{2946ED86-A175-432a-8AC1-64E0C546D7DE}">
          <x14:pivotField fillDownLabels="1"/>
        </ext>
      </extLst>
    </pivotField>
    <pivotField compact="0" outline="0" showAll="0" defaultSubtotal="0">
      <items count="3">
        <item x="1"/>
        <item x="0"/>
        <item m="1" x="2"/>
      </items>
      <extLst>
        <ext xmlns:x14="http://schemas.microsoft.com/office/spreadsheetml/2009/9/main" uri="{2946ED86-A175-432a-8AC1-64E0C546D7DE}">
          <x14:pivotField fillDownLabels="1"/>
        </ext>
      </extLst>
    </pivotField>
    <pivotField axis="axisRow" compact="0" outline="0" showAll="0" insertBlankRow="1" defaultSubtotal="0">
      <items count="93">
        <item m="1" x="86"/>
        <item m="1" x="73"/>
        <item x="39"/>
        <item x="29"/>
        <item x="56"/>
        <item m="1" x="83"/>
        <item x="63"/>
        <item m="1" x="91"/>
        <item x="25"/>
        <item x="62"/>
        <item m="1" x="68"/>
        <item x="17"/>
        <item m="1" x="87"/>
        <item x="31"/>
        <item m="1" x="89"/>
        <item m="1" x="82"/>
        <item m="1" x="79"/>
        <item m="1" x="72"/>
        <item m="1" x="67"/>
        <item m="1" x="71"/>
        <item x="24"/>
        <item x="58"/>
        <item x="59"/>
        <item x="60"/>
        <item m="1" x="66"/>
        <item m="1" x="80"/>
        <item x="27"/>
        <item x="14"/>
        <item x="13"/>
        <item m="1" x="88"/>
        <item x="15"/>
        <item h="1" x="51"/>
        <item x="64"/>
        <item x="0"/>
        <item x="28"/>
        <item x="48"/>
        <item m="1" x="90"/>
        <item x="47"/>
        <item m="1" x="70"/>
        <item x="61"/>
        <item x="18"/>
        <item m="1" x="78"/>
        <item x="30"/>
        <item m="1" x="74"/>
        <item m="1" x="76"/>
        <item m="1" x="81"/>
        <item m="1" x="85"/>
        <item m="1" x="92"/>
        <item m="1" x="84"/>
        <item x="37"/>
        <item x="12"/>
        <item x="6"/>
        <item x="11"/>
        <item x="55"/>
        <item x="36"/>
        <item x="34"/>
        <item x="35"/>
        <item x="4"/>
        <item x="2"/>
        <item x="3"/>
        <item x="65"/>
        <item x="57"/>
        <item x="19"/>
        <item x="20"/>
        <item x="21"/>
        <item x="54"/>
        <item x="53"/>
        <item x="16"/>
        <item m="1" x="69"/>
        <item x="32"/>
        <item x="41"/>
        <item x="7"/>
        <item x="1"/>
        <item x="52"/>
        <item x="49"/>
        <item x="50"/>
        <item x="43"/>
        <item m="1" x="77"/>
        <item x="40"/>
        <item m="1" x="75"/>
        <item x="46"/>
        <item x="45"/>
        <item x="33"/>
        <item x="44"/>
        <item x="10"/>
        <item x="38"/>
        <item x="42"/>
        <item h="1" x="8"/>
        <item h="1" x="9"/>
        <item h="1" x="5"/>
        <item h="1" x="26"/>
        <item h="1" x="23"/>
        <item h="1" x="22"/>
      </items>
      <extLst>
        <ext xmlns:x14="http://schemas.microsoft.com/office/spreadsheetml/2009/9/main" uri="{2946ED86-A175-432a-8AC1-64E0C546D7DE}">
          <x14:pivotField fillDownLabels="1"/>
        </ext>
      </extLst>
    </pivotField>
    <pivotField compact="0" outline="0" showAll="0" defaultSubtotal="0"/>
    <pivotField axis="axisPage" compact="0" outline="0" multipleItemSelectionAllowed="1" showAll="0" defaultSubtotal="0">
      <items count="13">
        <item h="1" x="3"/>
        <item h="1" x="2"/>
        <item h="1" x="9"/>
        <item h="1" m="1" x="12"/>
        <item x="0"/>
        <item h="1" x="5"/>
        <item h="1" m="1" x="11"/>
        <item h="1" x="10"/>
        <item h="1" x="4"/>
        <item h="1" x="6"/>
        <item h="1" x="1"/>
        <item h="1" x="8"/>
        <item h="1" x="7"/>
      </items>
    </pivotField>
    <pivotField compact="0" outline="0" showAll="0" defaultSubtotal="0"/>
    <pivotField compact="0" outline="0" showAll="0" defaultSubtotal="0"/>
  </pivotFields>
  <rowFields count="3">
    <field x="47"/>
    <field x="3"/>
    <field x="15"/>
  </rowFields>
  <rowItems count="21">
    <i>
      <x v="13"/>
      <x v="58"/>
      <x v="41"/>
    </i>
    <i r="1">
      <x v="67"/>
      <x v="31"/>
    </i>
    <i r="1">
      <x v="104"/>
      <x v="31"/>
    </i>
    <i r="1">
      <x v="131"/>
      <x v="31"/>
    </i>
    <i t="blank">
      <x v="13"/>
    </i>
    <i>
      <x v="20"/>
      <x v="22"/>
      <x v="46"/>
    </i>
    <i r="1">
      <x v="77"/>
      <x v="3"/>
    </i>
    <i r="1">
      <x v="103"/>
      <x v="5"/>
    </i>
    <i r="1">
      <x v="130"/>
      <x v="5"/>
    </i>
    <i t="blank">
      <x v="20"/>
    </i>
    <i>
      <x v="33"/>
      <x/>
      <x v="49"/>
    </i>
    <i r="1">
      <x v="9"/>
      <x v="49"/>
    </i>
    <i r="1">
      <x v="15"/>
      <x v="49"/>
    </i>
    <i r="1">
      <x v="58"/>
      <x v="40"/>
    </i>
    <i r="1">
      <x v="69"/>
      <x v="22"/>
    </i>
    <i r="1">
      <x v="71"/>
      <x v="22"/>
    </i>
    <i r="1">
      <x v="74"/>
      <x v="24"/>
    </i>
    <i t="blank">
      <x v="33"/>
    </i>
    <i>
      <x v="69"/>
      <x v="63"/>
      <x v="2"/>
    </i>
    <i r="1">
      <x v="110"/>
      <x v="1"/>
    </i>
    <i t="blank">
      <x v="69"/>
    </i>
  </rowItems>
  <colItems count="1">
    <i/>
  </colItems>
  <pageFields count="1">
    <pageField fld="49" hier="-1"/>
  </pageFields>
  <dataFields count="1">
    <dataField name="Average of UnitPrice" fld="38" subtotal="average" baseField="35" baseItem="13" numFmtId="39"/>
  </dataFields>
  <formats count="224">
    <format dxfId="937">
      <pivotArea outline="0" collapsedLevelsAreSubtotals="1" fieldPosition="0"/>
    </format>
    <format dxfId="936">
      <pivotArea type="topRight" dataOnly="0" labelOnly="1" outline="0" fieldPosition="0"/>
    </format>
    <format dxfId="935">
      <pivotArea dataOnly="0" labelOnly="1" grandRow="1" outline="0" offset="A256" fieldPosition="0"/>
    </format>
    <format dxfId="934">
      <pivotArea type="all" dataOnly="0" outline="0" fieldPosition="0"/>
    </format>
    <format dxfId="933">
      <pivotArea field="7" type="button" dataOnly="0" labelOnly="1" outline="0"/>
    </format>
    <format dxfId="932">
      <pivotArea field="3" type="button" dataOnly="0" labelOnly="1" outline="0" axis="axisRow" fieldPosition="1"/>
    </format>
    <format dxfId="931">
      <pivotArea field="1" type="button" dataOnly="0" labelOnly="1" outline="0"/>
    </format>
    <format dxfId="930">
      <pivotArea field="45" type="button" dataOnly="0" labelOnly="1" outline="0"/>
    </format>
    <format dxfId="929">
      <pivotArea field="3" type="button" dataOnly="0" labelOnly="1" outline="0" axis="axisRow" fieldPosition="1"/>
    </format>
    <format dxfId="928">
      <pivotArea field="1" type="button" dataOnly="0" labelOnly="1" outline="0"/>
    </format>
    <format dxfId="927">
      <pivotArea field="45" type="button" dataOnly="0" labelOnly="1" outline="0"/>
    </format>
    <format dxfId="926">
      <pivotArea field="3" type="button" dataOnly="0" labelOnly="1" outline="0" axis="axisRow" fieldPosition="1"/>
    </format>
    <format dxfId="925">
      <pivotArea field="7" type="button" dataOnly="0" labelOnly="1" outline="0"/>
    </format>
    <format dxfId="924">
      <pivotArea field="1" type="button" dataOnly="0" labelOnly="1" outline="0"/>
    </format>
    <format dxfId="923">
      <pivotArea field="45" type="button" dataOnly="0" labelOnly="1" outline="0"/>
    </format>
    <format dxfId="922">
      <pivotArea field="3" type="button" dataOnly="0" labelOnly="1" outline="0" axis="axisRow" fieldPosition="1"/>
    </format>
    <format dxfId="921">
      <pivotArea field="7" type="button" dataOnly="0" labelOnly="1" outline="0"/>
    </format>
    <format dxfId="920">
      <pivotArea field="1" type="button" dataOnly="0" labelOnly="1" outline="0"/>
    </format>
    <format dxfId="919">
      <pivotArea field="45" type="button" dataOnly="0" labelOnly="1" outline="0"/>
    </format>
    <format dxfId="918">
      <pivotArea field="3" type="button" dataOnly="0" labelOnly="1" outline="0" axis="axisRow" fieldPosition="1"/>
    </format>
    <format dxfId="917">
      <pivotArea field="7" type="button" dataOnly="0" labelOnly="1" outline="0"/>
    </format>
    <format dxfId="916">
      <pivotArea field="1" type="button" dataOnly="0" labelOnly="1" outline="0"/>
    </format>
    <format dxfId="915">
      <pivotArea field="45" type="button" dataOnly="0" labelOnly="1" outline="0"/>
    </format>
    <format dxfId="914">
      <pivotArea field="3" type="button" dataOnly="0" labelOnly="1" outline="0" axis="axisRow" fieldPosition="1"/>
    </format>
    <format dxfId="913">
      <pivotArea field="7" type="button" dataOnly="0" labelOnly="1" outline="0"/>
    </format>
    <format dxfId="912">
      <pivotArea field="1" type="button" dataOnly="0" labelOnly="1" outline="0"/>
    </format>
    <format dxfId="911">
      <pivotArea field="45" type="button" dataOnly="0" labelOnly="1" outline="0"/>
    </format>
    <format dxfId="910">
      <pivotArea field="6" type="button" dataOnly="0" labelOnly="1" outline="0"/>
    </format>
    <format dxfId="909">
      <pivotArea field="6" type="button" dataOnly="0" labelOnly="1" outline="0"/>
    </format>
    <format dxfId="908">
      <pivotArea field="3" type="button" dataOnly="0" labelOnly="1" outline="0" axis="axisRow" fieldPosition="1"/>
    </format>
    <format dxfId="907">
      <pivotArea field="6" type="button" dataOnly="0" labelOnly="1" outline="0"/>
    </format>
    <format dxfId="906">
      <pivotArea field="7" type="button" dataOnly="0" labelOnly="1" outline="0"/>
    </format>
    <format dxfId="905">
      <pivotArea field="1" type="button" dataOnly="0" labelOnly="1" outline="0"/>
    </format>
    <format dxfId="904">
      <pivotArea field="45" type="button" dataOnly="0" labelOnly="1" outline="0"/>
    </format>
    <format dxfId="903">
      <pivotArea field="3" type="button" dataOnly="0" labelOnly="1" outline="0" axis="axisRow" fieldPosition="1"/>
    </format>
    <format dxfId="902">
      <pivotArea field="6" type="button" dataOnly="0" labelOnly="1" outline="0"/>
    </format>
    <format dxfId="901">
      <pivotArea field="7" type="button" dataOnly="0" labelOnly="1" outline="0"/>
    </format>
    <format dxfId="900">
      <pivotArea field="1" type="button" dataOnly="0" labelOnly="1" outline="0"/>
    </format>
    <format dxfId="899">
      <pivotArea field="45" type="button" dataOnly="0" labelOnly="1" outline="0"/>
    </format>
    <format dxfId="898">
      <pivotArea type="all" dataOnly="0" outline="0" fieldPosition="0"/>
    </format>
    <format dxfId="897">
      <pivotArea field="3" type="button" dataOnly="0" labelOnly="1" outline="0" axis="axisRow" fieldPosition="1"/>
    </format>
    <format dxfId="896">
      <pivotArea field="6" type="button" dataOnly="0" labelOnly="1" outline="0"/>
    </format>
    <format dxfId="895">
      <pivotArea field="7" type="button" dataOnly="0" labelOnly="1" outline="0"/>
    </format>
    <format dxfId="894">
      <pivotArea field="1" type="button" dataOnly="0" labelOnly="1" outline="0"/>
    </format>
    <format dxfId="893">
      <pivotArea field="45" type="button" dataOnly="0" labelOnly="1" outline="0"/>
    </format>
    <format dxfId="892">
      <pivotArea field="3" type="button" dataOnly="0" labelOnly="1" outline="0" axis="axisRow" fieldPosition="1"/>
    </format>
    <format dxfId="891">
      <pivotArea field="6" type="button" dataOnly="0" labelOnly="1" outline="0"/>
    </format>
    <format dxfId="890">
      <pivotArea field="7" type="button" dataOnly="0" labelOnly="1" outline="0"/>
    </format>
    <format dxfId="889">
      <pivotArea field="1" type="button" dataOnly="0" labelOnly="1" outline="0"/>
    </format>
    <format dxfId="888">
      <pivotArea field="45" type="button" dataOnly="0" labelOnly="1" outline="0"/>
    </format>
    <format dxfId="887">
      <pivotArea field="3" type="button" dataOnly="0" labelOnly="1" outline="0" axis="axisRow" fieldPosition="1"/>
    </format>
    <format dxfId="886">
      <pivotArea field="6" type="button" dataOnly="0" labelOnly="1" outline="0"/>
    </format>
    <format dxfId="885">
      <pivotArea field="7" type="button" dataOnly="0" labelOnly="1" outline="0"/>
    </format>
    <format dxfId="884">
      <pivotArea field="1" type="button" dataOnly="0" labelOnly="1" outline="0"/>
    </format>
    <format dxfId="883">
      <pivotArea field="45" type="button" dataOnly="0" labelOnly="1" outline="0"/>
    </format>
    <format dxfId="882">
      <pivotArea field="3" type="button" dataOnly="0" labelOnly="1" outline="0" axis="axisRow" fieldPosition="1"/>
    </format>
    <format dxfId="881">
      <pivotArea field="6" type="button" dataOnly="0" labelOnly="1" outline="0"/>
    </format>
    <format dxfId="880">
      <pivotArea field="7" type="button" dataOnly="0" labelOnly="1" outline="0"/>
    </format>
    <format dxfId="879">
      <pivotArea field="1" type="button" dataOnly="0" labelOnly="1" outline="0"/>
    </format>
    <format dxfId="878">
      <pivotArea field="45" type="button" dataOnly="0" labelOnly="1" outline="0"/>
    </format>
    <format dxfId="877">
      <pivotArea field="3" type="button" dataOnly="0" labelOnly="1" outline="0" axis="axisRow" fieldPosition="1"/>
    </format>
    <format dxfId="876">
      <pivotArea field="6" type="button" dataOnly="0" labelOnly="1" outline="0"/>
    </format>
    <format dxfId="875">
      <pivotArea field="7" type="button" dataOnly="0" labelOnly="1" outline="0"/>
    </format>
    <format dxfId="874">
      <pivotArea field="1" type="button" dataOnly="0" labelOnly="1" outline="0"/>
    </format>
    <format dxfId="873">
      <pivotArea field="45" type="button" dataOnly="0" labelOnly="1" outline="0"/>
    </format>
    <format dxfId="872">
      <pivotArea field="3" type="button" dataOnly="0" labelOnly="1" outline="0" axis="axisRow" fieldPosition="1"/>
    </format>
    <format dxfId="871">
      <pivotArea field="6" type="button" dataOnly="0" labelOnly="1" outline="0"/>
    </format>
    <format dxfId="870">
      <pivotArea field="7" type="button" dataOnly="0" labelOnly="1" outline="0"/>
    </format>
    <format dxfId="869">
      <pivotArea field="1" type="button" dataOnly="0" labelOnly="1" outline="0"/>
    </format>
    <format dxfId="868">
      <pivotArea field="45" type="button" dataOnly="0" labelOnly="1" outline="0"/>
    </format>
    <format dxfId="867">
      <pivotArea field="3" type="button" dataOnly="0" labelOnly="1" outline="0" axis="axisRow" fieldPosition="1"/>
    </format>
    <format dxfId="866">
      <pivotArea field="6" type="button" dataOnly="0" labelOnly="1" outline="0"/>
    </format>
    <format dxfId="865">
      <pivotArea field="7" type="button" dataOnly="0" labelOnly="1" outline="0"/>
    </format>
    <format dxfId="864">
      <pivotArea field="1" type="button" dataOnly="0" labelOnly="1" outline="0"/>
    </format>
    <format dxfId="863">
      <pivotArea field="45" type="button" dataOnly="0" labelOnly="1" outline="0"/>
    </format>
    <format dxfId="862">
      <pivotArea field="3" type="button" dataOnly="0" labelOnly="1" outline="0" axis="axisRow" fieldPosition="1"/>
    </format>
    <format dxfId="861">
      <pivotArea field="6" type="button" dataOnly="0" labelOnly="1" outline="0"/>
    </format>
    <format dxfId="860">
      <pivotArea field="7" type="button" dataOnly="0" labelOnly="1" outline="0"/>
    </format>
    <format dxfId="859">
      <pivotArea field="1" type="button" dataOnly="0" labelOnly="1" outline="0"/>
    </format>
    <format dxfId="858">
      <pivotArea field="45" type="button" dataOnly="0" labelOnly="1" outline="0"/>
    </format>
    <format dxfId="857">
      <pivotArea type="all" dataOnly="0" outline="0" fieldPosition="0"/>
    </format>
    <format dxfId="856">
      <pivotArea field="3" type="button" dataOnly="0" labelOnly="1" outline="0" axis="axisRow" fieldPosition="1"/>
    </format>
    <format dxfId="855">
      <pivotArea field="6" type="button" dataOnly="0" labelOnly="1" outline="0"/>
    </format>
    <format dxfId="854">
      <pivotArea field="7" type="button" dataOnly="0" labelOnly="1" outline="0"/>
    </format>
    <format dxfId="853">
      <pivotArea field="1" type="button" dataOnly="0" labelOnly="1" outline="0"/>
    </format>
    <format dxfId="852">
      <pivotArea field="45" type="button" dataOnly="0" labelOnly="1" outline="0"/>
    </format>
    <format dxfId="851">
      <pivotArea field="3" type="button" dataOnly="0" labelOnly="1" outline="0" axis="axisRow" fieldPosition="1"/>
    </format>
    <format dxfId="850">
      <pivotArea field="6" type="button" dataOnly="0" labelOnly="1" outline="0"/>
    </format>
    <format dxfId="849">
      <pivotArea field="7" type="button" dataOnly="0" labelOnly="1" outline="0"/>
    </format>
    <format dxfId="848">
      <pivotArea field="1" type="button" dataOnly="0" labelOnly="1" outline="0"/>
    </format>
    <format dxfId="847">
      <pivotArea field="45" type="button" dataOnly="0" labelOnly="1" outline="0"/>
    </format>
    <format dxfId="846">
      <pivotArea field="3" type="button" dataOnly="0" labelOnly="1" outline="0" axis="axisRow" fieldPosition="1"/>
    </format>
    <format dxfId="845">
      <pivotArea field="6" type="button" dataOnly="0" labelOnly="1" outline="0"/>
    </format>
    <format dxfId="844">
      <pivotArea field="7" type="button" dataOnly="0" labelOnly="1" outline="0"/>
    </format>
    <format dxfId="843">
      <pivotArea field="1" type="button" dataOnly="0" labelOnly="1" outline="0"/>
    </format>
    <format dxfId="842">
      <pivotArea field="45" type="button" dataOnly="0" labelOnly="1" outline="0"/>
    </format>
    <format dxfId="841">
      <pivotArea type="all" dataOnly="0" outline="0" fieldPosition="0"/>
    </format>
    <format dxfId="840">
      <pivotArea field="3" type="button" dataOnly="0" labelOnly="1" outline="0" axis="axisRow" fieldPosition="1"/>
    </format>
    <format dxfId="839">
      <pivotArea field="6" type="button" dataOnly="0" labelOnly="1" outline="0"/>
    </format>
    <format dxfId="838">
      <pivotArea field="7" type="button" dataOnly="0" labelOnly="1" outline="0"/>
    </format>
    <format dxfId="837">
      <pivotArea field="1" type="button" dataOnly="0" labelOnly="1" outline="0"/>
    </format>
    <format dxfId="836">
      <pivotArea field="45" type="button" dataOnly="0" labelOnly="1" outline="0"/>
    </format>
    <format dxfId="835">
      <pivotArea field="46" type="button" dataOnly="0" labelOnly="1" outline="0"/>
    </format>
    <format dxfId="834">
      <pivotArea field="3" type="button" dataOnly="0" labelOnly="1" outline="0" axis="axisRow" fieldPosition="1"/>
    </format>
    <format dxfId="833">
      <pivotArea field="6" type="button" dataOnly="0" labelOnly="1" outline="0"/>
    </format>
    <format dxfId="832">
      <pivotArea field="7" type="button" dataOnly="0" labelOnly="1" outline="0"/>
    </format>
    <format dxfId="831">
      <pivotArea field="1" type="button" dataOnly="0" labelOnly="1" outline="0"/>
    </format>
    <format dxfId="830">
      <pivotArea field="45" type="button" dataOnly="0" labelOnly="1" outline="0"/>
    </format>
    <format dxfId="829">
      <pivotArea field="46" type="button" dataOnly="0" labelOnly="1" outline="0"/>
    </format>
    <format dxfId="828">
      <pivotArea field="3" type="button" dataOnly="0" labelOnly="1" outline="0" axis="axisRow" fieldPosition="1"/>
    </format>
    <format dxfId="827">
      <pivotArea field="6" type="button" dataOnly="0" labelOnly="1" outline="0"/>
    </format>
    <format dxfId="826">
      <pivotArea field="7" type="button" dataOnly="0" labelOnly="1" outline="0"/>
    </format>
    <format dxfId="825">
      <pivotArea field="1" type="button" dataOnly="0" labelOnly="1" outline="0"/>
    </format>
    <format dxfId="824">
      <pivotArea field="45" type="button" dataOnly="0" labelOnly="1" outline="0"/>
    </format>
    <format dxfId="823">
      <pivotArea field="46" type="button" dataOnly="0" labelOnly="1" outline="0"/>
    </format>
    <format dxfId="822">
      <pivotArea field="3" type="button" dataOnly="0" labelOnly="1" outline="0" axis="axisRow" fieldPosition="1"/>
    </format>
    <format dxfId="821">
      <pivotArea field="6" type="button" dataOnly="0" labelOnly="1" outline="0"/>
    </format>
    <format dxfId="820">
      <pivotArea field="7" type="button" dataOnly="0" labelOnly="1" outline="0"/>
    </format>
    <format dxfId="819">
      <pivotArea field="1" type="button" dataOnly="0" labelOnly="1" outline="0"/>
    </format>
    <format dxfId="818">
      <pivotArea field="45" type="button" dataOnly="0" labelOnly="1" outline="0"/>
    </format>
    <format dxfId="817">
      <pivotArea field="46" type="button" dataOnly="0" labelOnly="1" outline="0"/>
    </format>
    <format dxfId="816">
      <pivotArea field="3" type="button" dataOnly="0" labelOnly="1" outline="0" axis="axisRow" fieldPosition="1"/>
    </format>
    <format dxfId="815">
      <pivotArea field="6" type="button" dataOnly="0" labelOnly="1" outline="0"/>
    </format>
    <format dxfId="814">
      <pivotArea field="7" type="button" dataOnly="0" labelOnly="1" outline="0"/>
    </format>
    <format dxfId="813">
      <pivotArea field="1" type="button" dataOnly="0" labelOnly="1" outline="0"/>
    </format>
    <format dxfId="812">
      <pivotArea field="45" type="button" dataOnly="0" labelOnly="1" outline="0"/>
    </format>
    <format dxfId="811">
      <pivotArea field="46" type="button" dataOnly="0" labelOnly="1" outline="0"/>
    </format>
    <format dxfId="810">
      <pivotArea field="3" type="button" dataOnly="0" labelOnly="1" outline="0" axis="axisRow" fieldPosition="1"/>
    </format>
    <format dxfId="809">
      <pivotArea field="6" type="button" dataOnly="0" labelOnly="1" outline="0"/>
    </format>
    <format dxfId="808">
      <pivotArea field="7" type="button" dataOnly="0" labelOnly="1" outline="0"/>
    </format>
    <format dxfId="807">
      <pivotArea field="1" type="button" dataOnly="0" labelOnly="1" outline="0"/>
    </format>
    <format dxfId="806">
      <pivotArea field="45" type="button" dataOnly="0" labelOnly="1" outline="0"/>
    </format>
    <format dxfId="805">
      <pivotArea field="46" type="button" dataOnly="0" labelOnly="1" outline="0"/>
    </format>
    <format dxfId="804">
      <pivotArea field="3" type="button" dataOnly="0" labelOnly="1" outline="0" axis="axisRow" fieldPosition="1"/>
    </format>
    <format dxfId="803">
      <pivotArea field="6" type="button" dataOnly="0" labelOnly="1" outline="0"/>
    </format>
    <format dxfId="802">
      <pivotArea field="7" type="button" dataOnly="0" labelOnly="1" outline="0"/>
    </format>
    <format dxfId="801">
      <pivotArea field="1" type="button" dataOnly="0" labelOnly="1" outline="0"/>
    </format>
    <format dxfId="800">
      <pivotArea field="45" type="button" dataOnly="0" labelOnly="1" outline="0"/>
    </format>
    <format dxfId="799">
      <pivotArea field="46" type="button" dataOnly="0" labelOnly="1" outline="0"/>
    </format>
    <format dxfId="798">
      <pivotArea field="3" type="button" dataOnly="0" labelOnly="1" outline="0" axis="axisRow" fieldPosition="1"/>
    </format>
    <format dxfId="797">
      <pivotArea field="6" type="button" dataOnly="0" labelOnly="1" outline="0"/>
    </format>
    <format dxfId="796">
      <pivotArea field="7" type="button" dataOnly="0" labelOnly="1" outline="0"/>
    </format>
    <format dxfId="795">
      <pivotArea field="1" type="button" dataOnly="0" labelOnly="1" outline="0"/>
    </format>
    <format dxfId="794">
      <pivotArea field="45" type="button" dataOnly="0" labelOnly="1" outline="0"/>
    </format>
    <format dxfId="793">
      <pivotArea field="46" type="button" dataOnly="0" labelOnly="1" outline="0"/>
    </format>
    <format dxfId="792">
      <pivotArea field="3" type="button" dataOnly="0" labelOnly="1" outline="0" axis="axisRow" fieldPosition="1"/>
    </format>
    <format dxfId="791">
      <pivotArea field="6" type="button" dataOnly="0" labelOnly="1" outline="0"/>
    </format>
    <format dxfId="790">
      <pivotArea field="7" type="button" dataOnly="0" labelOnly="1" outline="0"/>
    </format>
    <format dxfId="789">
      <pivotArea field="1" type="button" dataOnly="0" labelOnly="1" outline="0"/>
    </format>
    <format dxfId="788">
      <pivotArea field="45" type="button" dataOnly="0" labelOnly="1" outline="0"/>
    </format>
    <format dxfId="787">
      <pivotArea field="46" type="button" dataOnly="0" labelOnly="1" outline="0"/>
    </format>
    <format dxfId="786">
      <pivotArea field="3" type="button" dataOnly="0" labelOnly="1" outline="0" axis="axisRow" fieldPosition="1"/>
    </format>
    <format dxfId="785">
      <pivotArea field="6" type="button" dataOnly="0" labelOnly="1" outline="0"/>
    </format>
    <format dxfId="784">
      <pivotArea field="7" type="button" dataOnly="0" labelOnly="1" outline="0"/>
    </format>
    <format dxfId="783">
      <pivotArea field="1" type="button" dataOnly="0" labelOnly="1" outline="0"/>
    </format>
    <format dxfId="782">
      <pivotArea field="45" type="button" dataOnly="0" labelOnly="1" outline="0"/>
    </format>
    <format dxfId="781">
      <pivotArea field="46" type="button" dataOnly="0" labelOnly="1" outline="0"/>
    </format>
    <format dxfId="780">
      <pivotArea field="3" type="button" dataOnly="0" labelOnly="1" outline="0" axis="axisRow" fieldPosition="1"/>
    </format>
    <format dxfId="779">
      <pivotArea field="6" type="button" dataOnly="0" labelOnly="1" outline="0"/>
    </format>
    <format dxfId="778">
      <pivotArea field="7" type="button" dataOnly="0" labelOnly="1" outline="0"/>
    </format>
    <format dxfId="777">
      <pivotArea field="1" type="button" dataOnly="0" labelOnly="1" outline="0"/>
    </format>
    <format dxfId="776">
      <pivotArea field="45" type="button" dataOnly="0" labelOnly="1" outline="0"/>
    </format>
    <format dxfId="775">
      <pivotArea field="46" type="button" dataOnly="0" labelOnly="1" outline="0"/>
    </format>
    <format dxfId="774">
      <pivotArea field="3" type="button" dataOnly="0" labelOnly="1" outline="0" axis="axisRow" fieldPosition="1"/>
    </format>
    <format dxfId="773">
      <pivotArea field="6" type="button" dataOnly="0" labelOnly="1" outline="0"/>
    </format>
    <format dxfId="772">
      <pivotArea field="7" type="button" dataOnly="0" labelOnly="1" outline="0"/>
    </format>
    <format dxfId="771">
      <pivotArea field="1" type="button" dataOnly="0" labelOnly="1" outline="0"/>
    </format>
    <format dxfId="770">
      <pivotArea field="45" type="button" dataOnly="0" labelOnly="1" outline="0"/>
    </format>
    <format dxfId="769">
      <pivotArea field="46" type="button" dataOnly="0" labelOnly="1" outline="0"/>
    </format>
    <format dxfId="768">
      <pivotArea field="3" type="button" dataOnly="0" labelOnly="1" outline="0" axis="axisRow" fieldPosition="1"/>
    </format>
    <format dxfId="767">
      <pivotArea field="6" type="button" dataOnly="0" labelOnly="1" outline="0"/>
    </format>
    <format dxfId="766">
      <pivotArea field="7" type="button" dataOnly="0" labelOnly="1" outline="0"/>
    </format>
    <format dxfId="765">
      <pivotArea field="1" type="button" dataOnly="0" labelOnly="1" outline="0"/>
    </format>
    <format dxfId="764">
      <pivotArea field="45" type="button" dataOnly="0" labelOnly="1" outline="0"/>
    </format>
    <format dxfId="763">
      <pivotArea field="46" type="button" dataOnly="0" labelOnly="1" outline="0"/>
    </format>
    <format dxfId="762">
      <pivotArea field="3" type="button" dataOnly="0" labelOnly="1" outline="0" axis="axisRow" fieldPosition="1"/>
    </format>
    <format dxfId="761">
      <pivotArea field="6" type="button" dataOnly="0" labelOnly="1" outline="0"/>
    </format>
    <format dxfId="760">
      <pivotArea field="7" type="button" dataOnly="0" labelOnly="1" outline="0"/>
    </format>
    <format dxfId="759">
      <pivotArea field="1" type="button" dataOnly="0" labelOnly="1" outline="0"/>
    </format>
    <format dxfId="758">
      <pivotArea field="45" type="button" dataOnly="0" labelOnly="1" outline="0"/>
    </format>
    <format dxfId="757">
      <pivotArea field="46" type="button" dataOnly="0" labelOnly="1" outline="0"/>
    </format>
    <format dxfId="756">
      <pivotArea field="3" type="button" dataOnly="0" labelOnly="1" outline="0" axis="axisRow" fieldPosition="1"/>
    </format>
    <format dxfId="755">
      <pivotArea field="6" type="button" dataOnly="0" labelOnly="1" outline="0"/>
    </format>
    <format dxfId="754">
      <pivotArea field="7" type="button" dataOnly="0" labelOnly="1" outline="0"/>
    </format>
    <format dxfId="753">
      <pivotArea field="1" type="button" dataOnly="0" labelOnly="1" outline="0"/>
    </format>
    <format dxfId="752">
      <pivotArea field="45" type="button" dataOnly="0" labelOnly="1" outline="0"/>
    </format>
    <format dxfId="751">
      <pivotArea field="46" type="button" dataOnly="0" labelOnly="1" outline="0"/>
    </format>
    <format dxfId="750">
      <pivotArea field="3" type="button" dataOnly="0" labelOnly="1" outline="0" axis="axisRow" fieldPosition="1"/>
    </format>
    <format dxfId="749">
      <pivotArea field="6" type="button" dataOnly="0" labelOnly="1" outline="0"/>
    </format>
    <format dxfId="748">
      <pivotArea field="7" type="button" dataOnly="0" labelOnly="1" outline="0"/>
    </format>
    <format dxfId="747">
      <pivotArea field="1" type="button" dataOnly="0" labelOnly="1" outline="0"/>
    </format>
    <format dxfId="746">
      <pivotArea field="24" type="button" dataOnly="0" labelOnly="1" outline="0"/>
    </format>
    <format dxfId="745">
      <pivotArea field="45" type="button" dataOnly="0" labelOnly="1" outline="0"/>
    </format>
    <format dxfId="744">
      <pivotArea field="46" type="button" dataOnly="0" labelOnly="1" outline="0"/>
    </format>
    <format dxfId="743">
      <pivotArea field="35" type="button" dataOnly="0" labelOnly="1" outline="0"/>
    </format>
    <format dxfId="742">
      <pivotArea field="3" type="button" dataOnly="0" labelOnly="1" outline="0" axis="axisRow" fieldPosition="1"/>
    </format>
    <format dxfId="741">
      <pivotArea field="1" type="button" dataOnly="0" labelOnly="1" outline="0"/>
    </format>
    <format dxfId="740">
      <pivotArea field="24" type="button" dataOnly="0" labelOnly="1" outline="0"/>
    </format>
    <format dxfId="739">
      <pivotArea field="45" type="button" dataOnly="0" labelOnly="1" outline="0"/>
    </format>
    <format dxfId="738">
      <pivotArea field="46" type="button" dataOnly="0" labelOnly="1" outline="0"/>
    </format>
    <format dxfId="737">
      <pivotArea field="35" type="button" dataOnly="0" labelOnly="1" outline="0"/>
    </format>
    <format dxfId="736">
      <pivotArea field="7" type="button" dataOnly="0" labelOnly="1" outline="0"/>
    </format>
    <format dxfId="735">
      <pivotArea field="6" type="button" dataOnly="0" labelOnly="1" outline="0"/>
    </format>
    <format dxfId="734">
      <pivotArea field="7" type="button" dataOnly="0" labelOnly="1" outline="0"/>
    </format>
    <format dxfId="733">
      <pivotArea field="6" type="button" dataOnly="0" labelOnly="1" outline="0"/>
    </format>
    <format dxfId="732">
      <pivotArea field="6" type="button" dataOnly="0" labelOnly="1" outline="0"/>
    </format>
    <format dxfId="731">
      <pivotArea outline="0" fieldPosition="0">
        <references count="1">
          <reference field="4294967294" count="1">
            <x v="0"/>
          </reference>
        </references>
      </pivotArea>
    </format>
    <format dxfId="730">
      <pivotArea field="49" type="button" dataOnly="0" labelOnly="1" outline="0" axis="axisPage" fieldPosition="0"/>
    </format>
    <format dxfId="729">
      <pivotArea field="47" type="button" dataOnly="0" labelOnly="1" outline="0" axis="axisRow" fieldPosition="0"/>
    </format>
    <format dxfId="728">
      <pivotArea field="3" type="button" dataOnly="0" labelOnly="1" outline="0" axis="axisRow" fieldPosition="1"/>
    </format>
    <format dxfId="727">
      <pivotArea field="45" type="button" dataOnly="0" labelOnly="1" outline="0"/>
    </format>
    <format dxfId="726">
      <pivotArea field="49" type="button" dataOnly="0" labelOnly="1" outline="0" axis="axisPage" fieldPosition="0"/>
    </format>
    <format dxfId="725">
      <pivotArea field="47" type="button" dataOnly="0" labelOnly="1" outline="0" axis="axisRow" fieldPosition="0"/>
    </format>
    <format dxfId="724">
      <pivotArea field="3" type="button" dataOnly="0" labelOnly="1" outline="0" axis="axisRow" fieldPosition="1"/>
    </format>
    <format dxfId="723">
      <pivotArea field="45" type="button" dataOnly="0" labelOnly="1" outline="0"/>
    </format>
    <format dxfId="722">
      <pivotArea dataOnly="0" labelOnly="1" outline="0" fieldPosition="0">
        <references count="1">
          <reference field="49" count="0"/>
        </references>
      </pivotArea>
    </format>
    <format dxfId="721">
      <pivotArea dataOnly="0" labelOnly="1" outline="0" fieldPosition="0">
        <references count="1">
          <reference field="47" count="0"/>
        </references>
      </pivotArea>
    </format>
    <format dxfId="720">
      <pivotArea field="49" type="button" dataOnly="0" labelOnly="1" outline="0" axis="axisPage" fieldPosition="0"/>
    </format>
    <format dxfId="719">
      <pivotArea dataOnly="0" labelOnly="1" outline="0" fieldPosition="0">
        <references count="1">
          <reference field="49" count="0"/>
        </references>
      </pivotArea>
    </format>
    <format dxfId="718">
      <pivotArea outline="0" collapsedLevelsAreSubtotals="1" fieldPosition="0">
        <references count="1">
          <reference field="47" count="1" selected="0">
            <x v="33"/>
          </reference>
        </references>
      </pivotArea>
    </format>
    <format dxfId="717">
      <pivotArea outline="0" collapsedLevelsAreSubtotals="1" fieldPosition="0">
        <references count="1">
          <reference field="47" count="1" selected="0">
            <x v="33"/>
          </reference>
        </references>
      </pivotArea>
    </format>
    <format dxfId="716">
      <pivotArea dataOnly="0" labelOnly="1" outline="0" fieldPosition="0">
        <references count="1">
          <reference field="3" count="0"/>
        </references>
      </pivotArea>
    </format>
    <format dxfId="715">
      <pivotArea field="15" type="button" dataOnly="0" labelOnly="1" outline="0" axis="axisRow" fieldPosition="2"/>
    </format>
    <format dxfId="714">
      <pivotArea field="15" type="button" dataOnly="0" labelOnly="1" outline="0" axis="axisRow" fieldPosition="2"/>
    </format>
  </formats>
  <pivotTableStyleInfo name="PivotStyleMedium2" showRowHeaders="1" showColHeaders="1" showRowStripes="0" showColStripes="0" showLastColumn="1"/>
  <filters count="1">
    <filter fld="3" type="dateNewerThan" evalOrder="-1" id="1">
      <autoFilter ref="A1">
        <filterColumn colId="0">
          <customFilters>
            <customFilter operator="greaterThan" val="4492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ivotTable1" cacheId="2" applyNumberFormats="0" applyBorderFormats="0" applyFontFormats="0" applyPatternFormats="0" applyAlignmentFormats="0" applyWidthHeightFormats="1" dataCaption="Values" errorCaption="0" showError="1" missingCaption="0" updatedVersion="4" minRefreshableVersion="3" showDrill="0" rowGrandTotals="0" itemPrintTitles="1" createdVersion="5" indent="0" compact="0" compactData="0" gridDropZones="1" multipleFieldFilters="0" fieldListSortAscending="1">
  <location ref="A11:D69" firstHeaderRow="2" firstDataRow="2" firstDataCol="3" rowPageCount="1" colPageCount="1"/>
  <pivotFields count="52">
    <pivotField compact="0" outline="0" showAll="0" defaultSubtotal="0"/>
    <pivotField compact="0" outline="0" multipleItemSelectionAllowed="1" showAll="0" defaultSubtotal="0">
      <items count="126">
        <item x="107"/>
        <item x="93"/>
        <item x="92"/>
        <item x="91"/>
        <item x="90"/>
        <item x="49"/>
        <item x="33"/>
        <item x="11"/>
        <item x="8"/>
        <item x="105"/>
        <item x="104"/>
        <item x="103"/>
        <item x="58"/>
        <item x="57"/>
        <item x="34"/>
        <item x="21"/>
        <item x="4"/>
        <item x="3"/>
        <item x="2"/>
        <item x="125"/>
        <item x="124"/>
        <item x="123"/>
        <item x="121"/>
        <item x="122"/>
        <item x="118"/>
        <item x="117"/>
        <item x="116"/>
        <item x="115"/>
        <item x="114"/>
        <item x="113"/>
        <item x="120"/>
        <item x="119"/>
        <item x="112"/>
        <item x="111"/>
        <item x="110"/>
        <item x="109"/>
        <item x="108"/>
        <item x="106"/>
        <item x="102"/>
        <item x="101"/>
        <item x="100"/>
        <item x="99"/>
        <item x="98"/>
        <item x="97"/>
        <item x="96"/>
        <item x="95"/>
        <item x="94"/>
        <item x="54"/>
        <item x="44"/>
        <item x="41"/>
        <item x="38"/>
        <item x="36"/>
        <item x="24"/>
        <item x="20"/>
        <item x="9"/>
        <item x="5"/>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6"/>
        <item x="55"/>
        <item x="53"/>
        <item x="52"/>
        <item x="51"/>
        <item x="50"/>
        <item x="48"/>
        <item x="47"/>
        <item x="46"/>
        <item x="45"/>
        <item x="43"/>
        <item x="42"/>
        <item x="40"/>
        <item x="39"/>
        <item x="37"/>
        <item x="35"/>
        <item x="32"/>
        <item x="31"/>
        <item x="30"/>
        <item x="29"/>
        <item x="28"/>
        <item x="27"/>
        <item x="17"/>
        <item x="18"/>
        <item x="19"/>
        <item x="22"/>
        <item x="23"/>
        <item x="25"/>
        <item x="26"/>
        <item x="10"/>
        <item x="12"/>
        <item x="13"/>
        <item x="14"/>
        <item x="15"/>
        <item x="16"/>
        <item x="0"/>
        <item x="1"/>
        <item x="6"/>
        <item x="7"/>
      </items>
      <extLst>
        <ext xmlns:x14="http://schemas.microsoft.com/office/spreadsheetml/2009/9/main" uri="{2946ED86-A175-432a-8AC1-64E0C546D7DE}">
          <x14:pivotField fillDownLabels="1"/>
        </ext>
      </extLst>
    </pivotField>
    <pivotField compact="0" outline="0" showAll="0" defaultSubtotal="0"/>
    <pivotField axis="axisRow" compact="0" outline="0" multipleItemSelectionAllowed="1" showAll="0" sortType="descending" defaultSubtotal="0">
      <items count="794">
        <item x="0"/>
        <item x="1"/>
        <item x="2"/>
        <item x="3"/>
        <item x="4"/>
        <item x="5"/>
        <item x="6"/>
        <item x="9"/>
        <item x="8"/>
        <item x="11"/>
        <item x="7"/>
        <item x="12"/>
        <item x="14"/>
        <item x="15"/>
        <item x="13"/>
        <item x="16"/>
        <item x="18"/>
        <item x="19"/>
        <item x="10"/>
        <item x="17"/>
        <item x="20"/>
        <item x="22"/>
        <item x="23"/>
        <item x="25"/>
        <item x="24"/>
        <item x="21"/>
        <item x="26"/>
        <item x="28"/>
        <item x="27"/>
        <item x="30"/>
        <item x="32"/>
        <item x="31"/>
        <item x="29"/>
        <item x="33"/>
        <item x="36"/>
        <item x="38"/>
        <item x="37"/>
        <item x="39"/>
        <item x="40"/>
        <item x="44"/>
        <item x="43"/>
        <item x="45"/>
        <item x="35"/>
        <item x="46"/>
        <item x="34"/>
        <item x="41"/>
        <item x="47"/>
        <item x="42"/>
        <item x="48"/>
        <item x="50"/>
        <item x="49"/>
        <item x="51"/>
        <item m="1" x="599"/>
        <item x="53"/>
        <item x="56"/>
        <item x="55"/>
        <item x="54"/>
        <item x="57"/>
        <item x="52"/>
        <item x="58"/>
        <item x="59"/>
        <item x="87"/>
        <item x="60"/>
        <item x="63"/>
        <item x="84"/>
        <item x="62"/>
        <item x="61"/>
        <item x="64"/>
        <item x="88"/>
        <item x="66"/>
        <item x="65"/>
        <item x="67"/>
        <item x="69"/>
        <item x="68"/>
        <item x="70"/>
        <item x="71"/>
        <item x="89"/>
        <item x="73"/>
        <item x="72"/>
        <item x="86"/>
        <item x="74"/>
        <item x="90"/>
        <item x="75"/>
        <item x="94"/>
        <item x="91"/>
        <item x="76"/>
        <item x="77"/>
        <item x="78"/>
        <item x="79"/>
        <item x="92"/>
        <item x="80"/>
        <item x="93"/>
        <item x="81"/>
        <item x="82"/>
        <item x="83"/>
        <item x="95"/>
        <item x="85"/>
        <item x="96"/>
        <item x="97"/>
        <item x="98"/>
        <item x="99"/>
        <item x="101"/>
        <item x="100"/>
        <item x="102"/>
        <item x="103"/>
        <item x="104"/>
        <item x="107"/>
        <item x="108"/>
        <item x="109"/>
        <item x="110"/>
        <item x="111"/>
        <item x="105"/>
        <item x="112"/>
        <item x="113"/>
        <item x="114"/>
        <item x="115"/>
        <item x="117"/>
        <item x="118"/>
        <item x="116"/>
        <item x="119"/>
        <item x="120"/>
        <item x="122"/>
        <item x="121"/>
        <item x="123"/>
        <item x="124"/>
        <item x="106"/>
        <item x="125"/>
        <item x="126"/>
        <item x="128"/>
        <item x="130"/>
        <item x="129"/>
        <item x="131"/>
        <item x="133"/>
        <item x="132"/>
        <item x="135"/>
        <item x="136"/>
        <item x="137"/>
        <item x="127"/>
        <item x="141"/>
        <item x="140"/>
        <item x="138"/>
        <item x="139"/>
        <item x="142"/>
        <item x="143"/>
        <item x="134"/>
        <item m="1" x="498"/>
        <item x="145"/>
        <item x="149"/>
        <item x="146"/>
        <item x="144"/>
        <item x="147"/>
        <item x="150"/>
        <item x="151"/>
        <item x="152"/>
        <item x="153"/>
        <item x="155"/>
        <item m="1" x="489"/>
        <item x="158"/>
        <item x="157"/>
        <item x="154"/>
        <item x="159"/>
        <item x="156"/>
        <item x="160"/>
        <item x="161"/>
        <item x="163"/>
        <item x="162"/>
        <item m="1" x="493"/>
        <item m="1" x="208"/>
        <item x="167"/>
        <item m="1" x="790"/>
        <item m="1" x="483"/>
        <item m="1" x="783"/>
        <item x="168"/>
        <item x="166"/>
        <item x="164"/>
        <item x="165"/>
        <item x="169"/>
        <item x="170"/>
        <item x="171"/>
        <item m="1" x="679"/>
        <item m="1" x="364"/>
        <item m="1" x="667"/>
        <item m="1" x="788"/>
        <item m="1" x="481"/>
        <item m="1" x="781"/>
        <item m="1" x="475"/>
        <item x="172"/>
        <item m="1" x="470"/>
        <item m="1" x="768"/>
        <item x="173"/>
        <item m="1" x="760"/>
        <item m="1" x="455"/>
        <item m="1" x="444"/>
        <item m="1" x="745"/>
        <item m="1" x="434"/>
        <item m="1" x="734"/>
        <item m="1" x="423"/>
        <item m="1" x="724"/>
        <item m="1" x="411"/>
        <item m="1" x="713"/>
        <item m="1" x="401"/>
        <item x="175"/>
        <item m="1" x="390"/>
        <item x="176"/>
        <item m="1" x="377"/>
        <item m="1" x="677"/>
        <item m="1" x="362"/>
        <item m="1" x="665"/>
        <item m="1" x="352"/>
        <item m="1" x="653"/>
        <item m="1" x="338"/>
        <item m="1" x="637"/>
        <item m="1" x="774"/>
        <item x="174"/>
        <item m="1" x="766"/>
        <item m="1" x="462"/>
        <item m="1" x="758"/>
        <item m="1" x="453"/>
        <item x="177"/>
        <item m="1" x="442"/>
        <item x="179"/>
        <item m="1" x="432"/>
        <item x="178"/>
        <item m="1" x="421"/>
        <item m="1" x="722"/>
        <item m="1" x="409"/>
        <item m="1" x="711"/>
        <item m="1" x="399"/>
        <item m="1" x="700"/>
        <item m="1" x="388"/>
        <item m="1" x="688"/>
        <item m="1" x="375"/>
        <item m="1" x="675"/>
        <item m="1" x="360"/>
        <item m="1" x="663"/>
        <item m="1" x="350"/>
        <item m="1" x="651"/>
        <item x="180"/>
        <item m="1" x="635"/>
        <item x="181"/>
        <item m="1" x="620"/>
        <item m="1" x="311"/>
        <item m="1" x="607"/>
        <item m="1" x="451"/>
        <item x="182"/>
        <item m="1" x="440"/>
        <item m="1" x="742"/>
        <item m="1" x="430"/>
        <item m="1" x="731"/>
        <item m="1" x="419"/>
        <item m="1" x="720"/>
        <item m="1" x="407"/>
        <item m="1" x="709"/>
        <item m="1" x="397"/>
        <item m="1" x="698"/>
        <item m="1" x="386"/>
        <item x="183"/>
        <item m="1" x="373"/>
        <item x="184"/>
        <item x="185"/>
        <item m="1" x="661"/>
        <item m="1" x="348"/>
        <item m="1" x="649"/>
        <item m="1" x="335"/>
        <item m="1" x="633"/>
        <item m="1" x="322"/>
        <item m="1" x="618"/>
        <item x="186"/>
        <item m="1" x="605"/>
        <item x="187"/>
        <item m="1" x="592"/>
        <item m="1" x="289"/>
        <item m="1" x="580"/>
        <item m="1" x="740"/>
        <item m="1" x="428"/>
        <item m="1" x="729"/>
        <item m="1" x="417"/>
        <item m="1" x="718"/>
        <item x="188"/>
        <item m="1" x="707"/>
        <item x="189"/>
        <item m="1" x="696"/>
        <item m="1" x="384"/>
        <item m="1" x="685"/>
        <item m="1" x="370"/>
        <item m="1" x="672"/>
        <item m="1" x="357"/>
        <item m="1" x="659"/>
        <item m="1" x="346"/>
        <item m="1" x="647"/>
        <item m="1" x="333"/>
        <item m="1" x="631"/>
        <item m="1" x="320"/>
        <item m="1" x="616"/>
        <item m="1" x="308"/>
        <item m="1" x="603"/>
        <item m="1" x="297"/>
        <item m="1" x="590"/>
        <item x="192"/>
        <item x="193"/>
        <item m="1" x="569"/>
        <item m="1" x="279"/>
        <item m="1" x="568"/>
        <item x="194"/>
        <item m="1" x="557"/>
        <item x="190"/>
        <item m="1" x="705"/>
        <item m="1" x="372"/>
        <item m="1" x="394"/>
        <item x="195"/>
        <item m="1" x="382"/>
        <item m="1" x="683"/>
        <item m="1" x="368"/>
        <item x="196"/>
        <item m="1" x="355"/>
        <item m="1" x="657"/>
        <item m="1" x="630"/>
        <item m="1" x="344"/>
        <item m="1" x="645"/>
        <item m="1" x="331"/>
        <item m="1" x="628"/>
        <item m="1" x="318"/>
        <item m="1" x="306"/>
        <item m="1" x="601"/>
        <item x="197"/>
        <item m="1" x="588"/>
        <item m="1" x="286"/>
        <item m="1" x="577"/>
        <item x="198"/>
        <item m="1" x="565"/>
        <item m="1" x="270"/>
        <item m="1" x="555"/>
        <item x="199"/>
        <item m="1" x="547"/>
        <item m="1" x="256"/>
        <item m="1" x="539"/>
        <item m="1" x="693"/>
        <item m="1" x="380"/>
        <item m="1" x="681"/>
        <item m="1" x="366"/>
        <item m="1" x="669"/>
        <item x="200"/>
        <item m="1" x="655"/>
        <item m="1" x="342"/>
        <item m="1" x="643"/>
        <item m="1" x="329"/>
        <item m="1" x="626"/>
        <item m="1" x="316"/>
        <item m="1" x="613"/>
        <item m="1" x="304"/>
        <item m="1" x="598"/>
        <item m="1" x="294"/>
        <item m="1" x="586"/>
        <item m="1" x="284"/>
        <item m="1" x="575"/>
        <item m="1" x="276"/>
        <item m="1" x="563"/>
        <item m="1" x="268"/>
        <item m="1" x="553"/>
        <item m="1" x="262"/>
        <item m="1" x="545"/>
        <item m="1" x="255"/>
        <item m="1" x="537"/>
        <item m="1" x="248"/>
        <item m="1" x="531"/>
        <item m="1" x="241"/>
        <item m="1" x="524"/>
        <item m="1" x="340"/>
        <item m="1" x="641"/>
        <item m="1" x="327"/>
        <item m="1" x="624"/>
        <item m="1" x="314"/>
        <item m="1" x="611"/>
        <item m="1" x="302"/>
        <item m="1" x="596"/>
        <item m="1" x="292"/>
        <item m="1" x="584"/>
        <item m="1" x="282"/>
        <item m="1" x="573"/>
        <item m="1" x="274"/>
        <item m="1" x="561"/>
        <item m="1" x="266"/>
        <item m="1" x="551"/>
        <item m="1" x="260"/>
        <item m="1" x="543"/>
        <item m="1" x="253"/>
        <item m="1" x="535"/>
        <item m="1" x="246"/>
        <item m="1" x="529"/>
        <item m="1" x="239"/>
        <item m="1" x="522"/>
        <item x="201"/>
        <item m="1" x="517"/>
        <item m="1" x="230"/>
        <item m="1" x="511"/>
        <item m="1" x="639"/>
        <item m="1" x="325"/>
        <item m="1" x="622"/>
        <item x="202"/>
        <item m="1" x="609"/>
        <item m="1" x="300"/>
        <item m="1" x="594"/>
        <item x="203"/>
        <item m="1" x="582"/>
        <item x="204"/>
        <item m="1" x="571"/>
        <item m="1" x="272"/>
        <item m="1" x="559"/>
        <item x="205"/>
        <item m="1" x="549"/>
        <item m="1" x="258"/>
        <item m="1" x="541"/>
        <item m="1" x="251"/>
        <item m="1" x="533"/>
        <item m="1" x="244"/>
        <item m="1" x="527"/>
        <item x="206"/>
        <item m="1" x="520"/>
        <item m="1" x="234"/>
        <item m="1" x="515"/>
        <item m="1" x="228"/>
        <item m="1" x="509"/>
        <item m="1" x="224"/>
        <item m="1" x="505"/>
        <item m="1" x="219"/>
        <item m="1" x="242"/>
        <item m="1" x="525"/>
        <item m="1" x="236"/>
        <item m="1" x="518"/>
        <item m="1" x="232"/>
        <item m="1" x="513"/>
        <item m="1" x="226"/>
        <item m="1" x="507"/>
        <item m="1" x="222"/>
        <item m="1" x="503"/>
        <item m="1" x="217"/>
        <item m="1" x="499"/>
        <item m="1" x="214"/>
        <item x="191"/>
        <item m="1" x="211"/>
        <item m="1" x="491"/>
        <item m="1" x="793"/>
        <item m="1" x="486"/>
        <item m="1" x="786"/>
        <item m="1" x="479"/>
        <item m="1" x="779"/>
        <item x="148"/>
        <item m="1" x="772"/>
        <item m="1" x="467"/>
        <item m="1" x="764"/>
        <item m="1" x="459"/>
        <item m="1" x="756"/>
        <item m="1" x="448"/>
        <item m="1" x="749"/>
        <item m="1" x="438"/>
        <item m="1" x="738"/>
        <item m="1" x="512"/>
        <item m="1" x="225"/>
        <item m="1" x="506"/>
        <item m="1" x="221"/>
        <item m="1" x="502"/>
        <item m="1" x="216"/>
        <item m="1" x="497"/>
        <item m="1" x="213"/>
        <item m="1" x="231"/>
        <item m="1" x="495"/>
        <item m="1" x="210"/>
        <item m="1" x="490"/>
        <item m="1" x="792"/>
        <item m="1" x="485"/>
        <item m="1" x="785"/>
        <item m="1" x="478"/>
        <item m="1" x="778"/>
        <item m="1" x="473"/>
        <item m="1" x="771"/>
        <item m="1" x="466"/>
        <item m="1" x="763"/>
        <item m="1" x="458"/>
        <item m="1" x="755"/>
        <item m="1" x="447"/>
        <item m="1" x="748"/>
        <item m="1" x="437"/>
        <item m="1" x="737"/>
        <item m="1" x="426"/>
        <item m="1" x="727"/>
        <item m="1" x="414"/>
        <item m="1" x="716"/>
        <item m="1" x="220"/>
        <item m="1" x="501"/>
        <item m="1" x="215"/>
        <item m="1" x="496"/>
        <item m="1" x="212"/>
        <item m="1" x="494"/>
        <item m="1" x="209"/>
        <item m="1" x="488"/>
        <item m="1" x="791"/>
        <item m="1" x="484"/>
        <item m="1" x="784"/>
        <item m="1" x="477"/>
        <item m="1" x="777"/>
        <item m="1" x="472"/>
        <item m="1" x="770"/>
        <item m="1" x="465"/>
        <item m="1" x="762"/>
        <item m="1" x="457"/>
        <item m="1" x="754"/>
        <item m="1" x="446"/>
        <item m="1" x="747"/>
        <item m="1" x="436"/>
        <item m="1" x="736"/>
        <item m="1" x="425"/>
        <item m="1" x="726"/>
        <item m="1" x="413"/>
        <item m="1" x="715"/>
        <item m="1" x="403"/>
        <item m="1" x="703"/>
        <item m="1" x="392"/>
        <item m="1" x="691"/>
        <item m="1" x="492"/>
        <item m="1" x="207"/>
        <item m="1" x="487"/>
        <item m="1" x="789"/>
        <item m="1" x="482"/>
        <item m="1" x="782"/>
        <item m="1" x="476"/>
        <item m="1" x="776"/>
        <item m="1" x="471"/>
        <item m="1" x="769"/>
        <item m="1" x="464"/>
        <item m="1" x="761"/>
        <item m="1" x="456"/>
        <item m="1" x="753"/>
        <item m="1" x="445"/>
        <item m="1" x="746"/>
        <item m="1" x="435"/>
        <item m="1" x="735"/>
        <item m="1" x="424"/>
        <item m="1" x="725"/>
        <item m="1" x="412"/>
        <item m="1" x="714"/>
        <item m="1" x="402"/>
        <item m="1" x="702"/>
        <item m="1" x="391"/>
        <item m="1" x="690"/>
        <item m="1" x="378"/>
        <item m="1" x="678"/>
        <item m="1" x="363"/>
        <item m="1" x="666"/>
        <item m="1" x="787"/>
        <item m="1" x="480"/>
        <item m="1" x="780"/>
        <item m="1" x="474"/>
        <item m="1" x="775"/>
        <item m="1" x="469"/>
        <item m="1" x="767"/>
        <item m="1" x="463"/>
        <item m="1" x="759"/>
        <item m="1" x="454"/>
        <item m="1" x="752"/>
        <item m="1" x="443"/>
        <item m="1" x="744"/>
        <item m="1" x="433"/>
        <item m="1" x="733"/>
        <item m="1" x="422"/>
        <item m="1" x="723"/>
        <item m="1" x="410"/>
        <item m="1" x="712"/>
        <item m="1" x="400"/>
        <item m="1" x="701"/>
        <item m="1" x="389"/>
        <item m="1" x="689"/>
        <item m="1" x="376"/>
        <item m="1" x="676"/>
        <item m="1" x="361"/>
        <item m="1" x="664"/>
        <item m="1" x="351"/>
        <item m="1" x="652"/>
        <item m="1" x="337"/>
        <item m="1" x="636"/>
        <item m="1" x="773"/>
        <item m="1" x="468"/>
        <item m="1" x="765"/>
        <item m="1" x="461"/>
        <item m="1" x="757"/>
        <item m="1" x="452"/>
        <item m="1" x="751"/>
        <item m="1" x="441"/>
        <item m="1" x="743"/>
        <item m="1" x="431"/>
        <item m="1" x="732"/>
        <item m="1" x="420"/>
        <item m="1" x="721"/>
        <item m="1" x="408"/>
        <item m="1" x="710"/>
        <item m="1" x="398"/>
        <item m="1" x="699"/>
        <item m="1" x="387"/>
        <item m="1" x="687"/>
        <item m="1" x="374"/>
        <item m="1" x="674"/>
        <item m="1" x="359"/>
        <item m="1" x="662"/>
        <item m="1" x="449"/>
        <item m="1" x="349"/>
        <item m="1" x="650"/>
        <item m="1" x="336"/>
        <item m="1" x="634"/>
        <item m="1" x="323"/>
        <item m="1" x="619"/>
        <item m="1" x="310"/>
        <item m="1" x="606"/>
        <item m="1" x="450"/>
        <item m="1" x="750"/>
        <item m="1" x="439"/>
        <item m="1" x="741"/>
        <item m="1" x="429"/>
        <item m="1" x="730"/>
        <item m="1" x="418"/>
        <item m="1" x="719"/>
        <item m="1" x="406"/>
        <item m="1" x="708"/>
        <item m="1" x="396"/>
        <item m="1" x="697"/>
        <item m="1" x="385"/>
        <item m="1" x="686"/>
        <item m="1" x="371"/>
        <item m="1" x="673"/>
        <item m="1" x="358"/>
        <item m="1" x="660"/>
        <item m="1" x="347"/>
        <item m="1" x="648"/>
        <item m="1" x="334"/>
        <item m="1" x="632"/>
        <item m="1" x="321"/>
        <item m="1" x="617"/>
        <item m="1" x="309"/>
        <item m="1" x="604"/>
        <item m="1" x="298"/>
        <item m="1" x="591"/>
        <item m="1" x="288"/>
        <item m="1" x="579"/>
        <item m="1" x="739"/>
        <item m="1" x="427"/>
        <item m="1" x="728"/>
        <item m="1" x="416"/>
        <item m="1" x="717"/>
        <item m="1" x="405"/>
        <item m="1" x="706"/>
        <item m="1" x="395"/>
        <item m="1" x="695"/>
        <item m="1" x="383"/>
        <item m="1" x="684"/>
        <item m="1" x="369"/>
        <item m="1" x="671"/>
        <item m="1" x="356"/>
        <item m="1" x="658"/>
        <item m="1" x="345"/>
        <item m="1" x="646"/>
        <item m="1" x="332"/>
        <item m="1" x="629"/>
        <item m="1" x="319"/>
        <item m="1" x="615"/>
        <item m="1" x="307"/>
        <item m="1" x="602"/>
        <item m="1" x="296"/>
        <item m="1" x="589"/>
        <item m="1" x="287"/>
        <item m="1" x="578"/>
        <item m="1" x="278"/>
        <item m="1" x="567"/>
        <item m="1" x="556"/>
        <item m="1" x="404"/>
        <item m="1" x="704"/>
        <item m="1" x="393"/>
        <item m="1" x="694"/>
        <item m="1" x="381"/>
        <item m="1" x="682"/>
        <item m="1" x="367"/>
        <item m="1" x="670"/>
        <item m="1" x="354"/>
        <item m="1" x="656"/>
        <item m="1" x="343"/>
        <item m="1" x="644"/>
        <item m="1" x="330"/>
        <item m="1" x="627"/>
        <item m="1" x="317"/>
        <item m="1" x="614"/>
        <item m="1" x="305"/>
        <item m="1" x="600"/>
        <item m="1" x="295"/>
        <item m="1" x="587"/>
        <item m="1" x="566"/>
        <item m="1" x="285"/>
        <item m="1" x="576"/>
        <item m="1" x="277"/>
        <item m="1" x="415"/>
        <item m="1" x="564"/>
        <item m="1" x="269"/>
        <item m="1" x="554"/>
        <item m="1" x="263"/>
        <item m="1" x="546"/>
        <item m="1" x="538"/>
        <item m="1" x="692"/>
        <item m="1" x="379"/>
        <item m="1" x="680"/>
        <item m="1" x="365"/>
        <item m="1" x="668"/>
        <item m="1" x="353"/>
        <item m="1" x="654"/>
        <item m="1" x="341"/>
        <item m="1" x="642"/>
        <item m="1" x="328"/>
        <item m="1" x="625"/>
        <item m="1" x="315"/>
        <item m="1" x="612"/>
        <item m="1" x="303"/>
        <item m="1" x="597"/>
        <item m="1" x="293"/>
        <item m="1" x="585"/>
        <item m="1" x="283"/>
        <item m="1" x="574"/>
        <item m="1" x="275"/>
        <item m="1" x="562"/>
        <item m="1" x="267"/>
        <item m="1" x="552"/>
        <item m="1" x="261"/>
        <item m="1" x="544"/>
        <item m="1" x="254"/>
        <item m="1" x="536"/>
        <item m="1" x="247"/>
        <item m="1" x="530"/>
        <item m="1" x="240"/>
        <item m="1" x="523"/>
        <item m="1" x="339"/>
        <item m="1" x="640"/>
        <item m="1" x="326"/>
        <item m="1" x="623"/>
        <item m="1" x="313"/>
        <item m="1" x="610"/>
        <item m="1" x="301"/>
        <item m="1" x="595"/>
        <item m="1" x="291"/>
        <item m="1" x="583"/>
        <item m="1" x="281"/>
        <item m="1" x="460"/>
        <item m="1" x="572"/>
        <item m="1" x="273"/>
        <item m="1" x="560"/>
        <item m="1" x="265"/>
        <item m="1" x="550"/>
        <item m="1" x="259"/>
        <item m="1" x="542"/>
        <item m="1" x="249"/>
        <item m="1" x="252"/>
        <item m="1" x="534"/>
        <item m="1" x="245"/>
        <item m="1" x="528"/>
        <item m="1" x="238"/>
        <item m="1" x="521"/>
        <item m="1" x="235"/>
        <item m="1" x="516"/>
        <item m="1" x="229"/>
        <item m="1" x="510"/>
        <item m="1" x="638"/>
        <item m="1" x="324"/>
        <item m="1" x="621"/>
        <item m="1" x="312"/>
        <item m="1" x="608"/>
        <item m="1" x="299"/>
        <item m="1" x="593"/>
        <item m="1" x="290"/>
        <item m="1" x="581"/>
        <item m="1" x="280"/>
        <item m="1" x="570"/>
        <item m="1" x="271"/>
        <item m="1" x="558"/>
        <item m="1" x="264"/>
        <item m="1" x="548"/>
        <item m="1" x="257"/>
        <item m="1" x="540"/>
        <item m="1" x="250"/>
        <item m="1" x="532"/>
        <item m="1" x="243"/>
        <item m="1" x="526"/>
        <item m="1" x="237"/>
        <item m="1" x="519"/>
        <item m="1" x="233"/>
        <item m="1" x="514"/>
        <item m="1" x="227"/>
        <item m="1" x="508"/>
        <item m="1" x="223"/>
        <item m="1" x="504"/>
        <item m="1" x="218"/>
        <item m="1" x="500"/>
      </items>
      <extLst>
        <ext xmlns:x14="http://schemas.microsoft.com/office/spreadsheetml/2009/9/main" uri="{2946ED86-A175-432a-8AC1-64E0C546D7DE}">
          <x14:pivotField fillDownLabels="1"/>
        </ext>
      </extLst>
    </pivotField>
    <pivotField compact="0" outline="0" showAll="0" defaultSubtotal="0"/>
    <pivotField compact="0" outline="0" multipleItemSelectionAllowed="1" showAll="0"/>
    <pivotField compact="0" outline="0" multipleItemSelectionAllowed="1" showAll="0" defaultSubtotal="0">
      <items count="69">
        <item m="1" x="58"/>
        <item m="1" x="32"/>
        <item m="1" x="12"/>
        <item m="1" x="15"/>
        <item m="1" x="47"/>
        <item m="1" x="67"/>
        <item m="1" x="63"/>
        <item m="1" x="35"/>
        <item m="1" x="23"/>
        <item m="1" x="49"/>
        <item m="1" x="54"/>
        <item m="1" x="13"/>
        <item m="1" x="48"/>
        <item m="1" x="24"/>
        <item m="1" x="57"/>
        <item m="1" x="55"/>
        <item m="1" x="39"/>
        <item m="1" x="33"/>
        <item m="1" x="65"/>
        <item m="1" x="38"/>
        <item m="1" x="40"/>
        <item m="1" x="50"/>
        <item m="1" x="37"/>
        <item x="0"/>
        <item m="1" x="46"/>
        <item m="1" x="29"/>
        <item m="1" x="68"/>
        <item m="1" x="18"/>
        <item m="1" x="66"/>
        <item m="1" x="59"/>
        <item m="1" x="62"/>
        <item m="1" x="19"/>
        <item m="1" x="43"/>
        <item m="1" x="51"/>
        <item m="1" x="11"/>
        <item m="1" x="21"/>
        <item m="1" x="45"/>
        <item m="1" x="16"/>
        <item m="1" x="60"/>
        <item m="1" x="20"/>
        <item m="1" x="64"/>
        <item m="1" x="10"/>
        <item m="1" x="42"/>
        <item m="1" x="56"/>
        <item m="1" x="34"/>
        <item m="1" x="17"/>
        <item x="2"/>
        <item m="1" x="36"/>
        <item x="1"/>
        <item m="1" x="27"/>
        <item m="1" x="25"/>
        <item m="1" x="22"/>
        <item m="1" x="26"/>
        <item m="1" x="41"/>
        <item m="1" x="31"/>
        <item m="1" x="30"/>
        <item x="7"/>
        <item m="1" x="61"/>
        <item x="5"/>
        <item x="9"/>
        <item m="1" x="28"/>
        <item x="8"/>
        <item m="1" x="44"/>
        <item m="1" x="53"/>
        <item m="1" x="14"/>
        <item m="1" x="52"/>
        <item x="6"/>
        <item x="3"/>
        <item x="4"/>
      </items>
      <extLst>
        <ext xmlns:x14="http://schemas.microsoft.com/office/spreadsheetml/2009/9/main" uri="{2946ED86-A175-432a-8AC1-64E0C546D7DE}">
          <x14:pivotField fillDownLabels="1"/>
        </ext>
      </extLst>
    </pivotField>
    <pivotField compact="0" outline="0" multipleItemSelectionAllowed="1" showAll="0" defaultSubtotal="0">
      <items count="171">
        <item m="1" x="16"/>
        <item m="1" x="28"/>
        <item m="1" x="159"/>
        <item m="1" x="23"/>
        <item m="1" x="126"/>
        <item m="1" x="127"/>
        <item m="1" x="81"/>
        <item m="1" x="130"/>
        <item m="1" x="75"/>
        <item m="1" x="125"/>
        <item m="1" x="150"/>
        <item m="1" x="134"/>
        <item m="1" x="160"/>
        <item m="1" x="113"/>
        <item m="1" x="91"/>
        <item m="1" x="47"/>
        <item m="1" x="71"/>
        <item m="1" x="155"/>
        <item m="1" x="143"/>
        <item m="1" x="146"/>
        <item m="1" x="82"/>
        <item m="1" x="18"/>
        <item m="1" x="65"/>
        <item m="1" x="148"/>
        <item m="1" x="27"/>
        <item m="1" x="139"/>
        <item m="1" x="89"/>
        <item m="1" x="147"/>
        <item m="1" x="48"/>
        <item m="1" x="31"/>
        <item m="1" x="12"/>
        <item m="1" x="41"/>
        <item m="1" x="135"/>
        <item m="1" x="133"/>
        <item m="1" x="128"/>
        <item m="1" x="129"/>
        <item m="1" x="109"/>
        <item m="1" x="44"/>
        <item m="1" x="68"/>
        <item m="1" x="153"/>
        <item m="1" x="123"/>
        <item m="1" x="22"/>
        <item m="1" x="164"/>
        <item m="1" x="110"/>
        <item m="1" x="105"/>
        <item m="1" x="37"/>
        <item m="1" x="120"/>
        <item m="1" x="119"/>
        <item m="1" x="122"/>
        <item m="1" x="4"/>
        <item m="1" x="114"/>
        <item m="1" x="117"/>
        <item m="1" x="96"/>
        <item m="1" x="49"/>
        <item m="1" x="124"/>
        <item m="1" x="112"/>
        <item m="1" x="57"/>
        <item m="1" x="83"/>
        <item m="1" x="87"/>
        <item m="1" x="94"/>
        <item m="1" x="90"/>
        <item m="1" x="34"/>
        <item m="1" x="144"/>
        <item m="1" x="142"/>
        <item m="1" x="154"/>
        <item m="1" x="97"/>
        <item m="1" x="67"/>
        <item m="1" x="167"/>
        <item m="1" x="84"/>
        <item m="1" x="8"/>
        <item m="1" x="29"/>
        <item m="1" x="24"/>
        <item m="1" x="26"/>
        <item m="1" x="9"/>
        <item m="1" x="56"/>
        <item m="1" x="40"/>
        <item m="1" x="131"/>
        <item m="1" x="62"/>
        <item m="1" x="54"/>
        <item m="1" x="61"/>
        <item m="1" x="19"/>
        <item m="1" x="163"/>
        <item m="1" x="73"/>
        <item m="1" x="32"/>
        <item m="1" x="33"/>
        <item m="1" x="46"/>
        <item m="1" x="20"/>
        <item m="1" x="102"/>
        <item m="1" x="166"/>
        <item m="1" x="85"/>
        <item m="1" x="151"/>
        <item m="1" x="38"/>
        <item m="1" x="36"/>
        <item m="1" x="136"/>
        <item m="1" x="77"/>
        <item m="1" x="5"/>
        <item m="1" x="80"/>
        <item m="1" x="35"/>
        <item m="1" x="42"/>
        <item m="1" x="72"/>
        <item m="1" x="45"/>
        <item m="1" x="116"/>
        <item m="1" x="95"/>
        <item m="1" x="70"/>
        <item m="1" x="55"/>
        <item m="1" x="79"/>
        <item m="1" x="76"/>
        <item m="1" x="145"/>
        <item m="1" x="108"/>
        <item m="1" x="59"/>
        <item m="1" x="152"/>
        <item m="1" x="14"/>
        <item m="1" x="50"/>
        <item m="1" x="107"/>
        <item m="1" x="169"/>
        <item m="1" x="60"/>
        <item m="1" x="6"/>
        <item m="1" x="78"/>
        <item m="1" x="93"/>
        <item m="1" x="162"/>
        <item m="1" x="21"/>
        <item m="1" x="52"/>
        <item m="1" x="86"/>
        <item m="1" x="63"/>
        <item m="1" x="121"/>
        <item m="1" x="137"/>
        <item m="1" x="51"/>
        <item m="1" x="39"/>
        <item m="1" x="98"/>
        <item m="1" x="158"/>
        <item m="1" x="157"/>
        <item m="1" x="165"/>
        <item m="1" x="161"/>
        <item m="1" x="69"/>
        <item m="1" x="106"/>
        <item m="1" x="101"/>
        <item m="1" x="104"/>
        <item m="1" x="103"/>
        <item m="1" x="141"/>
        <item m="1" x="170"/>
        <item m="1" x="64"/>
        <item m="1" x="10"/>
        <item m="1" x="100"/>
        <item m="1" x="111"/>
        <item m="1" x="138"/>
        <item m="1" x="115"/>
        <item m="1" x="66"/>
        <item m="1" x="7"/>
        <item m="1" x="99"/>
        <item m="1" x="43"/>
        <item m="1" x="118"/>
        <item m="1" x="3"/>
        <item m="1" x="168"/>
        <item m="1" x="149"/>
        <item m="1" x="53"/>
        <item m="1" x="88"/>
        <item m="1" x="58"/>
        <item m="1" x="25"/>
        <item m="1" x="15"/>
        <item m="1" x="11"/>
        <item m="1" x="30"/>
        <item m="1" x="132"/>
        <item m="1" x="156"/>
        <item m="1" x="13"/>
        <item m="1" x="140"/>
        <item m="1" x="92"/>
        <item x="0"/>
        <item x="1"/>
        <item m="1" x="74"/>
        <item m="1" x="17"/>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95">
        <item m="1" x="80"/>
        <item m="1" x="87"/>
        <item m="1" x="91"/>
        <item x="27"/>
        <item x="14"/>
        <item x="13"/>
        <item m="1" x="92"/>
        <item m="1" x="84"/>
        <item m="1" x="94"/>
        <item m="1" x="75"/>
        <item x="56"/>
        <item x="31"/>
        <item m="1" x="77"/>
        <item m="1" x="93"/>
        <item m="1" x="86"/>
        <item m="1" x="71"/>
        <item m="1" x="89"/>
        <item m="1" x="82"/>
        <item m="1" x="76"/>
        <item x="51"/>
        <item m="1" x="85"/>
        <item m="1" x="70"/>
        <item m="1" x="81"/>
        <item m="1" x="88"/>
        <item m="1" x="72"/>
        <item x="69"/>
        <item x="60"/>
        <item m="1" x="90"/>
        <item m="1" x="74"/>
        <item x="15"/>
        <item x="66"/>
        <item x="65"/>
        <item x="58"/>
        <item x="68"/>
        <item x="17"/>
        <item x="25"/>
        <item x="29"/>
        <item x="28"/>
        <item x="46"/>
        <item x="35"/>
        <item x="42"/>
        <item x="2"/>
        <item x="59"/>
        <item x="44"/>
        <item m="1" x="79"/>
        <item x="57"/>
        <item m="1" x="83"/>
        <item x="30"/>
        <item m="1" x="78"/>
        <item x="18"/>
        <item x="11"/>
        <item x="24"/>
        <item x="9"/>
        <item x="0"/>
        <item x="67"/>
        <item x="48"/>
        <item m="1" x="73"/>
        <item x="47"/>
        <item x="12"/>
        <item x="37"/>
        <item x="61"/>
        <item x="62"/>
        <item x="63"/>
        <item x="64"/>
        <item x="6"/>
        <item x="55"/>
        <item x="36"/>
        <item x="34"/>
        <item x="4"/>
        <item x="3"/>
        <item x="19"/>
        <item x="20"/>
        <item x="21"/>
        <item x="54"/>
        <item x="53"/>
        <item x="16"/>
        <item x="52"/>
        <item x="32"/>
        <item x="7"/>
        <item x="1"/>
        <item x="49"/>
        <item x="50"/>
        <item x="43"/>
        <item x="41"/>
        <item x="39"/>
        <item x="40"/>
        <item x="45"/>
        <item x="33"/>
        <item x="10"/>
        <item x="38"/>
        <item x="8"/>
        <item x="5"/>
        <item x="26"/>
        <item x="23"/>
        <item x="2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7">
        <item m="1" x="23"/>
        <item m="1" x="15"/>
        <item m="1" x="24"/>
        <item x="2"/>
        <item m="1" x="10"/>
        <item x="1"/>
        <item m="1" x="18"/>
        <item m="1" x="21"/>
        <item m="1" x="11"/>
        <item m="1" x="26"/>
        <item m="1" x="22"/>
        <item m="1" x="16"/>
        <item m="1" x="14"/>
        <item x="7"/>
        <item m="1" x="17"/>
        <item x="5"/>
        <item x="9"/>
        <item m="1" x="19"/>
        <item x="8"/>
        <item m="1" x="25"/>
        <item m="1" x="13"/>
        <item x="0"/>
        <item m="1" x="12"/>
        <item m="1" x="20"/>
        <item x="6"/>
        <item x="3"/>
        <item x="4"/>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sortType="ascending" defaultSubtotal="0">
      <items count="3336">
        <item m="1" x="70"/>
        <item m="1" x="1988"/>
        <item m="1" x="833"/>
        <item m="1" x="1802"/>
        <item m="1" x="127"/>
        <item m="1" x="2090"/>
        <item m="1" x="178"/>
        <item m="1" x="678"/>
        <item m="1" x="613"/>
        <item m="1" x="2175"/>
        <item m="1" x="251"/>
        <item m="1" x="618"/>
        <item m="1" x="173"/>
        <item m="1" x="2830"/>
        <item m="1" x="551"/>
        <item m="1" x="133"/>
        <item m="1" x="633"/>
        <item m="1" x="1902"/>
        <item m="1" x="2561"/>
        <item m="1" x="3327"/>
        <item m="1" x="358"/>
        <item m="1" x="2930"/>
        <item m="1" x="1738"/>
        <item m="1" x="364"/>
        <item m="1" x="703"/>
        <item m="1" x="2183"/>
        <item m="1" x="2033"/>
        <item m="1" x="2451"/>
        <item m="1" x="2203"/>
        <item m="1" x="2293"/>
        <item m="1" x="1395"/>
        <item m="1" x="2655"/>
        <item m="1" x="1328"/>
        <item m="1" x="2789"/>
        <item m="1" x="2909"/>
        <item m="1" x="943"/>
        <item m="1" x="90"/>
        <item m="1" x="2449"/>
        <item m="1" x="1366"/>
        <item m="1" x="2685"/>
        <item m="1" x="2354"/>
        <item m="1" x="1379"/>
        <item m="1" x="2070"/>
        <item m="1" x="1931"/>
        <item m="1" x="297"/>
        <item m="1" x="669"/>
        <item m="1" x="384"/>
        <item m="1" x="3294"/>
        <item m="1" x="2590"/>
        <item m="1" x="1654"/>
        <item m="1" x="2898"/>
        <item m="1" x="1651"/>
        <item m="1" x="3166"/>
        <item m="1" x="2044"/>
        <item m="1" x="2110"/>
        <item m="1" x="1205"/>
        <item m="1" x="2337"/>
        <item m="1" x="1058"/>
        <item m="1" x="453"/>
        <item m="1" x="819"/>
        <item m="1" x="3140"/>
        <item m="1" x="2609"/>
        <item m="1" x="597"/>
        <item m="1" x="648"/>
        <item m="1" x="2516"/>
        <item m="1" x="2192"/>
        <item m="1" x="2232"/>
        <item m="1" x="1858"/>
        <item m="1" x="2129"/>
        <item m="1" x="1734"/>
        <item m="1" x="2096"/>
        <item m="1" x="2121"/>
        <item m="1" x="732"/>
        <item m="1" x="1795"/>
        <item m="1" x="2737"/>
        <item m="1" x="2704"/>
        <item m="1" x="1385"/>
        <item m="1" x="2848"/>
        <item m="1" x="2884"/>
        <item m="1" x="2021"/>
        <item m="1" x="2463"/>
        <item m="1" x="2174"/>
        <item m="1" x="1421"/>
        <item m="1" x="1966"/>
        <item m="1" x="270"/>
        <item m="1" x="3270"/>
        <item m="1" x="3180"/>
        <item m="1" x="979"/>
        <item m="1" x="3085"/>
        <item m="1" x="981"/>
        <item m="1" x="2730"/>
        <item m="1" x="125"/>
        <item m="1" x="698"/>
        <item m="1" x="540"/>
        <item m="1" x="1448"/>
        <item m="1" x="2688"/>
        <item m="1" x="2689"/>
        <item m="1" x="451"/>
        <item m="1" x="3121"/>
        <item m="1" x="2426"/>
        <item m="1" x="2351"/>
        <item m="1" x="1480"/>
        <item m="1" x="1766"/>
        <item m="1" x="486"/>
        <item m="1" x="2701"/>
        <item m="1" x="2374"/>
        <item m="1" x="1220"/>
        <item m="1" x="911"/>
        <item m="1" x="475"/>
        <item m="1" x="1505"/>
        <item m="1" x="2052"/>
        <item m="1" x="223"/>
        <item m="1" x="724"/>
        <item m="1" x="1681"/>
        <item m="1" x="89"/>
        <item m="1" x="2692"/>
        <item m="1" x="2434"/>
        <item m="1" x="1389"/>
        <item m="1" x="2943"/>
        <item m="1" x="2563"/>
        <item m="1" x="326"/>
        <item m="1" x="799"/>
        <item m="1" x="974"/>
        <item m="1" x="1410"/>
        <item m="1" x="2756"/>
        <item m="1" x="1353"/>
        <item m="1" x="713"/>
        <item m="1" x="2610"/>
        <item m="1" x="808"/>
        <item m="1" x="232"/>
        <item m="1" x="3006"/>
        <item m="1" x="87"/>
        <item m="1" x="2433"/>
        <item m="1" x="1882"/>
        <item m="1" x="741"/>
        <item m="1" x="1067"/>
        <item m="1" x="1278"/>
        <item m="1" x="1844"/>
        <item m="1" x="3179"/>
        <item m="1" x="1132"/>
        <item m="1" x="2294"/>
        <item m="1" x="757"/>
        <item m="1" x="736"/>
        <item m="1" x="906"/>
        <item m="1" x="785"/>
        <item m="1" x="962"/>
        <item m="1" x="320"/>
        <item m="1" x="1809"/>
        <item m="1" x="284"/>
        <item m="1" x="1563"/>
        <item m="1" x="2618"/>
        <item m="1" x="3002"/>
        <item m="1" x="3203"/>
        <item m="1" x="2881"/>
        <item m="1" x="2383"/>
        <item m="1" x="649"/>
        <item m="1" x="858"/>
        <item m="1" x="1146"/>
        <item m="1" x="1657"/>
        <item m="1" x="1696"/>
        <item m="1" x="1721"/>
        <item m="1" x="3138"/>
        <item m="1" x="245"/>
        <item m="1" x="1587"/>
        <item m="1" x="1449"/>
        <item m="1" x="160"/>
        <item m="1" x="106"/>
        <item m="1" x="793"/>
        <item m="1" x="2671"/>
        <item m="1" x="3275"/>
        <item m="1" x="489"/>
        <item m="1" x="528"/>
        <item m="1" x="3091"/>
        <item m="1" x="3027"/>
        <item m="1" x="2952"/>
        <item m="1" x="1030"/>
        <item m="1" x="1457"/>
        <item m="1" x="1092"/>
        <item m="1" x="2916"/>
        <item m="1" x="1811"/>
        <item m="1" x="2008"/>
        <item m="1" x="1891"/>
        <item m="1" x="3157"/>
        <item m="1" x="119"/>
        <item m="1" x="1173"/>
        <item m="1" x="1645"/>
        <item m="1" x="1556"/>
        <item m="1" x="1623"/>
        <item m="1" x="1683"/>
        <item m="1" x="2553"/>
        <item m="1" x="2691"/>
        <item m="1" x="1163"/>
        <item m="1" x="2497"/>
        <item m="1" x="2978"/>
        <item m="1" x="2302"/>
        <item m="1" x="1903"/>
        <item m="1" x="1720"/>
        <item m="1" x="294"/>
        <item m="1" x="375"/>
        <item m="1" x="2425"/>
        <item m="1" x="2783"/>
        <item m="1" x="3192"/>
        <item m="1" x="2370"/>
        <item m="1" x="1692"/>
        <item m="1" x="1964"/>
        <item m="1" x="1265"/>
        <item m="1" x="182"/>
        <item m="1" x="1846"/>
        <item m="1" x="1835"/>
        <item m="1" x="2048"/>
        <item m="1" x="1838"/>
        <item m="1" x="2765"/>
        <item m="1" x="2639"/>
        <item m="1" x="1552"/>
        <item m="1" x="2051"/>
        <item m="1" x="2437"/>
        <item m="1" x="932"/>
        <item m="1" x="298"/>
        <item m="1" x="1028"/>
        <item m="1" x="2573"/>
        <item m="1" x="1049"/>
        <item m="1" x="2015"/>
        <item m="1" x="1686"/>
        <item m="1" x="1798"/>
        <item m="1" x="760"/>
        <item m="1" x="1154"/>
        <item m="1" x="276"/>
        <item m="1" x="889"/>
        <item m="1" x="1778"/>
        <item m="1" x="907"/>
        <item m="1" x="1314"/>
        <item m="1" x="131"/>
        <item m="1" x="593"/>
        <item m="1" x="2062"/>
        <item m="1" x="1221"/>
        <item m="1" x="990"/>
        <item m="1" x="2435"/>
        <item m="1" x="3315"/>
        <item m="1" x="3287"/>
        <item m="1" x="1765"/>
        <item m="1" x="772"/>
        <item m="1" x="323"/>
        <item m="1" x="1228"/>
        <item m="1" x="2264"/>
        <item m="1" x="2407"/>
        <item m="1" x="756"/>
        <item m="1" x="3083"/>
        <item m="1" x="1983"/>
        <item m="1" x="1579"/>
        <item m="1" x="1502"/>
        <item m="1" x="2177"/>
        <item m="1" x="1684"/>
        <item m="1" x="1803"/>
        <item m="1" x="222"/>
        <item m="1" x="112"/>
        <item m="1" x="2199"/>
        <item m="1" x="958"/>
        <item m="1" x="388"/>
        <item m="1" x="1805"/>
        <item m="1" x="1534"/>
        <item m="1" x="1155"/>
        <item m="1" x="1586"/>
        <item m="1" x="1588"/>
        <item m="1" x="1548"/>
        <item m="1" x="1160"/>
        <item m="1" x="369"/>
        <item m="1" x="682"/>
        <item m="1" x="3266"/>
        <item m="1" x="951"/>
        <item m="1" x="357"/>
        <item m="1" x="3050"/>
        <item m="1" x="379"/>
        <item m="1" x="132"/>
        <item m="1" x="1251"/>
        <item m="1" x="2085"/>
        <item m="1" x="2456"/>
        <item m="1" x="561"/>
        <item m="1" x="1218"/>
        <item m="1" x="1610"/>
        <item m="1" x="3282"/>
        <item m="1" x="3231"/>
        <item m="1" x="3284"/>
        <item m="1" x="1120"/>
        <item m="1" x="2115"/>
        <item m="1" x="815"/>
        <item m="1" x="3224"/>
        <item m="1" x="3302"/>
        <item m="1" x="2076"/>
        <item m="1" x="584"/>
        <item m="1" x="2251"/>
        <item m="1" x="474"/>
        <item m="1" x="3195"/>
        <item m="1" x="429"/>
        <item m="1" x="1329"/>
        <item m="1" x="983"/>
        <item m="1" x="1189"/>
        <item m="1" x="1878"/>
        <item m="1" x="121"/>
        <item m="1" x="1506"/>
        <item m="1" x="645"/>
        <item m="1" x="308"/>
        <item m="1" x="1694"/>
        <item m="1" x="2269"/>
        <item m="1" x="2215"/>
        <item m="1" x="1908"/>
        <item m="1" x="2938"/>
        <item m="1" x="1998"/>
        <item m="1" x="2717"/>
        <item m="1" x="1797"/>
        <item m="1" x="476"/>
        <item m="1" x="3259"/>
        <item m="1" x="891"/>
        <item m="1" x="2274"/>
        <item m="1" x="1215"/>
        <item m="1" x="1597"/>
        <item m="1" x="2343"/>
        <item m="1" x="2315"/>
        <item m="1" x="2487"/>
        <item m="1" x="1674"/>
        <item m="1" x="1178"/>
        <item m="1" x="226"/>
        <item m="1" x="2917"/>
        <item m="1" x="957"/>
        <item m="1" x="1397"/>
        <item m="1" x="2597"/>
        <item m="1" x="3268"/>
        <item m="1" x="2892"/>
        <item m="1" x="2893"/>
        <item m="1" x="3279"/>
        <item m="1" x="3191"/>
        <item m="1" x="3066"/>
        <item m="1" x="1775"/>
        <item m="1" x="103"/>
        <item m="1" x="2341"/>
        <item m="1" x="493"/>
        <item m="1" x="2672"/>
        <item m="1" x="1666"/>
        <item m="1" x="814"/>
        <item m="1" x="1559"/>
        <item m="1" x="831"/>
        <item m="1" x="1628"/>
        <item m="1" x="1396"/>
        <item m="1" x="1042"/>
        <item m="1" x="961"/>
        <item m="1" x="763"/>
        <item m="1" x="1510"/>
        <item m="1" x="1664"/>
        <item m="1" x="2159"/>
        <item m="1" x="949"/>
        <item m="1" x="1914"/>
        <item m="1" x="3155"/>
        <item m="1" x="2956"/>
        <item m="1" x="3247"/>
        <item m="1" x="240"/>
        <item m="1" x="1295"/>
        <item m="1" x="1753"/>
        <item m="1" x="2517"/>
        <item x="4"/>
        <item x="2"/>
        <item x="3"/>
        <item x="15"/>
        <item m="1" x="1223"/>
        <item m="1" x="517"/>
        <item x="27"/>
        <item x="68"/>
        <item x="55"/>
        <item x="39"/>
        <item x="29"/>
        <item x="56"/>
        <item x="67"/>
        <item x="10"/>
        <item m="1" x="1569"/>
        <item x="40"/>
        <item x="64"/>
        <item x="58"/>
        <item x="53"/>
        <item m="1" x="2841"/>
        <item m="1" x="2847"/>
        <item m="1" x="610"/>
        <item m="1" x="663"/>
        <item m="1" x="838"/>
        <item m="1" x="695"/>
        <item m="1" x="916"/>
        <item m="1" x="495"/>
        <item m="1" x="936"/>
        <item m="1" x="2889"/>
        <item m="1" x="2887"/>
        <item m="1" x="659"/>
        <item m="1" x="1399"/>
        <item m="1" x="1052"/>
        <item m="1" x="1498"/>
        <item m="1" x="1020"/>
        <item m="1" x="1698"/>
        <item m="1" x="3326"/>
        <item m="1" x="1890"/>
        <item m="1" x="2627"/>
        <item m="1" x="925"/>
        <item m="1" x="2911"/>
        <item m="1" x="2757"/>
        <item m="1" x="2149"/>
        <item m="1" x="3303"/>
        <item m="1" x="1358"/>
        <item x="28"/>
        <item m="1" x="596"/>
        <item m="1" x="3307"/>
        <item x="47"/>
        <item m="1" x="751"/>
        <item x="5"/>
        <item m="1" x="1571"/>
        <item x="48"/>
        <item m="1" x="1388"/>
        <item x="59"/>
        <item x="41"/>
        <item m="1" x="165"/>
        <item x="30"/>
        <item x="38"/>
        <item x="42"/>
        <item x="61"/>
        <item x="62"/>
        <item x="63"/>
        <item m="1" x="1129"/>
        <item m="1" x="1864"/>
        <item m="1" x="3201"/>
        <item m="1" x="749"/>
        <item m="1" x="2406"/>
        <item m="1" x="664"/>
        <item m="1" x="2713"/>
        <item m="1" x="1665"/>
        <item m="1" x="1355"/>
        <item m="1" x="933"/>
        <item x="16"/>
        <item m="1" x="1688"/>
        <item x="14"/>
        <item x="8"/>
        <item x="66"/>
        <item m="1" x="2910"/>
        <item m="1" x="2443"/>
        <item m="1" x="2823"/>
        <item m="1" x="2146"/>
        <item m="1" x="1487"/>
        <item m="1" x="1605"/>
        <item m="1" x="1226"/>
        <item m="1" x="2860"/>
        <item m="1" x="638"/>
        <item m="1" x="3009"/>
        <item m="1" x="1181"/>
        <item m="1" x="1972"/>
        <item m="1" x="2528"/>
        <item m="1" x="1536"/>
        <item m="1" x="3291"/>
        <item m="1" x="2010"/>
        <item m="1" x="556"/>
        <item m="1" x="2522"/>
        <item m="1" x="987"/>
        <item m="1" x="3045"/>
        <item m="1" x="1577"/>
        <item m="1" x="1832"/>
        <item m="1" x="221"/>
        <item m="1" x="1892"/>
        <item m="1" x="738"/>
        <item x="52"/>
        <item m="1" x="2801"/>
        <item x="43"/>
        <item x="44"/>
        <item m="1" x="531"/>
        <item x="45"/>
        <item x="46"/>
        <item m="1" x="2670"/>
        <item x="13"/>
        <item x="25"/>
        <item x="65"/>
        <item m="1" x="1345"/>
        <item m="1" x="620"/>
        <item m="1" x="631"/>
        <item m="1" x="1857"/>
        <item m="1" x="406"/>
        <item m="1" x="1276"/>
        <item m="1" x="1060"/>
        <item x="9"/>
        <item m="1" x="728"/>
        <item m="1" x="1352"/>
        <item m="1" x="3143"/>
        <item m="1" x="774"/>
        <item m="1" x="371"/>
        <item m="1" x="2562"/>
        <item m="1" x="1208"/>
        <item m="1" x="144"/>
        <item m="1" x="1259"/>
        <item m="1" x="2498"/>
        <item m="1" x="2394"/>
        <item m="1" x="2361"/>
        <item m="1" x="2095"/>
        <item m="1" x="3169"/>
        <item m="1" x="1182"/>
        <item m="1" x="2029"/>
        <item m="1" x="3037"/>
        <item m="1" x="2824"/>
        <item m="1" x="1827"/>
        <item m="1" x="2035"/>
        <item m="1" x="317"/>
        <item m="1" x="1547"/>
        <item m="1" x="138"/>
        <item m="1" x="1794"/>
        <item m="1" x="968"/>
        <item m="1" x="3320"/>
        <item m="1" x="555"/>
        <item m="1" x="565"/>
        <item m="1" x="3229"/>
        <item m="1" x="1095"/>
        <item m="1" x="603"/>
        <item m="1" x="2828"/>
        <item m="1" x="370"/>
        <item m="1" x="2959"/>
        <item m="1" x="918"/>
        <item m="1" x="2965"/>
        <item m="1" x="1064"/>
        <item m="1" x="684"/>
        <item m="1" x="428"/>
        <item m="1" x="1787"/>
        <item m="1" x="928"/>
        <item m="1" x="1456"/>
        <item m="1" x="2245"/>
        <item m="1" x="2744"/>
        <item m="1" x="2321"/>
        <item m="1" x="3051"/>
        <item m="1" x="573"/>
        <item m="1" x="2791"/>
        <item m="1" x="3095"/>
        <item m="1" x="1501"/>
        <item m="1" x="2408"/>
        <item m="1" x="3232"/>
        <item m="1" x="2595"/>
        <item m="1" x="85"/>
        <item m="1" x="376"/>
        <item m="1" x="3123"/>
        <item m="1" x="564"/>
        <item m="1" x="2509"/>
        <item m="1" x="2966"/>
        <item m="1" x="252"/>
        <item m="1" x="2849"/>
        <item m="1" x="558"/>
        <item m="1" x="386"/>
        <item m="1" x="1057"/>
        <item m="1" x="1641"/>
        <item m="1" x="1911"/>
        <item m="1" x="2651"/>
        <item m="1" x="3150"/>
        <item m="1" x="1517"/>
        <item m="1" x="1507"/>
        <item m="1" x="2420"/>
        <item m="1" x="2873"/>
        <item m="1" x="753"/>
        <item m="1" x="881"/>
        <item m="1" x="2770"/>
        <item m="1" x="2421"/>
        <item m="1" x="258"/>
        <item m="1" x="777"/>
        <item m="1" x="2631"/>
        <item m="1" x="2678"/>
        <item m="1" x="2755"/>
        <item m="1" x="2391"/>
        <item m="1" x="1245"/>
        <item m="1" x="1499"/>
        <item m="1" x="3102"/>
        <item m="1" x="803"/>
        <item m="1" x="3242"/>
        <item m="1" x="2229"/>
        <item m="1" x="3239"/>
        <item m="1" x="2564"/>
        <item m="1" x="1703"/>
        <item m="1" x="1390"/>
        <item m="1" x="1769"/>
        <item m="1" x="174"/>
        <item m="1" x="653"/>
        <item m="1" x="998"/>
        <item m="1" x="3208"/>
        <item m="1" x="2599"/>
        <item m="1" x="2669"/>
        <item m="1" x="395"/>
        <item m="1" x="331"/>
        <item m="1" x="1461"/>
        <item m="1" x="2334"/>
        <item m="1" x="447"/>
        <item m="1" x="1087"/>
        <item m="1" x="2326"/>
        <item m="1" x="2252"/>
        <item m="1" x="1780"/>
        <item m="1" x="2227"/>
        <item m="1" x="2329"/>
        <item m="1" x="2308"/>
        <item m="1" x="2134"/>
        <item m="1" x="2116"/>
        <item m="1" x="2491"/>
        <item m="1" x="285"/>
        <item m="1" x="2228"/>
        <item m="1" x="353"/>
        <item m="1" x="1969"/>
        <item m="1" x="1557"/>
        <item m="1" x="2152"/>
        <item m="1" x="2703"/>
        <item m="1" x="115"/>
        <item m="1" x="389"/>
        <item m="1" x="1537"/>
        <item m="1" x="1428"/>
        <item m="1" x="1333"/>
        <item m="1" x="2211"/>
        <item m="1" x="3148"/>
        <item m="1" x="2657"/>
        <item m="1" x="504"/>
        <item m="1" x="421"/>
        <item m="1" x="1304"/>
        <item m="1" x="2186"/>
        <item m="1" x="3126"/>
        <item m="1" x="2852"/>
        <item m="1" x="2117"/>
        <item m="1" x="1944"/>
        <item m="1" x="2802"/>
        <item m="1" x="1719"/>
        <item m="1" x="2222"/>
        <item m="1" x="1570"/>
        <item m="1" x="1904"/>
        <item m="1" x="1634"/>
        <item m="1" x="195"/>
        <item m="1" x="454"/>
        <item m="1" x="3117"/>
        <item m="1" x="95"/>
        <item m="1" x="1951"/>
        <item m="1" x="220"/>
        <item m="1" x="991"/>
        <item m="1" x="2540"/>
        <item m="1" x="2305"/>
        <item m="1" x="2774"/>
        <item m="1" x="2082"/>
        <item m="1" x="3128"/>
        <item m="1" x="1121"/>
        <item m="1" x="1392"/>
        <item m="1" x="768"/>
        <item m="1" x="1010"/>
        <item m="1" x="283"/>
        <item m="1" x="213"/>
        <item m="1" x="2169"/>
        <item m="1" x="1206"/>
        <item m="1" x="1166"/>
        <item m="1" x="2486"/>
        <item m="1" x="2469"/>
        <item m="1" x="2481"/>
        <item m="1" x="362"/>
        <item m="1" x="365"/>
        <item m="1" x="321"/>
        <item m="1" x="2905"/>
        <item m="1" x="2804"/>
        <item m="1" x="328"/>
        <item m="1" x="1302"/>
        <item m="1" x="868"/>
        <item m="1" x="731"/>
        <item m="1" x="937"/>
        <item m="1" x="805"/>
        <item m="1" x="2696"/>
        <item m="1" x="1026"/>
        <item m="1" x="3228"/>
        <item m="1" x="1697"/>
        <item m="1" x="1486"/>
        <item m="1" x="1419"/>
        <item m="1" x="975"/>
        <item m="1" x="1126"/>
        <item m="1" x="1022"/>
        <item m="1" x="1630"/>
        <item m="1" x="2640"/>
        <item m="1" x="3124"/>
        <item m="1" x="1883"/>
        <item m="1" x="725"/>
        <item m="1" x="2810"/>
        <item m="1" x="2633"/>
        <item m="1" x="900"/>
        <item m="1" x="497"/>
        <item m="1" x="288"/>
        <item m="1" x="1102"/>
        <item m="1" x="887"/>
        <item m="1" x="2568"/>
        <item m="1" x="2220"/>
        <item m="1" x="2381"/>
        <item m="1" x="2474"/>
        <item m="1" x="1821"/>
        <item m="1" x="1745"/>
        <item m="1" x="1777"/>
        <item m="1" x="2624"/>
        <item m="1" x="1995"/>
        <item m="1" x="1568"/>
        <item m="1" x="1147"/>
        <item m="1" x="1008"/>
        <item m="1" x="278"/>
        <item m="1" x="3043"/>
        <item m="1" x="2821"/>
        <item m="1" x="2585"/>
        <item m="1" x="1572"/>
        <item m="1" x="1518"/>
        <item m="1" x="734"/>
        <item m="1" x="2041"/>
        <item m="1" x="205"/>
        <item m="1" x="218"/>
        <item m="1" x="3288"/>
        <item m="1" x="2201"/>
        <item m="1" x="2681"/>
        <item m="1" x="1308"/>
        <item m="1" x="2853"/>
        <item x="1"/>
        <item m="1" x="2054"/>
        <item m="1" x="2197"/>
        <item m="1" x="1466"/>
        <item m="1" x="559"/>
        <item m="1" x="985"/>
        <item m="1" x="1767"/>
        <item m="1" x="1801"/>
        <item m="1" x="128"/>
        <item m="1" x="505"/>
        <item m="1" x="1021"/>
        <item m="1" x="2151"/>
        <item m="1" x="529"/>
        <item m="1" x="2673"/>
        <item m="1" x="707"/>
        <item m="1" x="714"/>
        <item m="1" x="1238"/>
        <item m="1" x="1394"/>
        <item m="1" x="194"/>
        <item m="1" x="2098"/>
        <item m="1" x="2591"/>
        <item m="1" x="196"/>
        <item m="1" x="2376"/>
        <item m="1" x="1687"/>
        <item m="1" x="1037"/>
        <item m="1" x="880"/>
        <item m="1" x="2709"/>
        <item m="1" x="1290"/>
        <item m="1" x="3312"/>
        <item m="1" x="2996"/>
        <item m="1" x="407"/>
        <item m="1" x="1594"/>
        <item m="1" x="2547"/>
        <item m="1" x="1075"/>
        <item m="1" x="146"/>
        <item m="1" x="2262"/>
        <item m="1" x="238"/>
        <item m="1" x="2024"/>
        <item m="1" x="291"/>
        <item m="1" x="249"/>
        <item m="1" x="560"/>
        <item m="1" x="1551"/>
        <item m="1" x="1718"/>
        <item m="1" x="204"/>
        <item m="1" x="2056"/>
        <item m="1" x="1319"/>
        <item m="1" x="1519"/>
        <item m="1" x="1348"/>
        <item m="1" x="1578"/>
        <item m="1" x="1747"/>
        <item m="1" x="2271"/>
        <item m="1" x="623"/>
        <item m="1" x="563"/>
        <item m="1" x="2224"/>
        <item m="1" x="1522"/>
        <item m="1" x="1624"/>
        <item m="1" x="3178"/>
        <item m="1" x="1191"/>
        <item m="1" x="1168"/>
        <item m="1" x="3130"/>
        <item m="1" x="1331"/>
        <item m="1" x="2985"/>
        <item m="1" x="1196"/>
        <item m="1" x="1091"/>
        <item m="1" x="674"/>
        <item m="1" x="1617"/>
        <item m="1" x="2291"/>
        <item m="1" x="680"/>
        <item m="1" x="2414"/>
        <item m="1" x="1472"/>
        <item m="1" x="1981"/>
        <item m="1" x="2667"/>
        <item m="1" x="1725"/>
        <item m="1" x="1359"/>
        <item m="1" x="2647"/>
        <item m="1" x="1225"/>
        <item m="1" x="2488"/>
        <item m="1" x="1620"/>
        <item m="1" x="3118"/>
        <item m="1" x="1669"/>
        <item m="1" x="2832"/>
        <item m="1" x="852"/>
        <item m="1" x="2290"/>
        <item m="1" x="616"/>
        <item m="1" x="956"/>
        <item m="1" x="2812"/>
        <item m="1" x="622"/>
        <item m="1" x="3012"/>
        <item m="1" x="3088"/>
        <item m="1" x="647"/>
        <item m="1" x="2675"/>
        <item m="1" x="479"/>
        <item m="1" x="2822"/>
        <item m="1" x="1373"/>
        <item m="1" x="2935"/>
        <item m="1" x="816"/>
        <item m="1" x="2304"/>
        <item m="1" x="2702"/>
        <item m="1" x="566"/>
        <item m="1" x="2178"/>
        <item m="1" x="2941"/>
        <item m="1" x="2969"/>
        <item m="1" x="677"/>
        <item m="1" x="1236"/>
        <item m="1" x="1044"/>
        <item m="1" x="1553"/>
        <item m="1" x="1743"/>
        <item m="1" x="466"/>
        <item m="1" x="1326"/>
        <item m="1" x="1068"/>
        <item m="1" x="2311"/>
        <item m="1" x="2102"/>
        <item m="1" x="2444"/>
        <item m="1" x="2555"/>
        <item m="1" x="533"/>
        <item m="1" x="2556"/>
        <item m="1" x="2963"/>
        <item m="1" x="902"/>
        <item m="1" x="948"/>
        <item m="1" x="2773"/>
        <item m="1" x="913"/>
        <item m="1" x="661"/>
        <item m="1" x="804"/>
        <item m="1" x="104"/>
        <item m="1" x="74"/>
        <item m="1" x="256"/>
        <item m="1" x="202"/>
        <item m="1" x="1211"/>
        <item m="1" x="1108"/>
        <item m="1" x="1408"/>
        <item m="1" x="922"/>
        <item m="1" x="3174"/>
        <item m="1" x="3215"/>
        <item m="1" x="3110"/>
        <item m="1" x="865"/>
        <item m="1" x="1230"/>
        <item m="1" x="2690"/>
        <item m="1" x="312"/>
        <item m="1" x="3071"/>
        <item m="1" x="1343"/>
        <item m="1" x="1700"/>
        <item m="1" x="1096"/>
        <item m="1" x="1841"/>
        <item m="1" x="3031"/>
        <item m="1" x="1757"/>
        <item m="1" x="412"/>
        <item m="1" x="1468"/>
        <item x="34"/>
        <item m="1" x="333"/>
        <item m="1" x="363"/>
        <item m="1" x="3015"/>
        <item m="1" x="2768"/>
        <item m="1" x="2605"/>
        <item m="1" x="2040"/>
        <item m="1" x="78"/>
        <item m="1" x="550"/>
        <item m="1" x="1949"/>
        <item m="1" x="2213"/>
        <item m="1" x="2364"/>
        <item m="1" x="874"/>
        <item m="1" x="2030"/>
        <item m="1" x="1429"/>
        <item m="1" x="1644"/>
        <item m="1" x="1945"/>
        <item m="1" x="2896"/>
        <item m="1" x="1330"/>
        <item m="1" x="2218"/>
        <item m="1" x="1377"/>
        <item m="1" x="2273"/>
        <item m="1" x="1740"/>
        <item m="1" x="2906"/>
        <item m="1" x="1335"/>
        <item m="1" x="1528"/>
        <item m="1" x="237"/>
        <item m="1" x="1782"/>
        <item m="1" x="2442"/>
        <item m="1" x="711"/>
        <item m="1" x="1514"/>
        <item m="1" x="1593"/>
        <item m="1" x="1867"/>
        <item m="1" x="1682"/>
        <item m="1" x="2395"/>
        <item m="1" x="595"/>
        <item m="1" x="589"/>
        <item m="1" x="2630"/>
        <item m="1" x="217"/>
        <item m="1" x="1762"/>
        <item m="1" x="1543"/>
        <item m="1" x="1047"/>
        <item m="1" x="1272"/>
        <item m="1" x="3034"/>
        <item m="1" x="1746"/>
        <item m="1" x="764"/>
        <item m="1" x="1383"/>
        <item m="1" x="1110"/>
        <item m="1" x="992"/>
        <item m="1" x="3250"/>
        <item m="1" x="473"/>
        <item m="1" x="997"/>
        <item m="1" x="1554"/>
        <item m="1" x="1837"/>
        <item m="1" x="3059"/>
        <item m="1" x="1763"/>
        <item m="1" x="2511"/>
        <item m="1" x="2796"/>
        <item m="1" x="337"/>
        <item m="1" x="2289"/>
        <item m="1" x="2727"/>
        <item m="1" x="2809"/>
        <item m="1" x="1497"/>
        <item m="1" x="1671"/>
        <item m="1" x="2984"/>
        <item m="1" x="302"/>
        <item m="1" x="1161"/>
        <item m="1" x="491"/>
        <item m="1" x="740"/>
        <item m="1" x="702"/>
        <item m="1" x="2836"/>
        <item m="1" x="2999"/>
        <item m="1" x="1962"/>
        <item m="1" x="1889"/>
        <item m="1" x="2084"/>
        <item m="1" x="1430"/>
        <item m="1" x="953"/>
        <item m="1" x="1851"/>
        <item m="1" x="1561"/>
        <item m="1" x="3026"/>
        <item m="1" x="569"/>
        <item m="1" x="306"/>
        <item m="1" x="2107"/>
        <item m="1" x="2504"/>
        <item m="1" x="1137"/>
        <item m="1" x="2880"/>
        <item m="1" x="1626"/>
        <item m="1" x="2128"/>
        <item m="1" x="2539"/>
        <item m="1" x="2136"/>
        <item m="1" x="1973"/>
        <item m="1" x="149"/>
        <item m="1" x="894"/>
        <item m="1" x="3167"/>
        <item m="1" x="3210"/>
        <item m="1" x="1071"/>
        <item m="1" x="2130"/>
        <item m="1" x="2977"/>
        <item m="1" x="1025"/>
        <item m="1" x="726"/>
        <item m="1" x="1054"/>
        <item m="1" x="225"/>
        <item m="1" x="1839"/>
        <item m="1" x="1960"/>
        <item m="1" x="1216"/>
        <item m="1" x="1582"/>
        <item m="1" x="3160"/>
        <item m="1" x="522"/>
        <item m="1" x="2588"/>
        <item m="1" x="2296"/>
        <item m="1" x="2982"/>
        <item m="1" x="2409"/>
        <item m="1" x="2124"/>
        <item m="1" x="2652"/>
        <item m="1" x="1661"/>
        <item m="1" x="2560"/>
        <item m="1" x="455"/>
        <item m="1" x="2843"/>
        <item m="1" x="142"/>
        <item m="1" x="2524"/>
        <item m="1" x="2844"/>
        <item m="1" x="2300"/>
        <item m="1" x="646"/>
        <item m="1" x="1367"/>
        <item m="1" x="1175"/>
        <item m="1" x="2366"/>
        <item m="1" x="488"/>
        <item m="1" x="836"/>
        <item m="1" x="1520"/>
        <item m="1" x="2960"/>
        <item m="1" x="1447"/>
        <item m="1" x="1414"/>
        <item m="1" x="2806"/>
        <item m="1" x="2068"/>
        <item m="1" x="2936"/>
        <item m="1" x="467"/>
        <item m="1" x="1124"/>
        <item m="1" x="329"/>
        <item m="1" x="1247"/>
        <item m="1" x="1089"/>
        <item m="1" x="448"/>
        <item m="1" x="1145"/>
        <item m="1" x="2993"/>
        <item m="1" x="201"/>
        <item m="1" x="3199"/>
        <item m="1" x="1420"/>
        <item m="1" x="2749"/>
        <item x="7"/>
        <item m="1" x="797"/>
        <item m="1" x="2752"/>
        <item m="1" x="1090"/>
        <item m="1" x="1760"/>
        <item m="1" x="2101"/>
        <item m="1" x="3308"/>
        <item m="1" x="3056"/>
        <item m="1" x="2057"/>
        <item m="1" x="2931"/>
        <item m="1" x="1477"/>
        <item m="1" x="2700"/>
        <item m="1" x="2519"/>
        <item m="1" x="2500"/>
        <item m="1" x="1489"/>
        <item m="1" x="1400"/>
        <item m="1" x="2254"/>
        <item m="1" x="110"/>
        <item m="1" x="157"/>
        <item m="1" x="2986"/>
        <item m="1" x="2763"/>
        <item m="1" x="886"/>
        <item m="1" x="644"/>
        <item m="1" x="367"/>
        <item m="1" x="643"/>
        <item m="1" x="494"/>
        <item m="1" x="3272"/>
        <item m="1" x="1629"/>
        <item m="1" x="72"/>
        <item m="1" x="939"/>
        <item m="1" x="1825"/>
        <item m="1" x="2840"/>
        <item m="1" x="2953"/>
        <item m="1" x="163"/>
        <item m="1" x="2761"/>
        <item m="1" x="2813"/>
        <item m="1" x="823"/>
        <item m="1" x="468"/>
        <item m="1" x="1362"/>
        <item m="1" x="879"/>
        <item m="1" x="1256"/>
        <item m="1" x="1848"/>
        <item m="1" x="93"/>
        <item m="1" x="1649"/>
        <item m="1" x="3156"/>
        <item m="1" x="2257"/>
        <item m="1" x="827"/>
        <item m="1" x="1881"/>
        <item m="1" x="587"/>
        <item m="1" x="1776"/>
        <item m="1" x="181"/>
        <item m="1" x="141"/>
        <item m="1" x="1584"/>
        <item m="1" x="2659"/>
        <item m="1" x="2157"/>
        <item m="1" x="1638"/>
        <item m="1" x="1790"/>
        <item m="1" x="1081"/>
        <item m="1" x="2436"/>
        <item m="1" x="938"/>
        <item m="1" x="947"/>
        <item m="1" x="2924"/>
        <item m="1" x="1033"/>
        <item m="1" x="3122"/>
        <item m="1" x="1865"/>
        <item m="1" x="431"/>
        <item m="1" x="611"/>
        <item m="1" x="1659"/>
        <item m="1" x="324"/>
        <item m="1" x="1714"/>
        <item m="1" x="1927"/>
        <item m="1" x="2465"/>
        <item m="1" x="758"/>
        <item m="1" x="3058"/>
        <item m="1" x="1602"/>
        <item m="1" x="2150"/>
        <item m="1" x="2998"/>
        <item m="1" x="945"/>
        <item m="1" x="1913"/>
        <item m="1" x="2747"/>
        <item m="1" x="2219"/>
        <item m="1" x="3137"/>
        <item m="1" x="415"/>
        <item m="1" x="3198"/>
        <item m="1" x="1426"/>
        <item m="1" x="2990"/>
        <item m="1" x="2280"/>
        <item m="1" x="1018"/>
        <item m="1" x="2485"/>
        <item m="1" x="268"/>
        <item m="1" x="134"/>
        <item m="1" x="315"/>
        <item m="1" x="2792"/>
        <item m="1" x="2684"/>
        <item m="1" x="2862"/>
        <item m="1" x="88"/>
        <item m="1" x="2845"/>
        <item m="1" x="1806"/>
        <item m="1" x="3133"/>
        <item m="1" x="2016"/>
        <item m="1" x="1134"/>
        <item m="1" x="1305"/>
        <item m="1" x="1342"/>
        <item m="1" x="1658"/>
        <item m="1" x="3295"/>
        <item m="1" x="1898"/>
        <item m="1" x="851"/>
        <item m="1" x="897"/>
        <item m="1" x="1997"/>
        <item m="1" x="484"/>
        <item m="1" x="3297"/>
        <item m="1" x="1986"/>
        <item m="1" x="2162"/>
        <item m="1" x="1741"/>
        <item m="1" x="1580"/>
        <item m="1" x="1701"/>
        <item m="1" x="469"/>
        <item m="1" x="2583"/>
        <item m="1" x="1099"/>
        <item m="1" x="599"/>
        <item m="1" x="156"/>
        <item m="1" x="1198"/>
        <item m="1" x="854"/>
        <item m="1" x="2794"/>
        <item m="1" x="1606"/>
        <item m="1" x="413"/>
        <item m="1" x="895"/>
        <item m="1" x="1689"/>
        <item m="1" x="1078"/>
        <item m="1" x="637"/>
        <item m="1" x="2039"/>
        <item m="1" x="2886"/>
        <item m="1" x="1662"/>
        <item m="1" x="1177"/>
        <item m="1" x="2495"/>
        <item m="1" x="2275"/>
        <item m="1" x="612"/>
        <item m="1" x="652"/>
        <item m="1" x="2529"/>
        <item m="1" x="553"/>
        <item m="1" x="794"/>
        <item m="1" x="2720"/>
        <item m="1" x="2242"/>
        <item m="1" x="1340"/>
        <item m="1" x="3063"/>
        <item m="1" x="1481"/>
        <item m="1" x="3013"/>
        <item m="1" x="352"/>
        <item m="1" x="452"/>
        <item m="1" x="272"/>
        <item m="1" x="471"/>
        <item m="1" x="2026"/>
        <item m="1" x="800"/>
        <item m="1" x="2446"/>
        <item m="1" x="2992"/>
        <item m="1" x="876"/>
        <item m="1" x="870"/>
        <item m="1" x="3260"/>
        <item m="1" x="2751"/>
        <item m="1" x="1894"/>
        <item m="1" x="3070"/>
        <item m="1" x="1855"/>
        <item m="1" x="2422"/>
        <item m="1" x="1282"/>
        <item m="1" x="2868"/>
        <item m="1" x="1284"/>
        <item m="1" x="1739"/>
        <item m="1" x="1640"/>
        <item m="1" x="2277"/>
        <item m="1" x="1351"/>
        <item m="1" x="255"/>
        <item m="1" x="970"/>
        <item m="1" x="1627"/>
        <item m="1" x="3241"/>
        <item m="1" x="1915"/>
        <item m="1" x="1214"/>
        <item m="1" x="1618"/>
        <item m="1" x="1647"/>
        <item m="1" x="397"/>
        <item m="1" x="1187"/>
        <item m="1" x="1482"/>
        <item m="1" x="3131"/>
        <item m="1" x="2259"/>
        <item m="1" x="135"/>
        <item m="1" x="507"/>
        <item m="1" x="2838"/>
        <item m="1" x="692"/>
        <item m="1" x="1127"/>
        <item m="1" x="568"/>
        <item m="1" x="862"/>
        <item m="1" x="670"/>
        <item m="1" x="1702"/>
        <item m="1" x="2608"/>
        <item m="1" x="3097"/>
        <item m="1" x="3030"/>
        <item m="1" x="1540"/>
        <item m="1" x="1364"/>
        <item m="1" x="3305"/>
        <item m="1" x="1106"/>
        <item m="1" x="2601"/>
        <item m="1" x="2319"/>
        <item m="1" x="1027"/>
        <item m="1" x="1603"/>
        <item m="1" x="1982"/>
        <item m="1" x="1164"/>
        <item m="1" x="1512"/>
        <item m="1" x="1562"/>
        <item m="1" x="3151"/>
        <item m="1" x="3188"/>
        <item m="1" x="1000"/>
        <item m="1" x="393"/>
        <item m="1" x="538"/>
        <item m="1" x="924"/>
        <item m="1" x="2775"/>
        <item m="1" x="3100"/>
        <item m="1" x="2375"/>
        <item m="1" x="2307"/>
        <item m="1" x="2348"/>
        <item m="1" x="2165"/>
        <item m="1" x="1051"/>
        <item m="1" x="1495"/>
        <item m="1" x="1815"/>
        <item m="1" x="1504"/>
        <item m="1" x="2478"/>
        <item m="1" x="2499"/>
        <item m="1" x="582"/>
        <item m="1" x="361"/>
        <item m="1" x="2722"/>
        <item m="1" x="1716"/>
        <item m="1" x="2607"/>
        <item m="1" x="545"/>
        <item x="17"/>
        <item m="1" x="2338"/>
        <item m="1" x="820"/>
        <item m="1" x="1332"/>
        <item m="1" x="2184"/>
        <item m="1" x="2328"/>
        <item m="1" x="837"/>
        <item m="1" x="839"/>
        <item m="1" x="848"/>
        <item m="1" x="931"/>
        <item m="1" x="2139"/>
        <item m="1" x="2046"/>
        <item m="1" x="1772"/>
        <item m="1" x="336"/>
        <item m="1" x="418"/>
        <item m="1" x="1491"/>
        <item m="1" x="3005"/>
        <item m="1" x="83"/>
        <item m="1" x="2617"/>
        <item m="1" x="449"/>
        <item m="1" x="2158"/>
        <item m="1" x="1670"/>
        <item m="1" x="2454"/>
        <item m="1" x="2462"/>
        <item m="1" x="666"/>
        <item m="1" x="810"/>
        <item m="1" x="2067"/>
        <item m="1" x="1880"/>
        <item m="1" x="1567"/>
        <item m="1" x="2106"/>
        <item m="1" x="1872"/>
        <item m="1" x="1558"/>
        <item m="1" x="2851"/>
        <item x="57"/>
        <item m="1" x="1942"/>
        <item m="1" x="1239"/>
        <item m="1" x="2483"/>
        <item m="1" x="1515"/>
        <item m="1" x="3046"/>
        <item m="1" x="1934"/>
        <item m="1" x="3196"/>
        <item m="1" x="2718"/>
        <item m="1" x="1541"/>
        <item m="1" x="242"/>
        <item m="1" x="1529"/>
        <item m="1" x="1984"/>
        <item m="1" x="113"/>
        <item m="1" x="1546"/>
        <item m="1" x="1158"/>
        <item m="1" x="282"/>
        <item m="1" x="1761"/>
        <item m="1" x="1953"/>
        <item m="1" x="606"/>
        <item m="1" x="2602"/>
        <item m="1" x="2145"/>
        <item m="1" x="247"/>
        <item m="1" x="2901"/>
        <item m="1" x="1059"/>
        <item m="1" x="2820"/>
        <item m="1" x="2168"/>
        <item m="1" x="1656"/>
        <item m="1" x="2198"/>
        <item m="1" x="1017"/>
        <item m="1" x="2592"/>
        <item m="1" x="3172"/>
        <item m="1" x="2648"/>
        <item m="1" x="1544"/>
        <item m="1" x="403"/>
        <item m="1" x="2831"/>
        <item m="1" x="2937"/>
        <item m="1" x="1612"/>
        <item m="1" x="123"/>
        <item m="1" x="1470"/>
        <item m="1" x="359"/>
        <item m="1" x="464"/>
        <item m="1" x="955"/>
        <item m="1" x="927"/>
        <item m="1" x="1464"/>
        <item m="1" x="2133"/>
        <item m="1" x="2138"/>
        <item m="1" x="2143"/>
        <item m="1" x="1300"/>
        <item m="1" x="1980"/>
        <item m="1" x="1003"/>
        <item m="1" x="1590"/>
        <item m="1" x="2622"/>
        <item m="1" x="330"/>
        <item m="1" x="869"/>
        <item m="1" x="871"/>
        <item m="1" x="506"/>
        <item m="1" x="2066"/>
        <item m="1" x="1921"/>
        <item m="1" x="2309"/>
        <item m="1" x="1063"/>
        <item m="1" x="2127"/>
        <item m="1" x="439"/>
        <item m="1" x="301"/>
        <item m="1" x="1636"/>
        <item m="1" x="1285"/>
        <item m="1" x="921"/>
        <item m="1" x="3062"/>
        <item m="1" x="1788"/>
        <item m="1" x="1622"/>
        <item m="1" x="373"/>
        <item m="1" x="124"/>
        <item m="1" x="2196"/>
        <item m="1" x="792"/>
        <item m="1" x="628"/>
        <item m="1" x="120"/>
        <item m="1" x="1930"/>
        <item m="1" x="748"/>
        <item m="1" x="2644"/>
        <item m="1" x="1928"/>
        <item m="1" x="2569"/>
        <item m="1" x="2570"/>
        <item m="1" x="210"/>
        <item m="1" x="2520"/>
        <item m="1" x="3135"/>
        <item m="1" x="1905"/>
        <item m="1" x="2439"/>
        <item m="1" x="3052"/>
        <item m="1" x="2904"/>
        <item m="1" x="1693"/>
        <item m="1" x="2031"/>
        <item m="1" x="586"/>
        <item m="1" x="2538"/>
        <item m="1" x="427"/>
        <item m="1" x="699"/>
        <item m="1" x="211"/>
        <item m="1" x="782"/>
        <item m="1" x="1483"/>
        <item m="1" x="2577"/>
        <item m="1" x="514"/>
        <item m="1" x="1826"/>
        <item m="1" x="960"/>
        <item m="1" x="1717"/>
        <item m="1" x="1531"/>
        <item m="1" x="2891"/>
        <item m="1" x="1478"/>
        <item m="1" x="277"/>
        <item m="1" x="842"/>
        <item m="1" x="430"/>
        <item m="1" x="973"/>
        <item m="1" x="1676"/>
        <item m="1" x="2780"/>
        <item m="1" x="720"/>
        <item m="1" x="2419"/>
        <item m="1" x="3014"/>
        <item m="1" x="1526"/>
        <item m="1" x="2735"/>
        <item m="1" x="3304"/>
        <item m="1" x="1125"/>
        <item m="1" x="3112"/>
        <item m="1" x="802"/>
        <item m="1" x="1338"/>
        <item m="1" x="1237"/>
        <item m="1" x="952"/>
        <item m="1" x="1549"/>
        <item m="1" x="482"/>
        <item m="1" x="2758"/>
        <item m="1" x="1895"/>
        <item m="1" x="3278"/>
        <item m="1" x="3257"/>
        <item m="1" x="571"/>
        <item m="1" x="2336"/>
        <item m="1" x="296"/>
        <item m="1" x="853"/>
        <item m="1" x="2714"/>
        <item m="1" x="1843"/>
        <item m="1" x="1861"/>
        <item m="1" x="3165"/>
        <item m="1" x="273"/>
        <item m="1" x="1186"/>
        <item m="1" x="950"/>
        <item m="1" x="534"/>
        <item m="1" x="3299"/>
        <item m="1" x="457"/>
        <item m="1" x="1334"/>
        <item m="1" x="2396"/>
        <item m="1" x="102"/>
        <item m="1" x="2258"/>
        <item m="1" x="1417"/>
        <item m="1" x="705"/>
        <item x="33"/>
        <item x="12"/>
        <item m="1" x="773"/>
        <item m="1" x="2005"/>
        <item m="1" x="3060"/>
        <item m="1" x="3154"/>
        <item m="1" x="2759"/>
        <item m="1" x="2814"/>
        <item m="1" x="1296"/>
        <item m="1" x="1289"/>
        <item m="1" x="1156"/>
        <item m="1" x="1530"/>
        <item m="1" x="209"/>
        <item m="1" x="2118"/>
        <item m="1" x="244"/>
        <item m="1" x="458"/>
        <item m="1" x="1893"/>
        <item m="1" x="3217"/>
        <item m="1" x="1887"/>
        <item m="1" x="1613"/>
        <item m="1" x="1907"/>
        <item m="1" x="3029"/>
        <item m="1" x="527"/>
        <item m="1" x="2441"/>
        <item m="1" x="2707"/>
        <item m="1" x="2445"/>
        <item m="1" x="2012"/>
        <item m="1" x="2729"/>
        <item m="1" x="2480"/>
        <item m="1" x="396"/>
        <item m="1" x="539"/>
        <item m="1" x="3300"/>
        <item m="1" x="3129"/>
        <item m="1" x="2632"/>
        <item m="1" x="2089"/>
        <item m="1" x="1652"/>
        <item m="1" x="456"/>
        <item m="1" x="3022"/>
        <item m="1" x="1253"/>
        <item m="1" x="3181"/>
        <item m="1" x="2144"/>
        <item m="1" x="2708"/>
        <item m="1" x="1943"/>
        <item m="1" x="80"/>
        <item m="1" x="2594"/>
        <item m="1" x="1494"/>
        <item m="1" x="442"/>
        <item m="1" x="3296"/>
        <item m="1" x="1941"/>
        <item m="1" x="2578"/>
        <item m="1" x="1098"/>
        <item m="1" x="1813"/>
        <item m="1" x="601"/>
        <item m="1" x="1350"/>
        <item m="1" x="583"/>
        <item m="1" x="2616"/>
        <item m="1" x="733"/>
        <item m="1" x="459"/>
        <item m="1" x="2505"/>
        <item m="1" x="3234"/>
        <item m="1" x="2292"/>
        <item m="1" x="542"/>
        <item m="1" x="923"/>
        <item m="1" x="1446"/>
        <item m="1" x="914"/>
        <item m="1" x="3076"/>
        <item m="1" x="2858"/>
        <item m="1" x="2739"/>
        <item m="1" x="1252"/>
        <item m="1" x="1368"/>
        <item m="1" x="2223"/>
        <item m="1" x="2404"/>
        <item m="1" x="166"/>
        <item m="1" x="3324"/>
        <item m="1" x="2261"/>
        <item m="1" x="3080"/>
        <item m="1" x="690"/>
        <item m="1" x="2389"/>
        <item m="1" x="1185"/>
        <item m="1" x="2241"/>
        <item m="1" x="1375"/>
        <item m="1" x="2111"/>
        <item m="1" x="3141"/>
        <item m="1" x="1808"/>
        <item m="1" x="1493"/>
        <item m="1" x="290"/>
        <item m="1" x="1347"/>
        <item m="1" x="860"/>
        <item m="1" x="1935"/>
        <item m="1" x="2036"/>
        <item m="1" x="3113"/>
        <item m="1" x="2387"/>
        <item m="1" x="2450"/>
        <item m="1" x="672"/>
        <item m="1" x="1503"/>
        <item m="1" x="3223"/>
        <item m="1" x="2732"/>
        <item m="1" x="1320"/>
        <item m="1" x="2914"/>
        <item m="1" x="109"/>
        <item m="1" x="3093"/>
        <item m="1" x="2037"/>
        <item m="1" x="2514"/>
        <item m="1" x="346"/>
        <item m="1" x="1117"/>
        <item m="1" x="2007"/>
        <item m="1" x="1277"/>
        <item m="1" x="2642"/>
        <item m="1" x="685"/>
        <item m="1" x="3035"/>
        <item m="1" x="3158"/>
        <item m="1" x="704"/>
        <item m="1" x="3145"/>
        <item m="1" x="2721"/>
        <item m="1" x="2579"/>
        <item m="1" x="2377"/>
        <item m="1" x="366"/>
        <item m="1" x="523"/>
        <item m="1" x="818"/>
        <item m="1" x="470"/>
        <item m="1" x="499"/>
        <item m="1" x="259"/>
        <item m="1" x="2523"/>
        <item m="1" x="3264"/>
        <item m="1" x="1398"/>
        <item m="1" x="2131"/>
        <item m="1" x="1200"/>
        <item m="1" x="2398"/>
        <item m="1" x="235"/>
        <item m="1" x="1987"/>
        <item m="1" x="478"/>
        <item m="1" x="443"/>
        <item m="1" x="3271"/>
        <item m="1" x="1323"/>
        <item m="1" x="1072"/>
        <item m="1" x="2715"/>
        <item m="1" x="3018"/>
        <item m="1" x="855"/>
        <item m="1" x="577"/>
        <item m="1" x="754"/>
        <item m="1" x="1197"/>
        <item m="1" x="977"/>
        <item m="1" x="171"/>
        <item m="1" x="2003"/>
        <item m="1" x="2530"/>
        <item m="1" x="1084"/>
        <item m="1" x="2738"/>
        <item m="1" x="665"/>
        <item m="1" x="2534"/>
        <item m="1" x="1036"/>
        <item m="1" x="2743"/>
        <item m="1" x="2231"/>
        <item m="1" x="1789"/>
        <item m="1" x="512"/>
        <item m="1" x="81"/>
        <item m="1" x="747"/>
        <item m="1" x="701"/>
        <item m="1" x="1600"/>
        <item m="1" x="2064"/>
        <item m="1" x="718"/>
        <item m="1" x="1339"/>
        <item m="1" x="2846"/>
        <item m="1" x="188"/>
        <item m="1" x="1007"/>
        <item m="1" x="2468"/>
        <item m="1" x="1750"/>
        <item m="1" x="2492"/>
        <item m="1" x="2899"/>
        <item m="1" x="3073"/>
        <item m="1" x="1371"/>
        <item m="1" x="3248"/>
        <item m="1" x="2193"/>
        <item m="1" x="2912"/>
        <item m="1" x="1906"/>
        <item m="1" x="3147"/>
        <item m="1" x="863"/>
        <item m="1" x="2861"/>
        <item m="1" x="105"/>
        <item m="1" x="2019"/>
        <item m="1" x="2857"/>
        <item m="1" x="626"/>
        <item m="1" x="1207"/>
        <item m="1" x="549"/>
        <item m="1" x="2731"/>
        <item m="1" x="1001"/>
        <item m="1" x="3023"/>
        <item m="1" x="2081"/>
        <item m="1" x="2957"/>
        <item m="1" x="3177"/>
        <item m="1" x="1704"/>
        <item m="1" x="759"/>
        <item m="1" x="594"/>
        <item m="1" x="1454"/>
        <item m="1" x="2543"/>
        <item m="1" x="2510"/>
        <item m="1" x="1824"/>
        <item m="1" x="3220"/>
        <item m="1" x="2867"/>
        <item m="1" x="1555"/>
        <item m="1" x="1297"/>
        <item m="1" x="2795"/>
        <item m="1" x="2558"/>
        <item m="1" x="250"/>
        <item m="1" x="1382"/>
        <item m="1" x="1255"/>
        <item m="1" x="118"/>
        <item m="1" x="1939"/>
        <item m="1" x="1850"/>
        <item m="1" x="2949"/>
        <item m="1" x="1783"/>
        <item m="1" x="915"/>
        <item m="1" x="414"/>
        <item m="1" x="675"/>
        <item m="1" x="1677"/>
        <item m="1" x="2397"/>
        <item m="1" x="2100"/>
        <item m="1" x="671"/>
        <item m="1" x="338"/>
        <item m="1" x="537"/>
        <item m="1" x="130"/>
        <item m="1" x="1524"/>
        <item m="1" x="2994"/>
        <item m="1" x="1341"/>
        <item m="1" x="1004"/>
        <item m="1" x="3274"/>
        <item m="1" x="1046"/>
        <item m="1" x="1201"/>
        <item m="1" x="2078"/>
        <item m="1" x="1637"/>
        <item m="1" x="2327"/>
        <item m="1" x="3183"/>
        <item m="1" x="1479"/>
        <item m="1" x="2628"/>
        <item m="1" x="1860"/>
        <item m="1" x="2762"/>
        <item m="1" x="920"/>
        <item m="1" x="2286"/>
        <item x="37"/>
        <item m="1" x="716"/>
        <item m="1" x="1957"/>
        <item m="1" x="1770"/>
        <item m="1" x="2279"/>
        <item m="1" x="2535"/>
        <item m="1" x="2922"/>
        <item m="1" x="3049"/>
        <item m="1" x="2473"/>
        <item m="1" x="2390"/>
        <item m="1" x="503"/>
        <item m="1" x="2470"/>
        <item m="1" x="2105"/>
        <item m="1" x="872"/>
        <item m="1" x="1598"/>
        <item m="1" x="1386"/>
        <item m="1" x="1435"/>
        <item m="1" x="2629"/>
        <item m="1" x="423"/>
        <item m="1" x="1800"/>
        <item m="1" x="752"/>
        <item m="1" x="2637"/>
        <item m="1" x="591"/>
        <item m="1" x="867"/>
        <item m="1" x="2923"/>
        <item m="1" x="2546"/>
        <item m="1" x="2928"/>
        <item m="1" x="2950"/>
        <item m="1" x="177"/>
        <item m="1" x="2976"/>
        <item m="1" x="2368"/>
        <item m="1" x="3265"/>
        <item m="1" x="2769"/>
        <item m="1" x="2027"/>
        <item m="1" x="2120"/>
        <item m="1" x="745"/>
        <item m="1" x="1321"/>
        <item m="1" x="1202"/>
        <item m="1" x="1786"/>
        <item m="1" x="224"/>
        <item m="1" x="687"/>
        <item m="1" x="243"/>
        <item m="1" x="1425"/>
        <item m="1" x="2649"/>
        <item m="1" x="345"/>
        <item m="1" x="2207"/>
        <item m="1" x="650"/>
        <item m="1" x="2187"/>
        <item m="1" x="2113"/>
        <item m="1" x="3236"/>
        <item m="1" x="2344"/>
        <item m="1" x="1267"/>
        <item m="1" x="1310"/>
        <item m="1" x="463"/>
        <item m="1" x="322"/>
        <item m="1" x="2438"/>
        <item m="1" x="3101"/>
        <item m="1" x="651"/>
        <item m="1" x="1159"/>
        <item m="1" x="776"/>
        <item m="1" x="2975"/>
        <item m="1" x="2584"/>
        <item m="1" x="1337"/>
        <item m="1" x="1303"/>
        <item m="1" x="2580"/>
        <item m="1" x="398"/>
        <item m="1" x="1490"/>
        <item m="1" x="3301"/>
        <item m="1" x="2108"/>
        <item m="1" x="2951"/>
        <item m="1" x="162"/>
        <item m="1" x="1963"/>
        <item m="1" x="518"/>
        <item m="1" x="1792"/>
        <item m="1" x="1270"/>
        <item m="1" x="2385"/>
        <item m="1" x="1884"/>
        <item m="1" x="1919"/>
        <item m="1" x="2447"/>
        <item m="1" x="2362"/>
        <item m="1" x="2017"/>
        <item m="1" x="2508"/>
        <item m="1" x="2536"/>
        <item m="1" x="1755"/>
        <item m="1" x="888"/>
        <item m="1" x="2072"/>
        <item m="1" x="1012"/>
        <item m="1" x="856"/>
        <item m="1" x="1188"/>
        <item m="1" x="2697"/>
        <item m="1" x="2581"/>
        <item m="1" x="2864"/>
        <item m="1" x="1050"/>
        <item m="1" x="1450"/>
        <item m="1" x="200"/>
        <item m="1" x="2698"/>
        <item m="1" x="176"/>
        <item m="1" x="2088"/>
        <item m="1" x="1599"/>
        <item m="1" x="1708"/>
        <item m="1" x="84"/>
        <item m="1" x="746"/>
        <item m="1" x="1219"/>
        <item m="1" x="755"/>
        <item m="1" x="882"/>
        <item m="1" x="642"/>
        <item m="1" x="1411"/>
        <item m="1" x="1866"/>
        <item m="1" x="2049"/>
        <item m="1" x="1764"/>
        <item m="1" x="2787"/>
        <item m="1" x="441"/>
        <item m="1" x="662"/>
        <item m="1" x="1292"/>
        <item m="1" x="2850"/>
        <item m="1" x="635"/>
        <item m="1" x="409"/>
        <item m="1" x="588"/>
        <item m="1" x="2834"/>
        <item m="1" x="1999"/>
        <item m="1" x="2541"/>
        <item m="1" x="1709"/>
        <item m="1" x="2206"/>
        <item m="1" x="1910"/>
        <item m="1" x="114"/>
        <item m="1" x="191"/>
        <item m="1" x="140"/>
        <item m="1" x="744"/>
        <item m="1" x="1157"/>
        <item m="1" x="1229"/>
        <item m="1" x="1019"/>
        <item m="1" x="1257"/>
        <item m="1" x="2172"/>
        <item m="1" x="2557"/>
        <item m="1" x="1301"/>
        <item m="1" x="2566"/>
        <item m="1" x="2587"/>
        <item m="1" x="617"/>
        <item m="1" x="2988"/>
        <item m="1" x="2908"/>
        <item m="1" x="824"/>
        <item m="1" x="592"/>
        <item m="1" x="492"/>
        <item m="1" x="246"/>
        <item m="1" x="1834"/>
        <item m="1" x="1015"/>
        <item m="1" x="2225"/>
        <item m="1" x="786"/>
        <item m="1" x="719"/>
        <item m="1" x="2216"/>
        <item m="1" x="280"/>
        <item m="1" x="2475"/>
        <item m="1" x="536"/>
        <item m="1" x="2270"/>
        <item m="1" x="3309"/>
        <item m="1" x="1542"/>
        <item x="19"/>
        <item m="1" x="619"/>
        <item x="20"/>
        <item m="1" x="417"/>
        <item m="1" x="965"/>
        <item x="21"/>
        <item m="1" x="234"/>
        <item m="1" x="1532"/>
        <item m="1" x="1422"/>
        <item m="1" x="866"/>
        <item m="1" x="164"/>
        <item m="1" x="3016"/>
        <item m="1" x="630"/>
        <item m="1" x="2303"/>
        <item m="1" x="2266"/>
        <item m="1" x="686"/>
        <item m="1" x="3068"/>
        <item m="1" x="532"/>
        <item m="1" x="2281"/>
        <item m="1" x="2803"/>
        <item m="1" x="3003"/>
        <item m="1" x="3115"/>
        <item m="1" x="1900"/>
        <item m="1" x="2137"/>
        <item m="1" x="432"/>
        <item m="1" x="356"/>
        <item m="1" x="694"/>
        <item m="1" x="3084"/>
        <item m="1" x="1635"/>
        <item m="1" x="1831"/>
        <item m="1" x="2710"/>
        <item m="1" x="1781"/>
        <item m="1" x="513"/>
        <item m="1" x="2430"/>
        <item m="1" x="3222"/>
        <item m="1" x="1920"/>
        <item m="1" x="2574"/>
        <item m="1" x="2156"/>
        <item m="1" x="1011"/>
        <item m="1" x="3182"/>
        <item m="1" x="1500"/>
        <item m="1" x="2332"/>
        <item m="1" x="2979"/>
        <item m="1" x="1535"/>
        <item m="1" x="1573"/>
        <item m="1" x="1105"/>
        <item m="1" x="286"/>
        <item m="1" x="1093"/>
        <item m="1" x="167"/>
        <item m="1" x="1403"/>
        <item m="1" x="2009"/>
        <item m="1" x="2987"/>
        <item m="1" x="2384"/>
        <item m="1" x="2109"/>
        <item m="1" x="1985"/>
        <item m="1" x="1667"/>
        <item m="1" x="3065"/>
        <item m="1" x="2798"/>
        <item m="1" x="2856"/>
        <item m="1" x="2818"/>
        <item m="1" x="305"/>
        <item m="1" x="2604"/>
        <item m="1" x="1432"/>
        <item m="1" x="2074"/>
        <item m="1" x="1241"/>
        <item m="1" x="1318"/>
        <item m="1" x="206"/>
        <item m="1" x="1006"/>
        <item m="1" x="861"/>
        <item m="1" x="1751"/>
        <item m="1" x="3325"/>
        <item m="1" x="1956"/>
        <item m="1" x="187"/>
        <item m="1" x="2119"/>
        <item m="1" x="1646"/>
        <item m="1" x="2413"/>
        <item m="1" x="2114"/>
        <item m="1" x="917"/>
        <item m="1" x="1140"/>
        <item m="1" x="2606"/>
        <item m="1" x="2427"/>
        <item m="1" x="864"/>
        <item m="1" x="567"/>
        <item m="1" x="604"/>
        <item m="1" x="2666"/>
        <item m="1" x="2842"/>
        <item m="1" x="999"/>
        <item m="1" x="2537"/>
        <item m="1" x="3079"/>
        <item m="1" x="3194"/>
        <item m="1" x="2260"/>
        <item m="1" x="1852"/>
        <item m="1" x="2894"/>
        <item m="1" x="1369"/>
        <item m="1" x="1190"/>
        <item m="1" x="2045"/>
        <item m="1" x="969"/>
        <item m="1" x="2711"/>
        <item m="1" x="1444"/>
        <item m="1" x="3316"/>
        <item m="1" x="1675"/>
        <item m="1" x="197"/>
        <item m="1" x="2544"/>
        <item m="1" x="1947"/>
        <item m="1" x="2871"/>
        <item m="1" x="515"/>
        <item m="1" x="2182"/>
        <item m="1" x="2611"/>
        <item m="1" x="2235"/>
        <item m="1" x="602"/>
        <item m="1" x="535"/>
        <item m="1" x="787"/>
        <item m="1" x="1991"/>
        <item m="1" x="2921"/>
        <item m="1" x="2496"/>
        <item m="1" x="715"/>
        <item m="1" x="2494"/>
        <item m="1" x="2502"/>
        <item m="1" x="835"/>
        <item m="1" x="801"/>
        <item m="1" x="2099"/>
        <item m="1" x="73"/>
        <item m="1" x="408"/>
        <item m="1" x="700"/>
        <item m="1" x="1965"/>
        <item m="1" x="1380"/>
        <item m="1" x="2918"/>
        <item m="1" x="812"/>
        <item m="1" x="1723"/>
        <item m="1" x="2001"/>
        <item m="1" x="1592"/>
        <item m="1" x="3187"/>
        <item m="1" x="2287"/>
        <item m="1" x="2440"/>
        <item m="1" x="1069"/>
        <item m="1" x="2004"/>
        <item m="1" x="729"/>
        <item m="1" x="1917"/>
        <item m="1" x="1869"/>
        <item m="1" x="207"/>
        <item m="1" x="1151"/>
        <item m="1" x="274"/>
        <item m="1" x="1438"/>
        <item m="1" x="438"/>
        <item m="1" x="519"/>
        <item m="1" x="1254"/>
        <item m="1" x="2533"/>
        <item m="1" x="2964"/>
        <item m="1" x="1014"/>
        <item m="1" x="2876"/>
        <item m="1" x="1653"/>
        <item m="1" x="1260"/>
        <item m="1" x="1043"/>
        <item m="1" x="1779"/>
        <item m="1" x="2614"/>
        <item m="1" x="254"/>
        <item m="1" x="1384"/>
        <item m="1" x="3064"/>
        <item m="1" x="2615"/>
        <item m="1" x="1856"/>
        <item m="1" x="3116"/>
        <item m="1" x="1070"/>
        <item m="1" x="2356"/>
        <item m="1" x="1576"/>
        <item m="1" x="3086"/>
        <item m="1" x="3322"/>
        <item m="1" x="1233"/>
        <item m="1" x="909"/>
        <item m="1" x="392"/>
        <item m="1" x="1715"/>
        <item m="1" x="1273"/>
        <item m="1" x="2559"/>
        <item m="1" x="3004"/>
        <item m="1" x="1929"/>
        <item m="1" x="526"/>
        <item m="1" x="605"/>
        <item m="1" x="1179"/>
        <item m="1" x="2038"/>
        <item m="1" x="2359"/>
        <item m="1" x="1948"/>
        <item m="1" x="2736"/>
        <item m="1" x="3298"/>
        <item m="1" x="2233"/>
        <item m="1" x="1101"/>
        <item m="1" x="989"/>
        <item m="1" x="1094"/>
        <item m="1" x="2415"/>
        <item m="1" x="766"/>
        <item m="1" x="1994"/>
        <item m="1" x="1346"/>
        <item m="1" x="2379"/>
        <item m="1" x="275"/>
        <item m="1" x="3238"/>
        <item m="1" x="2324"/>
        <item m="1" x="184"/>
        <item m="1" x="1748"/>
        <item m="1" x="1678"/>
        <item m="1" x="1485"/>
        <item m="1" x="2991"/>
        <item m="1" x="2902"/>
        <item m="1" x="509"/>
        <item m="1" x="2885"/>
        <item m="1" x="2479"/>
        <item m="1" x="2355"/>
        <item m="1" x="1784"/>
        <item m="1" x="1097"/>
        <item m="1" x="1406"/>
        <item m="1" x="524"/>
        <item m="1" x="2077"/>
        <item m="1" x="2352"/>
        <item m="1" x="2283"/>
        <item m="1" x="416"/>
        <item m="1" x="508"/>
        <item m="1" x="1123"/>
        <item m="1" x="2253"/>
        <item m="1" x="2997"/>
        <item m="1" x="2086"/>
        <item m="1" x="640"/>
        <item m="1" x="2621"/>
        <item m="1" x="3255"/>
        <item m="1" x="1437"/>
        <item m="1" x="1616"/>
        <item m="1" x="444"/>
        <item m="1" x="2431"/>
        <item m="1" x="3281"/>
        <item m="1" x="1830"/>
        <item m="1" x="2927"/>
        <item m="1" x="2457"/>
        <item m="1" x="1136"/>
        <item m="1" x="988"/>
        <item m="1" x="607"/>
        <item m="1" x="1416"/>
        <item m="1" x="717"/>
        <item m="1" x="487"/>
        <item m="1" x="2267"/>
        <item m="1" x="1879"/>
        <item m="1" x="2323"/>
        <item m="1" x="1086"/>
        <item m="1" x="1222"/>
        <item m="1" x="2507"/>
        <item m="1" x="91"/>
        <item m="1" x="2811"/>
        <item m="1" x="1976"/>
        <item m="1" x="472"/>
        <item m="1" x="1735"/>
        <item m="1" x="3267"/>
        <item m="1" x="3273"/>
        <item m="1" x="2554"/>
        <item m="1" x="343"/>
        <item m="1" x="1311"/>
        <item m="1" x="1874"/>
        <item m="1" x="1441"/>
        <item m="1" x="2746"/>
        <item m="1" x="780"/>
        <item m="1" x="2874"/>
        <item m="1" x="2728"/>
        <item m="1" x="926"/>
        <item m="1" x="3212"/>
        <item m="1" x="2221"/>
        <item m="1" x="2349"/>
        <item m="1" x="3054"/>
        <item m="1" x="3149"/>
        <item m="1" x="3289"/>
        <item m="1" x="1258"/>
        <item m="1" x="1977"/>
        <item m="1" x="2243"/>
        <item m="1" x="2472"/>
        <item m="1" x="2925"/>
        <item m="1" x="1909"/>
        <item m="1" x="2022"/>
        <item m="1" x="910"/>
        <item m="1" x="3077"/>
        <item m="1" x="265"/>
        <item m="1" x="1611"/>
        <item m="1" x="935"/>
        <item m="1" x="627"/>
        <item m="1" x="2011"/>
        <item m="1" x="433"/>
        <item m="1" x="1633"/>
        <item m="1" x="1210"/>
        <item m="1" x="576"/>
        <item m="1" x="2897"/>
        <item m="1" x="600"/>
        <item m="1" x="185"/>
        <item m="1" x="2575"/>
        <item m="1" x="1707"/>
        <item m="1" x="995"/>
        <item m="1" x="798"/>
        <item m="1" x="3081"/>
        <item m="1" x="511"/>
        <item m="1" x="590"/>
        <item m="1" x="3119"/>
        <item m="1" x="2340"/>
        <item m="1" x="2200"/>
        <item m="1" x="289"/>
        <item m="1" x="2140"/>
        <item m="1" x="2766"/>
        <item m="1" x="1150"/>
        <item m="1" x="1508"/>
        <item m="1" x="2781"/>
        <item m="1" x="3061"/>
        <item m="1" x="2087"/>
        <item m="1" x="147"/>
        <item m="1" x="2025"/>
        <item m="1" x="342"/>
        <item m="1" x="2954"/>
        <item m="1" x="1294"/>
        <item m="1" x="2501"/>
        <item m="1" x="1031"/>
        <item m="1" x="401"/>
        <item m="1" x="3038"/>
        <item m="1" x="2298"/>
        <item m="1" x="1888"/>
        <item m="1" x="3103"/>
        <item m="1" x="554"/>
        <item m="1" x="2372"/>
        <item m="1" x="3176"/>
        <item m="1" x="1475"/>
        <item m="1" x="1170"/>
        <item m="1" x="3319"/>
        <item m="1" x="830"/>
        <item m="1" x="3019"/>
        <item m="1" x="1896"/>
        <item m="1" x="2636"/>
        <item m="1" x="212"/>
        <item m="1" x="813"/>
        <item m="1" x="136"/>
        <item m="1" x="2412"/>
        <item m="1" x="2028"/>
        <item m="1" x="890"/>
        <item m="1" x="1249"/>
        <item m="1" x="2776"/>
        <item m="1" x="2002"/>
        <item m="1" x="3263"/>
        <item m="1" x="1538"/>
        <item m="1" x="1217"/>
        <item m="1" x="1299"/>
        <item m="1" x="129"/>
        <item m="1" x="1793"/>
        <item m="1" x="1862"/>
        <item m="1" x="1118"/>
        <item m="1" x="264"/>
        <item m="1" x="437"/>
        <item m="1" x="99"/>
        <item m="1" x="1961"/>
        <item m="1" x="1680"/>
        <item m="1" x="2645"/>
        <item m="1" x="762"/>
        <item m="1" x="1148"/>
        <item m="1" x="1104"/>
        <item m="1" x="1492"/>
        <item m="1" x="1103"/>
        <item m="1" x="2205"/>
        <item m="1" x="2786"/>
        <item m="1" x="3221"/>
        <item m="1" x="2058"/>
        <item m="1" x="2947"/>
        <item m="1" x="2322"/>
        <item m="1" x="944"/>
        <item m="1" x="2239"/>
        <item m="1" x="405"/>
        <item m="1" x="3067"/>
        <item m="1" x="3108"/>
        <item m="1" x="1073"/>
        <item m="1" x="2464"/>
        <item m="1" x="840"/>
        <item m="1" x="904"/>
        <item m="1" x="978"/>
        <item m="1" x="3069"/>
        <item m="1" x="3072"/>
        <item m="1" x="3226"/>
        <item m="1" x="634"/>
        <item m="1" x="340"/>
        <item m="1" x="2526"/>
        <item m="1" x="3090"/>
        <item m="1" x="1471"/>
        <item m="1" x="1381"/>
        <item m="1" x="2400"/>
        <item m="1" x="1818"/>
        <item m="1" x="3010"/>
        <item m="1" x="2018"/>
        <item m="1" x="2358"/>
        <item m="1" x="575"/>
        <item m="1" x="3152"/>
        <item m="1" x="520"/>
        <item m="1" x="139"/>
        <item m="1" x="781"/>
        <item m="1" x="883"/>
        <item m="1" x="1971"/>
        <item m="1" x="2006"/>
        <item m="1" x="1785"/>
        <item m="1" x="2284"/>
        <item x="11"/>
        <item m="1" x="2712"/>
        <item m="1" x="1871"/>
        <item m="1" x="3209"/>
        <item m="1" x="3334"/>
        <item m="1" x="2448"/>
        <item m="1" x="3032"/>
        <item m="1" x="2142"/>
        <item m="1" x="2771"/>
        <item m="1" x="1631"/>
        <item m="1" x="1897"/>
        <item m="1" x="1932"/>
        <item m="1" x="2234"/>
        <item m="1" x="2163"/>
        <item m="1" x="2301"/>
        <item m="1" x="3184"/>
        <item m="1" x="180"/>
        <item m="1" x="208"/>
        <item m="1" x="354"/>
        <item m="1" x="516"/>
        <item m="1" x="3283"/>
        <item m="1" x="1564"/>
        <item m="1" x="2682"/>
        <item m="1" x="877"/>
        <item m="1" x="263"/>
        <item m="1" x="2989"/>
        <item m="1" x="2970"/>
        <item m="1" x="79"/>
        <item m="1" x="3213"/>
        <item m="1" x="3310"/>
        <item m="1" x="2392"/>
        <item m="1" x="1199"/>
        <item m="1" x="2097"/>
        <item m="1" x="2342"/>
        <item m="1" x="3197"/>
        <item m="1" x="1009"/>
        <item m="1" x="1032"/>
        <item m="1" x="1112"/>
        <item m="1" x="1194"/>
        <item m="1" x="1212"/>
        <item m="1" x="2668"/>
        <item m="1" x="2865"/>
        <item m="1" x="3332"/>
        <item m="1" x="2490"/>
        <item m="1" x="2423"/>
        <item m="1" x="2132"/>
        <item m="1" x="1404"/>
        <item m="1" x="2550"/>
        <item m="1" x="351"/>
        <item m="1" x="2793"/>
        <item m="1" x="480"/>
        <item m="1" x="1144"/>
        <item m="1" x="2285"/>
        <item m="1" x="97"/>
        <item m="1" x="2549"/>
        <item m="1" x="230"/>
        <item m="1" x="3246"/>
        <item m="1" x="1313"/>
        <item m="1" x="552"/>
        <item m="1" x="1992"/>
        <item m="1" x="1306"/>
        <item m="1" x="893"/>
        <item m="1" x="1325"/>
        <item m="1" x="1434"/>
        <item m="1" x="279"/>
        <item m="1" x="1545"/>
        <item m="1" x="2014"/>
        <item m="1" x="3048"/>
        <item m="1" x="311"/>
        <item m="1" x="2247"/>
        <item m="1" x="2237"/>
        <item m="1" x="1143"/>
        <item m="1" x="1378"/>
        <item m="1" x="1836"/>
        <item m="1" x="986"/>
        <item m="1" x="972"/>
        <item m="1" x="2210"/>
        <item m="1" x="2013"/>
        <item m="1" x="3105"/>
        <item m="1" x="2135"/>
        <item m="1" x="347"/>
        <item m="1" x="1085"/>
        <item m="1" x="743"/>
        <item m="1" x="168"/>
        <item m="1" x="2369"/>
        <item m="1" x="2141"/>
        <item m="1" x="1607"/>
        <item m="1" x="2571"/>
        <item m="1" x="1736"/>
        <item m="1" x="1621"/>
        <item x="26"/>
        <item m="1" x="1854"/>
        <item m="1" x="3000"/>
        <item m="1" x="1655"/>
        <item m="1" x="1133"/>
        <item m="1" x="723"/>
        <item m="1" x="3142"/>
        <item m="1" x="1840"/>
        <item m="1" x="380"/>
        <item m="1" x="1283"/>
        <item m="1" x="789"/>
        <item m="1" x="1469"/>
        <item m="1" x="1511"/>
        <item m="1" x="1979"/>
        <item m="1" x="271"/>
        <item m="1" x="941"/>
        <item m="1" x="3186"/>
        <item m="1" x="1660"/>
        <item m="1" x="809"/>
        <item m="1" x="1730"/>
        <item m="1" x="2687"/>
        <item m="1" x="3161"/>
        <item m="1" x="1863"/>
        <item m="1" x="2371"/>
        <item m="1" x="3175"/>
        <item m="1" x="1724"/>
        <item m="1" x="3082"/>
        <item m="1" x="1474"/>
        <item m="1" x="2882"/>
        <item m="1" x="1165"/>
        <item m="1" x="660"/>
        <item m="1" x="1967"/>
        <item m="1" x="3256"/>
        <item m="1" x="261"/>
        <item m="1" x="1609"/>
        <item m="1" x="1713"/>
        <item m="1" x="984"/>
        <item m="1" x="2238"/>
        <item m="1" x="3207"/>
        <item m="1" x="2282"/>
        <item m="1" x="1248"/>
        <item m="1" x="3205"/>
        <item m="1" x="1401"/>
        <item m="1" x="2740"/>
        <item m="1" x="657"/>
        <item m="1" x="2065"/>
        <item m="1" x="3053"/>
        <item m="1" x="1722"/>
        <item x="35"/>
        <item m="1" x="2363"/>
        <item m="1" x="3096"/>
        <item m="1" x="1131"/>
        <item m="1" x="1604"/>
        <item m="1" x="1728"/>
        <item m="1" x="2185"/>
        <item m="1" x="2318"/>
        <item m="1" x="229"/>
        <item m="1" x="2779"/>
        <item m="1" x="722"/>
        <item m="1" x="2784"/>
        <item m="1" x="2399"/>
        <item m="1" x="3106"/>
        <item m="1" x="1038"/>
        <item m="1" x="779"/>
        <item m="1" x="1842"/>
        <item m="1" x="614"/>
        <item m="1" x="1632"/>
        <item m="1" x="770"/>
        <item m="1" x="1817"/>
        <item m="1" x="625"/>
        <item m="1" x="2325"/>
        <item m="1" x="959"/>
        <item m="1" x="1243"/>
        <item m="1" x="2244"/>
        <item m="1" x="2195"/>
        <item m="1" x="2596"/>
        <item m="1" x="1814"/>
        <item m="1" x="1415"/>
        <item m="1" x="1442"/>
        <item m="1" x="440"/>
        <item m="1" x="419"/>
        <item m="1" x="2214"/>
        <item m="1" x="1816"/>
        <item m="1" x="3261"/>
        <item m="1" x="2866"/>
        <item m="1" x="1458"/>
        <item m="1" x="1460"/>
        <item m="1" x="2955"/>
        <item m="1" x="1993"/>
        <item m="1" x="1756"/>
        <item m="1" x="183"/>
        <item m="1" x="696"/>
        <item x="69"/>
        <item m="1" x="1016"/>
        <item m="1" x="1859"/>
        <item x="49"/>
        <item x="60"/>
        <item x="54"/>
        <item x="50"/>
        <item m="1" x="295"/>
        <item m="1" x="2933"/>
        <item m="1" x="1916"/>
        <item m="1" x="2582"/>
        <item x="18"/>
        <item m="1" x="1224"/>
        <item m="1" x="2545"/>
        <item m="1" x="96"/>
        <item m="1" x="1527"/>
        <item m="1" x="2330"/>
        <item m="1" x="1402"/>
        <item m="1" x="3146"/>
        <item m="1" x="2973"/>
        <item m="1" x="2346"/>
        <item m="1" x="3254"/>
        <item m="1" x="339"/>
        <item m="1" x="316"/>
        <item m="1" x="2208"/>
        <item m="1" x="562"/>
        <item m="1" x="500"/>
        <item m="1" x="706"/>
        <item m="1" x="1184"/>
        <item m="1" x="1142"/>
        <item m="1" x="2945"/>
        <item m="1" x="2288"/>
        <item m="1" x="1180"/>
        <item m="1" x="75"/>
        <item m="1" x="3292"/>
        <item m="1" x="1625"/>
        <item m="1" x="3111"/>
        <item m="1" x="1240"/>
        <item m="1" x="2797"/>
        <item m="1" x="2104"/>
        <item m="1" x="2542"/>
        <item m="1" x="2094"/>
        <item m="1" x="828"/>
        <item m="1" x="2080"/>
        <item m="1" x="896"/>
        <item m="1" x="189"/>
        <item x="23"/>
        <item m="1" x="86"/>
        <item m="1" x="1918"/>
        <item m="1" x="2967"/>
        <item m="1" x="368"/>
        <item m="1" x="1370"/>
        <item m="1" x="319"/>
        <item m="1" x="624"/>
        <item m="1" x="465"/>
        <item m="1" x="1451"/>
        <item m="1" x="2567"/>
        <item m="1" x="2122"/>
        <item m="1" x="632"/>
        <item m="1" x="1459"/>
        <item m="1" x="1336"/>
        <item m="1" x="2482"/>
        <item m="1" x="1521"/>
        <item m="1" x="1899"/>
        <item m="1" x="1424"/>
        <item m="1" x="1433"/>
        <item m="1" x="1271"/>
        <item m="1" x="3331"/>
        <item m="1" x="2306"/>
        <item m="1" x="1234"/>
        <item m="1" x="2458"/>
        <item m="1" x="1204"/>
        <item m="1" x="228"/>
        <item m="1" x="1453"/>
        <item m="1" x="873"/>
        <item m="1" x="2460"/>
        <item m="1" x="1950"/>
        <item m="1" x="2589"/>
        <item m="1" x="1167"/>
        <item m="1" x="2532"/>
        <item m="1" x="2572"/>
        <item m="1" x="544"/>
        <item m="1" x="3171"/>
        <item m="1" x="2073"/>
        <item m="1" x="155"/>
        <item m="1" x="3007"/>
        <item m="1" x="769"/>
        <item m="1" x="2895"/>
        <item m="1" x="1924"/>
        <item m="1" x="1614"/>
        <item m="1" x="2189"/>
        <item m="1" x="1796"/>
        <item m="1" x="3042"/>
        <item m="1" x="2265"/>
        <item m="1" x="425"/>
        <item m="1" x="832"/>
        <item m="1" x="2380"/>
        <item m="1" x="233"/>
        <item m="1" x="1706"/>
        <item m="1" x="2829"/>
        <item m="1" x="1176"/>
        <item m="1" x="1539"/>
        <item m="1" x="3134"/>
        <item m="1" x="1925"/>
        <item m="1" x="976"/>
        <item m="1" x="845"/>
        <item m="1" x="1975"/>
        <item m="1" x="2103"/>
        <item m="1" x="1162"/>
        <item m="1" x="2665"/>
        <item m="1" x="1357"/>
        <item m="1" x="1690"/>
        <item m="1" x="1877"/>
        <item m="1" x="656"/>
        <item m="1" x="844"/>
        <item m="1" x="847"/>
        <item m="1" x="581"/>
        <item m="1" x="94"/>
        <item m="1" x="2335"/>
        <item x="22"/>
        <item m="1" x="117"/>
        <item m="1" x="1039"/>
        <item m="1" x="215"/>
        <item x="36"/>
        <item m="1" x="2626"/>
        <item m="1" x="585"/>
        <item m="1" x="2531"/>
        <item m="1" x="1516"/>
        <item m="1" x="1082"/>
        <item m="1" x="2060"/>
        <item m="1" x="1171"/>
        <item m="1" x="2816"/>
        <item m="1" x="1705"/>
        <item m="1" x="3162"/>
        <item m="1" x="791"/>
        <item m="1" x="1316"/>
        <item m="1" x="1990"/>
        <item m="1" x="1029"/>
        <item m="1" x="1901"/>
        <item m="1" x="3328"/>
        <item m="1" x="1413"/>
        <item m="1" x="1309"/>
        <item m="1" x="460"/>
        <item m="1" x="2679"/>
        <item m="1" x="655"/>
        <item m="1" x="3277"/>
        <item m="1" x="1250"/>
        <item m="1" x="2023"/>
        <item m="1" x="899"/>
        <item m="1" x="3211"/>
        <item m="1" x="822"/>
        <item m="1" x="2790"/>
        <item m="1" x="930"/>
        <item m="1" x="980"/>
        <item m="1" x="821"/>
        <item m="1" x="673"/>
        <item m="1" x="300"/>
        <item m="1" x="1752"/>
        <item m="1" x="152"/>
        <item m="1" x="1484"/>
        <item m="1" x="2378"/>
        <item m="1" x="1774"/>
        <item m="1" x="2230"/>
        <item m="1" x="1349"/>
        <item m="1" x="2942"/>
        <item m="1" x="1077"/>
        <item m="1" x="2879"/>
        <item m="1" x="2983"/>
        <item m="1" x="387"/>
        <item m="1" x="2032"/>
        <item m="1" x="2782"/>
        <item m="1" x="2191"/>
        <item m="1" x="2147"/>
        <item m="1" x="3104"/>
        <item m="1" x="2063"/>
        <item m="1" x="2461"/>
        <item m="1" x="3269"/>
        <item m="1" x="3164"/>
        <item m="1" x="525"/>
        <item m="1" x="1845"/>
        <item m="1" x="3249"/>
        <item m="1" x="1172"/>
        <item m="1" x="767"/>
        <item m="1" x="1409"/>
        <item m="1" x="2603"/>
        <item m="1" x="2695"/>
        <item m="1" x="710"/>
        <item m="1" x="3214"/>
        <item m="1" x="3170"/>
        <item m="1" x="169"/>
        <item m="1" x="2466"/>
        <item m="1" x="2634"/>
        <item m="1" x="1079"/>
        <item m="1" x="1387"/>
        <item m="1" x="2656"/>
        <item m="1" x="434"/>
        <item m="1" x="3206"/>
        <item m="1" x="2310"/>
        <item m="1" x="2948"/>
        <item m="1" x="2075"/>
        <item m="1" x="2598"/>
        <item m="1" x="1327"/>
        <item m="1" x="391"/>
        <item m="1" x="1405"/>
        <item m="1" x="826"/>
        <item m="1" x="3078"/>
        <item m="1" x="1820"/>
        <item m="1" x="381"/>
        <item m="1" x="101"/>
        <item m="1" x="2411"/>
        <item m="1" x="885"/>
        <item m="1" x="402"/>
        <item m="1" x="2619"/>
        <item m="1" x="850"/>
        <item m="1" x="2913"/>
        <item m="1" x="1566"/>
        <item m="1" x="2180"/>
        <item m="1" x="1213"/>
        <item m="1" x="834"/>
        <item m="1" x="2246"/>
        <item m="1" x="996"/>
        <item m="1" x="2317"/>
        <item m="1" x="2170"/>
        <item m="1" x="2339"/>
        <item m="1" x="260"/>
        <item m="1" x="1439"/>
        <item m="1" x="2071"/>
        <item m="1" x="2365"/>
        <item m="1" x="2939"/>
        <item m="1" x="3136"/>
        <item m="1" x="3075"/>
        <item m="1" x="3098"/>
        <item m="1" x="572"/>
        <item m="1" x="2506"/>
        <item m="1" x="1829"/>
        <item m="1" x="360"/>
        <item m="1" x="2489"/>
        <item m="1" x="481"/>
        <item m="1" x="485"/>
        <item m="1" x="3173"/>
        <item m="1" x="2808"/>
        <item m="1" x="122"/>
        <item m="1" x="1550"/>
        <item m="1" x="1452"/>
        <item m="1" x="385"/>
        <item m="1" x="2525"/>
        <item m="1" x="1227"/>
        <item m="1" x="3313"/>
        <item m="1" x="461"/>
        <item m="1" x="2981"/>
        <item m="1" x="1138"/>
        <item m="1" x="2653"/>
        <item m="1" x="1262"/>
        <item m="1" x="2734"/>
        <item m="1" x="1119"/>
        <item m="1" x="2171"/>
        <item m="1" x="3120"/>
        <item m="1" x="1393"/>
        <item m="1" x="3139"/>
        <item m="1" x="2276"/>
        <item m="1" x="1149"/>
        <item m="1" x="1523"/>
        <item m="1" x="2263"/>
        <item m="1" x="2854"/>
        <item m="1" x="1639"/>
        <item m="1" x="667"/>
        <item m="1" x="2551"/>
        <item m="1" x="829"/>
        <item m="1" x="2586"/>
        <item m="1" x="2694"/>
        <item m="1" x="3233"/>
        <item m="1" x="2788"/>
        <item m="1" x="2173"/>
        <item m="1" x="578"/>
        <item m="1" x="1940"/>
        <item m="1" x="843"/>
        <item m="1" x="1759"/>
        <item m="1" x="3317"/>
        <item m="1" x="742"/>
        <item m="1" x="2405"/>
        <item m="1" x="3020"/>
        <item m="1" x="3044"/>
        <item m="1" x="1828"/>
        <item m="1" x="2726"/>
        <item m="1" x="1275"/>
        <item m="1" x="1356"/>
        <item m="1" x="775"/>
        <item m="1" x="2360"/>
        <item m="1" x="668"/>
        <item m="1" x="1412"/>
        <item m="1" x="383"/>
        <item x="32"/>
        <item x="24"/>
        <item m="1" x="1954"/>
        <item x="0"/>
        <item x="51"/>
        <item m="1" x="2083"/>
        <item x="31"/>
        <item m="1" x="2153"/>
        <item m="1" x="1365"/>
        <item m="1" x="3092"/>
        <item m="1" x="3314"/>
        <item m="1" x="2807"/>
        <item m="1" x="966"/>
        <item m="1" x="1286"/>
        <item m="1" x="2643"/>
        <item m="1" x="859"/>
        <item m="1" x="2091"/>
        <item m="1" x="2432"/>
        <item m="1" x="3189"/>
        <item m="1" x="1135"/>
        <item m="1" x="349"/>
        <item m="1" x="2576"/>
        <item m="1" x="3280"/>
        <item m="1" x="2299"/>
        <item m="1" x="2827"/>
        <item m="1" x="1642"/>
        <item m="1" x="2932"/>
        <item m="1" x="2154"/>
        <item m="1" x="2388"/>
        <item m="1" x="908"/>
        <item m="1" x="2825"/>
        <item m="1" x="1317"/>
        <item m="1" x="1849"/>
        <item m="1" x="404"/>
        <item m="1" x="1731"/>
        <item m="1" x="299"/>
        <item m="1" x="2565"/>
        <item m="1" x="2373"/>
        <item m="1" x="693"/>
        <item m="1" x="2754"/>
        <item m="1" x="3323"/>
        <item m="1" x="1875"/>
        <item m="1" x="450"/>
        <item m="1" x="98"/>
        <item m="1" x="2742"/>
        <item m="1" x="1231"/>
        <item m="1" x="1376"/>
        <item m="1" x="1672"/>
        <item m="1" x="1673"/>
        <item x="6"/>
        <item m="1" x="3243"/>
        <item m="1" x="219"/>
        <item m="1" x="257"/>
        <item m="1" x="350"/>
        <item m="1" x="1045"/>
        <item m="1" x="1024"/>
        <item m="1" x="1053"/>
        <item m="1" x="3024"/>
        <item m="1" x="3028"/>
        <item m="1" x="1065"/>
        <item m="1" x="3041"/>
        <item m="1" x="2250"/>
        <item m="1" x="3089"/>
        <item m="1" x="3109"/>
        <item m="1" x="1959"/>
        <item m="1" x="1263"/>
        <item m="1" x="2635"/>
        <item m="1" x="557"/>
        <item m="1" x="1193"/>
        <item m="1" x="737"/>
        <item m="1" x="2660"/>
        <item m="1" x="1114"/>
        <item m="1" x="3039"/>
        <item m="1" x="2429"/>
        <item m="1" x="1440"/>
        <item m="1" x="598"/>
        <item m="1" x="2204"/>
        <item m="1" x="1679"/>
        <item m="1" x="3153"/>
        <item m="1" x="1488"/>
        <item m="1" x="236"/>
        <item m="1" x="2455"/>
        <item m="1" x="547"/>
        <item m="1" x="739"/>
        <item m="1" x="2357"/>
        <item m="1" x="2613"/>
        <item m="1" x="2750"/>
        <item m="1" x="410"/>
        <item m="1" x="1023"/>
        <item m="1" x="309"/>
        <item m="1" x="2092"/>
        <item m="1" x="689"/>
        <item m="1" x="100"/>
        <item m="1" x="2946"/>
        <item m="1" x="1465"/>
        <item m="1" x="1712"/>
        <item m="1" x="1467"/>
        <item m="1" x="1870"/>
        <item m="1" x="679"/>
        <item m="1" x="1436"/>
        <item m="1" x="2418"/>
        <item m="1" x="2907"/>
        <item m="1" x="1812"/>
        <item m="1" x="2331"/>
        <item m="1" x="2980"/>
        <item m="1" x="2055"/>
        <item m="1" x="857"/>
        <item m="1" x="2313"/>
        <item m="1" x="796"/>
        <item m="1" x="107"/>
        <item m="1" x="790"/>
        <item m="1" x="1922"/>
        <item m="1" x="1938"/>
        <item m="1" x="1139"/>
        <item m="1" x="548"/>
        <item m="1" x="2915"/>
        <item m="1" x="1427"/>
        <item m="1" x="1726"/>
        <item m="1" x="1268"/>
        <item m="1" x="898"/>
        <item m="1" x="2047"/>
        <item m="1" x="1080"/>
        <item m="1" x="1955"/>
        <item m="1" x="1619"/>
        <item m="1" x="1589"/>
        <item m="1" x="2785"/>
        <item m="1" x="1868"/>
        <item m="1" x="993"/>
        <item m="1" x="2833"/>
        <item m="1" x="1737"/>
        <item m="1" x="771"/>
        <item m="1" x="2190"/>
        <item m="1" x="2593"/>
        <item m="1" x="3252"/>
        <item m="1" x="2513"/>
        <item m="1" x="510"/>
        <item m="1" x="878"/>
        <item m="1" x="1242"/>
        <item m="1" x="394"/>
        <item m="1" x="483"/>
        <item m="1" x="281"/>
        <item m="1" x="2745"/>
        <item m="1" x="1742"/>
        <item m="1" x="2256"/>
        <item m="1" x="2518"/>
        <item m="1" x="2515"/>
        <item m="1" x="691"/>
        <item m="1" x="3168"/>
        <item m="1" x="1691"/>
        <item m="1" x="580"/>
        <item m="1" x="2417"/>
        <item m="1" x="307"/>
        <item m="1" x="2209"/>
        <item m="1" x="1372"/>
        <item m="1" x="2725"/>
        <item m="1" x="1431"/>
        <item m="1" x="1192"/>
        <item m="1" x="198"/>
        <item m="1" x="1833"/>
        <item m="1" x="1100"/>
        <item m="1" x="3230"/>
        <item m="1" x="1055"/>
        <item m="1" x="709"/>
        <item m="1" x="1152"/>
        <item m="1" x="2778"/>
        <item m="1" x="1005"/>
        <item m="1" x="2248"/>
        <item m="1" x="2527"/>
        <item m="1" x="1423"/>
        <item m="1" x="2000"/>
        <item m="1" x="1727"/>
        <item m="1" x="2367"/>
        <item m="1" x="2382"/>
        <item m="1" x="435"/>
        <item m="1" x="2226"/>
        <item m="1" x="783"/>
        <item m="1" x="2753"/>
        <item m="1" x="2777"/>
        <item m="1" x="3285"/>
        <item m="1" x="248"/>
        <item m="1" x="1583"/>
        <item m="1" x="2333"/>
        <item m="1" x="1322"/>
        <item m="1" x="2805"/>
        <item m="1" x="2872"/>
        <item m="1" x="77"/>
        <item m="1" x="1280"/>
        <item m="1" x="1581"/>
        <item m="1" x="761"/>
        <item m="1" x="348"/>
        <item m="1" x="436"/>
        <item m="1" x="807"/>
        <item m="1" x="227"/>
        <item m="1" x="3040"/>
        <item m="1" x="292"/>
        <item m="1" x="2188"/>
        <item m="1" x="1847"/>
        <item m="1" x="1729"/>
        <item m="1" x="543"/>
        <item m="1" x="849"/>
        <item m="1" x="203"/>
        <item m="1" x="2995"/>
        <item m="1" x="159"/>
        <item m="1" x="1970"/>
        <item m="1" x="426"/>
        <item m="1" x="2772"/>
        <item m="1" x="3235"/>
        <item m="1" x="1974"/>
        <item m="1" x="817"/>
        <item m="1" x="2623"/>
        <item m="1" x="3057"/>
        <item m="1" x="2484"/>
        <item m="1" x="806"/>
        <item m="1" x="3318"/>
        <item m="1" x="2393"/>
        <item m="1" x="2043"/>
        <item m="1" x="92"/>
        <item m="1" x="3163"/>
        <item m="1" x="1525"/>
        <item m="1" x="1153"/>
        <item m="1" x="1749"/>
        <item m="1" x="2641"/>
        <item m="1" x="1591"/>
        <item m="1" x="1989"/>
        <item m="1" x="420"/>
        <item m="1" x="2477"/>
        <item m="1" x="2493"/>
        <item m="1" x="490"/>
        <item m="1" x="193"/>
        <item m="1" x="1418"/>
        <item m="1" x="1923"/>
        <item m="1" x="1946"/>
        <item m="1" x="2240"/>
        <item m="1" x="2161"/>
        <item m="1" x="2883"/>
        <item m="1" x="2452"/>
        <item m="1" x="3107"/>
        <item m="1" x="2760"/>
        <item m="1" x="712"/>
        <item m="1" x="1264"/>
        <item m="1" x="2402"/>
        <item m="1" x="3125"/>
        <item m="1" x="1574"/>
        <item m="1" x="1668"/>
        <item m="1" x="2278"/>
        <item m="1" x="994"/>
        <item m="1" x="2459"/>
        <item m="1" x="2855"/>
        <item m="1" x="811"/>
        <item m="1" x="108"/>
        <item m="1" x="3127"/>
        <item m="1" x="1978"/>
        <item m="1" x="2839"/>
        <item m="1" x="137"/>
        <item m="1" x="1113"/>
        <item m="1" x="2123"/>
        <item m="1" x="2061"/>
        <item m="1" x="116"/>
        <item m="1" x="1111"/>
        <item m="1" x="1608"/>
        <item m="1" x="477"/>
        <item m="1" x="150"/>
        <item m="1" x="2654"/>
        <item m="1" x="1585"/>
        <item m="1" x="3025"/>
        <item m="1" x="1615"/>
        <item m="1" x="1445"/>
        <item m="1" x="2112"/>
        <item m="1" x="502"/>
        <item m="1" x="1575"/>
        <item m="1" x="1733"/>
        <item m="1" x="332"/>
        <item m="1" x="2093"/>
        <item m="1" x="501"/>
        <item m="1" x="3074"/>
        <item m="1" x="2202"/>
        <item m="1" x="496"/>
        <item m="1" x="267"/>
        <item m="1" x="3262"/>
        <item m="1" x="2548"/>
        <item m="1" x="2961"/>
        <item m="1" x="1996"/>
        <item m="1" x="239"/>
        <item m="1" x="1040"/>
        <item m="1" x="2386"/>
        <item m="1" x="579"/>
        <item m="1" x="1565"/>
        <item m="1" x="1061"/>
        <item m="1" x="377"/>
        <item m="1" x="1822"/>
        <item m="1" x="318"/>
        <item m="1" x="2929"/>
        <item m="1" x="3293"/>
        <item m="1" x="3202"/>
        <item m="1" x="546"/>
        <item m="1" x="2869"/>
        <item m="1" x="3216"/>
        <item m="1" x="293"/>
        <item m="1" x="1130"/>
        <item m="1" x="199"/>
        <item m="1" x="2799"/>
        <item m="1" x="2693"/>
        <item m="1" x="1744"/>
        <item m="1" x="382"/>
        <item m="1" x="2676"/>
        <item m="1" x="2748"/>
        <item m="1" x="884"/>
        <item m="1" x="892"/>
        <item m="1" x="400"/>
        <item m="1" x="3244"/>
        <item m="1" x="905"/>
        <item m="1" x="1912"/>
        <item m="1" x="269"/>
        <item m="1" x="1754"/>
        <item m="1" x="2320"/>
        <item m="1" x="2347"/>
        <item m="1" x="608"/>
        <item m="1" x="2295"/>
        <item m="1" x="570"/>
        <item m="1" x="1710"/>
        <item m="1" x="2767"/>
        <item m="1" x="304"/>
        <item m="1" x="186"/>
        <item m="1" x="639"/>
        <item m="1" x="541"/>
        <item m="1" x="3047"/>
        <item m="1" x="158"/>
        <item m="1" x="2268"/>
        <item m="1" x="2661"/>
        <item m="1" x="2662"/>
        <item m="1" x="629"/>
        <item m="1" x="1141"/>
        <item m="1" x="1088"/>
        <item m="1" x="1496"/>
        <item m="1" x="688"/>
        <item m="1" x="903"/>
        <item m="1" x="3204"/>
        <item m="1" x="310"/>
        <item m="1" x="1595"/>
        <item m="1" x="765"/>
        <item m="1" x="1056"/>
        <item m="1" x="1298"/>
        <item m="1" x="1663"/>
        <item m="1" x="2297"/>
        <item m="1" x="919"/>
        <item m="1" x="3286"/>
        <item m="1" x="3240"/>
        <item m="1" x="1601"/>
        <item m="1" x="3321"/>
        <item m="1" x="1183"/>
        <item m="1" x="82"/>
        <item m="1" x="2944"/>
        <item m="1" x="2416"/>
        <item m="1" x="1810"/>
        <item m="1" x="3329"/>
        <item m="1" x="2453"/>
        <item m="1" x="1771"/>
        <item m="1" x="2900"/>
        <item m="1" x="2424"/>
        <item m="1" x="335"/>
        <item m="1" x="179"/>
        <item m="1" x="462"/>
        <item m="1" x="2059"/>
        <item m="1" x="170"/>
        <item m="1" x="1455"/>
        <item m="1" x="1685"/>
        <item m="1" x="161"/>
        <item m="1" x="2350"/>
        <item m="1" x="2680"/>
        <item m="1" x="253"/>
        <item m="1" x="2646"/>
        <item m="1" x="3001"/>
        <item m="1" x="1648"/>
        <item m="1" x="1266"/>
        <item m="1" x="2683"/>
        <item m="1" x="1819"/>
        <item m="1" x="1926"/>
        <item m="1" x="3017"/>
        <item m="1" x="942"/>
        <item m="1" x="1876"/>
        <item m="1" x="784"/>
        <item m="1" x="1107"/>
        <item m="1" x="1312"/>
        <item m="1" x="2926"/>
        <item m="1" x="2663"/>
        <item m="1" x="654"/>
        <item m="1" x="190"/>
        <item m="1" x="1293"/>
        <item m="1" x="3099"/>
        <item m="1" x="3311"/>
        <item m="1" x="411"/>
        <item m="1" x="1443"/>
        <item m="1" x="1374"/>
        <item m="1" x="750"/>
        <item m="1" x="1933"/>
        <item m="1" x="2870"/>
        <item m="1" x="3094"/>
        <item m="1" x="2521"/>
        <item m="1" x="1074"/>
        <item m="1" x="934"/>
        <item m="1" x="2972"/>
        <item m="1" x="3033"/>
        <item m="1" x="143"/>
        <item m="1" x="390"/>
        <item m="1" x="287"/>
        <item m="1" x="153"/>
        <item m="1" x="2875"/>
        <item m="1" x="1361"/>
        <item m="1" x="214"/>
        <item m="1" x="1391"/>
        <item m="1" x="636"/>
        <item m="1" x="3008"/>
        <item m="1" x="2034"/>
        <item m="1" x="325"/>
        <item m="1" x="609"/>
        <item m="1" x="3219"/>
        <item m="1" x="2503"/>
        <item m="1" x="1244"/>
        <item m="1" x="708"/>
        <item m="1" x="2053"/>
        <item m="1" x="446"/>
        <item m="1" x="1462"/>
        <item m="1" x="3253"/>
        <item m="1" x="1768"/>
        <item m="1" x="1937"/>
        <item m="1" x="126"/>
        <item m="1" x="2179"/>
        <item m="1" x="2625"/>
        <item m="1" x="2800"/>
        <item m="1" x="841"/>
        <item m="1" x="2255"/>
        <item m="1" x="2079"/>
        <item m="1" x="2428"/>
        <item m="1" x="344"/>
        <item m="1" x="1324"/>
        <item m="1" x="971"/>
        <item m="1" x="1873"/>
        <item m="1" x="2971"/>
        <item m="1" x="374"/>
        <item m="1" x="2312"/>
        <item m="1" x="1062"/>
        <item m="1" x="3144"/>
        <item m="1" x="2167"/>
        <item m="1" x="2069"/>
        <item m="1" x="901"/>
        <item m="1" x="2176"/>
        <item m="1" x="658"/>
        <item m="1" x="1279"/>
        <item m="1" x="721"/>
        <item m="1" x="3190"/>
        <item m="1" x="3227"/>
        <item m="1" x="422"/>
        <item m="1" x="111"/>
        <item m="1" x="2403"/>
        <item m="1" x="1235"/>
        <item m="1" x="1307"/>
        <item m="1" x="1246"/>
        <item m="1" x="1958"/>
        <item m="1" x="192"/>
        <item m="1" x="2217"/>
        <item m="1" x="1807"/>
        <item m="1" x="1232"/>
        <item m="1" x="3021"/>
        <item m="1" x="846"/>
        <item m="1" x="334"/>
        <item m="1" x="1203"/>
        <item m="1" x="967"/>
        <item m="1" x="2890"/>
        <item m="1" x="1209"/>
        <item m="1" x="2920"/>
        <item m="1" x="2552"/>
        <item m="1" x="1463"/>
        <item m="1" x="1261"/>
        <item m="1" x="1643"/>
        <item m="1" x="681"/>
        <item m="1" x="2968"/>
        <item m="1" x="1711"/>
        <item m="1" x="683"/>
        <item m="1" x="530"/>
        <item m="1" x="172"/>
        <item m="1" x="2272"/>
        <item m="1" x="2741"/>
        <item m="1" x="341"/>
        <item m="1" x="2476"/>
        <item m="1" x="2859"/>
        <item m="1" x="1291"/>
        <item m="1" x="1758"/>
        <item m="1" x="3330"/>
        <item m="1" x="1360"/>
        <item m="1" x="2958"/>
        <item m="1" x="2699"/>
        <item m="1" x="3237"/>
        <item m="1" x="1936"/>
        <item m="1" x="1695"/>
        <item m="1" x="1886"/>
        <item m="1" x="2194"/>
        <item m="1" x="327"/>
        <item m="1" x="621"/>
        <item m="1" x="912"/>
        <item m="1" x="778"/>
        <item m="1" x="940"/>
        <item m="1" x="148"/>
        <item m="1" x="2674"/>
        <item m="1" x="1596"/>
        <item m="1" x="1885"/>
        <item m="1" x="1363"/>
        <item m="1" x="3335"/>
        <item m="1" x="1732"/>
        <item m="1" x="727"/>
        <item m="1" x="3036"/>
        <item m="1" x="2974"/>
        <item m="1" x="2724"/>
        <item m="1" x="3200"/>
        <item m="1" x="2719"/>
        <item m="1" x="2181"/>
        <item m="1" x="788"/>
        <item m="1" x="76"/>
        <item m="1" x="2764"/>
        <item m="1" x="2962"/>
        <item m="1" x="615"/>
        <item m="1" x="355"/>
        <item m="1" x="1269"/>
        <item m="1" x="3258"/>
        <item m="1" x="2249"/>
        <item m="1" x="795"/>
        <item m="1" x="2705"/>
        <item m="1" x="399"/>
        <item m="1" x="2512"/>
        <item m="1" x="3011"/>
        <item m="1" x="1169"/>
        <item m="1" x="1473"/>
        <item m="1" x="3055"/>
        <item m="1" x="216"/>
        <item m="1" x="954"/>
        <item m="1" x="1533"/>
        <item m="1" x="2940"/>
        <item m="1" x="3193"/>
        <item m="1" x="2878"/>
        <item m="1" x="3185"/>
        <item m="1" x="2155"/>
        <item m="1" x="2835"/>
        <item m="1" x="2650"/>
        <item m="1" x="2612"/>
        <item m="1" x="1002"/>
        <item m="1" x="1560"/>
        <item m="1" x="445"/>
        <item m="1" x="1407"/>
        <item m="1" x="2236"/>
        <item m="1" x="574"/>
        <item m="1" x="151"/>
        <item m="1" x="676"/>
        <item m="1" x="372"/>
        <item m="1" x="2706"/>
        <item m="1" x="3225"/>
        <item m="1" x="521"/>
        <item m="1" x="2212"/>
        <item m="1" x="266"/>
        <item m="1" x="2733"/>
        <item m="1" x="3333"/>
        <item m="1" x="875"/>
        <item m="1" x="2353"/>
        <item m="1" x="2837"/>
        <item m="1" x="2166"/>
        <item m="1" x="1773"/>
        <item m="1" x="2664"/>
        <item m="1" x="2042"/>
        <item m="1" x="1287"/>
        <item m="1" x="498"/>
        <item m="1" x="2125"/>
        <item m="1" x="1076"/>
        <item m="1" x="175"/>
        <item m="1" x="2817"/>
        <item m="1" x="303"/>
        <item m="1" x="1083"/>
        <item m="1" x="2826"/>
        <item m="1" x="2716"/>
        <item m="1" x="314"/>
        <item m="1" x="231"/>
        <item m="1" x="3306"/>
        <item m="1" x="2638"/>
        <item m="1" x="2148"/>
        <item m="1" x="1122"/>
        <item m="1" x="3290"/>
        <item m="1" x="424"/>
        <item m="1" x="2316"/>
        <item m="1" x="1476"/>
        <item m="1" x="1115"/>
        <item m="1" x="963"/>
        <item m="1" x="2815"/>
        <item m="1" x="641"/>
        <item m="1" x="2686"/>
        <item m="1" x="2658"/>
        <item m="1" x="1804"/>
        <item m="1" x="1509"/>
        <item m="1" x="730"/>
        <item m="1" x="3276"/>
        <item m="1" x="1344"/>
        <item m="1" x="1041"/>
        <item m="1" x="2600"/>
        <item m="1" x="1048"/>
        <item m="1" x="2819"/>
        <item m="1" x="1354"/>
        <item m="1" x="2020"/>
        <item m="1" x="1952"/>
        <item m="1" x="1116"/>
        <item m="1" x="1315"/>
        <item m="1" x="1109"/>
        <item m="1" x="262"/>
        <item m="1" x="3114"/>
        <item m="1" x="3132"/>
        <item m="1" x="3251"/>
        <item m="1" x="2919"/>
        <item m="1" x="2164"/>
        <item m="1" x="1650"/>
        <item m="1" x="2314"/>
        <item m="1" x="946"/>
        <item m="1" x="982"/>
        <item m="1" x="145"/>
        <item m="1" x="378"/>
        <item m="1" x="3218"/>
        <item m="1" x="1066"/>
        <item m="1" x="2160"/>
        <item m="1" x="2471"/>
        <item m="1" x="313"/>
        <item m="1" x="1791"/>
        <item m="1" x="3087"/>
        <item m="1" x="2934"/>
        <item m="1" x="1699"/>
        <item m="1" x="1513"/>
        <item m="1" x="735"/>
        <item m="1" x="1799"/>
        <item m="1" x="1281"/>
        <item m="1" x="2050"/>
        <item m="1" x="1128"/>
        <item m="1" x="2877"/>
        <item m="1" x="697"/>
        <item m="1" x="929"/>
        <item m="1" x="2410"/>
        <item m="1" x="3245"/>
        <item m="1" x="1035"/>
        <item m="1" x="2888"/>
        <item m="1" x="1174"/>
        <item m="1" x="2863"/>
        <item m="1" x="1288"/>
        <item m="1" x="2723"/>
        <item m="1" x="1823"/>
        <item m="1" x="1034"/>
        <item m="1" x="1853"/>
        <item m="1" x="964"/>
        <item m="1" x="1195"/>
        <item m="1" x="2620"/>
        <item m="1" x="2345"/>
        <item m="1" x="2467"/>
        <item m="1" x="1968"/>
        <item m="1" x="2401"/>
        <item m="1" x="2126"/>
        <item m="1" x="1274"/>
        <item m="1" x="2903"/>
        <item m="1" x="3159"/>
        <item m="1" x="2677"/>
        <item m="1" x="825"/>
        <item m="1" x="241"/>
        <item m="1" x="1013"/>
        <item m="1" x="154"/>
        <item m="1" x="71"/>
      </items>
      <extLst>
        <ext xmlns:x14="http://schemas.microsoft.com/office/spreadsheetml/2009/9/main" uri="{2946ED86-A175-432a-8AC1-64E0C546D7DE}">
          <x14:pivotField fillDownLabels="1"/>
        </ext>
      </extLst>
    </pivotField>
    <pivotField compact="0" outline="0" showAll="0" defaultSubtotal="0">
      <items count="3">
        <item x="1"/>
        <item x="0"/>
        <item m="1" x="2"/>
      </items>
      <extLst>
        <ext xmlns:x14="http://schemas.microsoft.com/office/spreadsheetml/2009/9/main" uri="{2946ED86-A175-432a-8AC1-64E0C546D7DE}">
          <x14:pivotField fillDownLabels="1"/>
        </ext>
      </extLst>
    </pivotField>
    <pivotField axis="axisRow" compact="0" outline="0" showAll="0" insertBlankRow="1" defaultSubtotal="0">
      <items count="93">
        <item m="1" x="86"/>
        <item m="1" x="73"/>
        <item x="39"/>
        <item x="29"/>
        <item x="56"/>
        <item m="1" x="83"/>
        <item x="63"/>
        <item m="1" x="91"/>
        <item x="25"/>
        <item x="62"/>
        <item m="1" x="68"/>
        <item x="17"/>
        <item m="1" x="87"/>
        <item x="31"/>
        <item m="1" x="89"/>
        <item m="1" x="82"/>
        <item m="1" x="79"/>
        <item m="1" x="72"/>
        <item m="1" x="67"/>
        <item m="1" x="71"/>
        <item x="24"/>
        <item x="58"/>
        <item x="59"/>
        <item x="60"/>
        <item m="1" x="66"/>
        <item m="1" x="80"/>
        <item x="27"/>
        <item x="14"/>
        <item x="13"/>
        <item m="1" x="88"/>
        <item x="15"/>
        <item x="51"/>
        <item x="64"/>
        <item x="0"/>
        <item x="28"/>
        <item x="48"/>
        <item m="1" x="90"/>
        <item x="47"/>
        <item m="1" x="70"/>
        <item x="61"/>
        <item x="18"/>
        <item m="1" x="78"/>
        <item x="30"/>
        <item m="1" x="74"/>
        <item m="1" x="76"/>
        <item m="1" x="81"/>
        <item m="1" x="85"/>
        <item m="1" x="92"/>
        <item m="1" x="84"/>
        <item x="37"/>
        <item x="12"/>
        <item x="6"/>
        <item x="11"/>
        <item x="55"/>
        <item x="36"/>
        <item x="34"/>
        <item x="35"/>
        <item x="4"/>
        <item x="2"/>
        <item x="3"/>
        <item x="65"/>
        <item x="57"/>
        <item x="19"/>
        <item x="20"/>
        <item x="21"/>
        <item x="54"/>
        <item x="53"/>
        <item x="16"/>
        <item m="1" x="69"/>
        <item x="32"/>
        <item x="41"/>
        <item x="7"/>
        <item x="1"/>
        <item x="52"/>
        <item x="49"/>
        <item x="50"/>
        <item x="43"/>
        <item m="1" x="77"/>
        <item x="40"/>
        <item m="1" x="75"/>
        <item x="46"/>
        <item x="45"/>
        <item x="33"/>
        <item x="44"/>
        <item x="10"/>
        <item x="38"/>
        <item x="42"/>
        <item x="8"/>
        <item x="9"/>
        <item x="5"/>
        <item x="26"/>
        <item x="23"/>
        <item x="22"/>
      </items>
    </pivotField>
    <pivotField compact="0" outline="0" showAll="0" defaultSubtotal="0"/>
    <pivotField axis="axisPage" compact="0" outline="0" multipleItemSelectionAllowed="1" showAll="0" defaultSubtotal="0">
      <items count="13">
        <item x="3"/>
        <item h="1" x="2"/>
        <item h="1" x="9"/>
        <item h="1" m="1" x="12"/>
        <item h="1" x="0"/>
        <item h="1" x="5"/>
        <item h="1" m="1" x="11"/>
        <item h="1" x="10"/>
        <item h="1" x="4"/>
        <item h="1" x="6"/>
        <item h="1" x="1"/>
        <item h="1" x="8"/>
        <item h="1" x="7"/>
      </items>
    </pivotField>
    <pivotField compact="0" outline="0" showAll="0" defaultSubtotal="0"/>
    <pivotField compact="0" outline="0" showAll="0" defaultSubtotal="0"/>
  </pivotFields>
  <rowFields count="3">
    <field x="47"/>
    <field x="3"/>
    <field x="35"/>
  </rowFields>
  <rowItems count="57">
    <i>
      <x v="26"/>
      <x v="36"/>
      <x v="3"/>
    </i>
    <i r="1">
      <x v="55"/>
      <x v="3"/>
    </i>
    <i r="1">
      <x v="61"/>
      <x v="3"/>
    </i>
    <i r="1">
      <x v="68"/>
      <x v="3"/>
    </i>
    <i r="1">
      <x v="81"/>
      <x v="3"/>
    </i>
    <i r="1">
      <x v="89"/>
      <x v="3"/>
    </i>
    <i r="1">
      <x v="91"/>
      <x v="3"/>
    </i>
    <i r="1">
      <x v="98"/>
      <x v="3"/>
    </i>
    <i r="1">
      <x v="106"/>
      <x v="3"/>
    </i>
    <i r="1">
      <x v="110"/>
      <x v="3"/>
    </i>
    <i r="1">
      <x v="124"/>
      <x v="3"/>
    </i>
    <i r="1">
      <x v="128"/>
      <x v="3"/>
    </i>
    <i t="blank">
      <x v="26"/>
    </i>
    <i>
      <x v="27"/>
      <x v="12"/>
      <x v="3"/>
    </i>
    <i r="1">
      <x v="27"/>
      <x v="3"/>
    </i>
    <i r="1">
      <x v="29"/>
      <x v="3"/>
    </i>
    <i r="1">
      <x v="34"/>
      <x v="3"/>
    </i>
    <i r="1">
      <x v="41"/>
      <x v="3"/>
    </i>
    <i r="1">
      <x v="55"/>
      <x v="3"/>
    </i>
    <i r="1">
      <x v="61"/>
      <x v="3"/>
    </i>
    <i r="1">
      <x v="81"/>
      <x v="3"/>
    </i>
    <i r="1">
      <x v="128"/>
      <x v="3"/>
    </i>
    <i t="blank">
      <x v="27"/>
    </i>
    <i>
      <x v="28"/>
      <x v="12"/>
      <x v="3"/>
    </i>
    <i r="1">
      <x v="29"/>
      <x v="3"/>
    </i>
    <i r="1">
      <x v="55"/>
      <x v="3"/>
    </i>
    <i r="1">
      <x v="61"/>
      <x v="3"/>
    </i>
    <i r="1">
      <x v="76"/>
      <x v="3"/>
    </i>
    <i r="1">
      <x v="128"/>
      <x v="3"/>
    </i>
    <i t="blank">
      <x v="28"/>
    </i>
    <i>
      <x v="30"/>
      <x v="12"/>
      <x v="3"/>
    </i>
    <i r="1">
      <x v="14"/>
      <x v="3"/>
    </i>
    <i r="1">
      <x v="36"/>
      <x v="3"/>
    </i>
    <i r="1">
      <x v="93"/>
      <x v="3"/>
    </i>
    <i t="blank">
      <x v="30"/>
    </i>
    <i>
      <x v="34"/>
      <x v="41"/>
      <x v="3"/>
    </i>
    <i r="1">
      <x v="87"/>
      <x v="3"/>
    </i>
    <i t="blank">
      <x v="34"/>
    </i>
    <i>
      <x v="35"/>
      <x v="84"/>
      <x v="3"/>
    </i>
    <i t="blank">
      <x v="35"/>
    </i>
    <i>
      <x v="37"/>
      <x v="68"/>
      <x v="3"/>
    </i>
    <i r="1">
      <x v="89"/>
      <x v="3"/>
    </i>
    <i r="1">
      <x v="124"/>
      <x v="3"/>
    </i>
    <i t="blank">
      <x v="37"/>
    </i>
    <i>
      <x v="73"/>
      <x v="113"/>
      <x v="24"/>
    </i>
    <i t="blank">
      <x v="73"/>
    </i>
    <i>
      <x v="88"/>
      <x v="5"/>
      <x v="3"/>
    </i>
    <i r="1">
      <x v="6"/>
      <x v="3"/>
    </i>
    <i r="1">
      <x v="14"/>
      <x v="3"/>
    </i>
    <i r="1">
      <x v="27"/>
      <x v="3"/>
    </i>
    <i r="1">
      <x v="33"/>
      <x v="3"/>
    </i>
    <i r="1">
      <x v="34"/>
      <x v="3"/>
    </i>
    <i r="1">
      <x v="36"/>
      <x v="3"/>
    </i>
    <i t="blank">
      <x v="88"/>
    </i>
    <i>
      <x v="89"/>
      <x v="2"/>
      <x v="3"/>
    </i>
    <i r="1">
      <x v="33"/>
      <x v="3"/>
    </i>
    <i t="blank">
      <x v="89"/>
    </i>
  </rowItems>
  <colItems count="1">
    <i/>
  </colItems>
  <pageFields count="1">
    <pageField fld="49" hier="-1"/>
  </pageFields>
  <dataFields count="1">
    <dataField name="Average of UnitPrice" fld="38" subtotal="average" baseField="35" baseItem="3" numFmtId="39"/>
  </dataFields>
  <formats count="219">
    <format dxfId="1156">
      <pivotArea outline="0" collapsedLevelsAreSubtotals="1" fieldPosition="0"/>
    </format>
    <format dxfId="1155">
      <pivotArea type="topRight" dataOnly="0" labelOnly="1" outline="0" fieldPosition="0"/>
    </format>
    <format dxfId="1154">
      <pivotArea dataOnly="0" labelOnly="1" grandRow="1" outline="0" offset="A256" fieldPosition="0"/>
    </format>
    <format dxfId="1153">
      <pivotArea type="all" dataOnly="0" outline="0" fieldPosition="0"/>
    </format>
    <format dxfId="1152">
      <pivotArea field="7" type="button" dataOnly="0" labelOnly="1" outline="0"/>
    </format>
    <format dxfId="1151">
      <pivotArea field="3" type="button" dataOnly="0" labelOnly="1" outline="0" axis="axisRow" fieldPosition="1"/>
    </format>
    <format dxfId="1150">
      <pivotArea field="1" type="button" dataOnly="0" labelOnly="1" outline="0"/>
    </format>
    <format dxfId="1149">
      <pivotArea field="45" type="button" dataOnly="0" labelOnly="1" outline="0"/>
    </format>
    <format dxfId="1148">
      <pivotArea field="3" type="button" dataOnly="0" labelOnly="1" outline="0" axis="axisRow" fieldPosition="1"/>
    </format>
    <format dxfId="1147">
      <pivotArea field="1" type="button" dataOnly="0" labelOnly="1" outline="0"/>
    </format>
    <format dxfId="1146">
      <pivotArea field="45" type="button" dataOnly="0" labelOnly="1" outline="0"/>
    </format>
    <format dxfId="1145">
      <pivotArea field="3" type="button" dataOnly="0" labelOnly="1" outline="0" axis="axisRow" fieldPosition="1"/>
    </format>
    <format dxfId="1144">
      <pivotArea field="7" type="button" dataOnly="0" labelOnly="1" outline="0"/>
    </format>
    <format dxfId="1143">
      <pivotArea field="1" type="button" dataOnly="0" labelOnly="1" outline="0"/>
    </format>
    <format dxfId="1142">
      <pivotArea field="45" type="button" dataOnly="0" labelOnly="1" outline="0"/>
    </format>
    <format dxfId="1141">
      <pivotArea field="3" type="button" dataOnly="0" labelOnly="1" outline="0" axis="axisRow" fieldPosition="1"/>
    </format>
    <format dxfId="1140">
      <pivotArea field="7" type="button" dataOnly="0" labelOnly="1" outline="0"/>
    </format>
    <format dxfId="1139">
      <pivotArea field="1" type="button" dataOnly="0" labelOnly="1" outline="0"/>
    </format>
    <format dxfId="1138">
      <pivotArea field="45" type="button" dataOnly="0" labelOnly="1" outline="0"/>
    </format>
    <format dxfId="1137">
      <pivotArea field="3" type="button" dataOnly="0" labelOnly="1" outline="0" axis="axisRow" fieldPosition="1"/>
    </format>
    <format dxfId="1136">
      <pivotArea field="7" type="button" dataOnly="0" labelOnly="1" outline="0"/>
    </format>
    <format dxfId="1135">
      <pivotArea field="1" type="button" dataOnly="0" labelOnly="1" outline="0"/>
    </format>
    <format dxfId="1134">
      <pivotArea field="45" type="button" dataOnly="0" labelOnly="1" outline="0"/>
    </format>
    <format dxfId="1133">
      <pivotArea field="3" type="button" dataOnly="0" labelOnly="1" outline="0" axis="axisRow" fieldPosition="1"/>
    </format>
    <format dxfId="1132">
      <pivotArea field="7" type="button" dataOnly="0" labelOnly="1" outline="0"/>
    </format>
    <format dxfId="1131">
      <pivotArea field="1" type="button" dataOnly="0" labelOnly="1" outline="0"/>
    </format>
    <format dxfId="1130">
      <pivotArea field="45" type="button" dataOnly="0" labelOnly="1" outline="0"/>
    </format>
    <format dxfId="1129">
      <pivotArea field="6" type="button" dataOnly="0" labelOnly="1" outline="0"/>
    </format>
    <format dxfId="1128">
      <pivotArea field="6" type="button" dataOnly="0" labelOnly="1" outline="0"/>
    </format>
    <format dxfId="1127">
      <pivotArea field="3" type="button" dataOnly="0" labelOnly="1" outline="0" axis="axisRow" fieldPosition="1"/>
    </format>
    <format dxfId="1126">
      <pivotArea field="6" type="button" dataOnly="0" labelOnly="1" outline="0"/>
    </format>
    <format dxfId="1125">
      <pivotArea field="7" type="button" dataOnly="0" labelOnly="1" outline="0"/>
    </format>
    <format dxfId="1124">
      <pivotArea field="1" type="button" dataOnly="0" labelOnly="1" outline="0"/>
    </format>
    <format dxfId="1123">
      <pivotArea field="45" type="button" dataOnly="0" labelOnly="1" outline="0"/>
    </format>
    <format dxfId="1122">
      <pivotArea field="3" type="button" dataOnly="0" labelOnly="1" outline="0" axis="axisRow" fieldPosition="1"/>
    </format>
    <format dxfId="1121">
      <pivotArea field="6" type="button" dataOnly="0" labelOnly="1" outline="0"/>
    </format>
    <format dxfId="1120">
      <pivotArea field="7" type="button" dataOnly="0" labelOnly="1" outline="0"/>
    </format>
    <format dxfId="1119">
      <pivotArea field="1" type="button" dataOnly="0" labelOnly="1" outline="0"/>
    </format>
    <format dxfId="1118">
      <pivotArea field="45" type="button" dataOnly="0" labelOnly="1" outline="0"/>
    </format>
    <format dxfId="1117">
      <pivotArea type="all" dataOnly="0" outline="0" fieldPosition="0"/>
    </format>
    <format dxfId="1116">
      <pivotArea field="3" type="button" dataOnly="0" labelOnly="1" outline="0" axis="axisRow" fieldPosition="1"/>
    </format>
    <format dxfId="1115">
      <pivotArea field="6" type="button" dataOnly="0" labelOnly="1" outline="0"/>
    </format>
    <format dxfId="1114">
      <pivotArea field="7" type="button" dataOnly="0" labelOnly="1" outline="0"/>
    </format>
    <format dxfId="1113">
      <pivotArea field="1" type="button" dataOnly="0" labelOnly="1" outline="0"/>
    </format>
    <format dxfId="1112">
      <pivotArea field="45" type="button" dataOnly="0" labelOnly="1" outline="0"/>
    </format>
    <format dxfId="1111">
      <pivotArea field="3" type="button" dataOnly="0" labelOnly="1" outline="0" axis="axisRow" fieldPosition="1"/>
    </format>
    <format dxfId="1110">
      <pivotArea field="6" type="button" dataOnly="0" labelOnly="1" outline="0"/>
    </format>
    <format dxfId="1109">
      <pivotArea field="7" type="button" dataOnly="0" labelOnly="1" outline="0"/>
    </format>
    <format dxfId="1108">
      <pivotArea field="1" type="button" dataOnly="0" labelOnly="1" outline="0"/>
    </format>
    <format dxfId="1107">
      <pivotArea field="45" type="button" dataOnly="0" labelOnly="1" outline="0"/>
    </format>
    <format dxfId="1106">
      <pivotArea field="3" type="button" dataOnly="0" labelOnly="1" outline="0" axis="axisRow" fieldPosition="1"/>
    </format>
    <format dxfId="1105">
      <pivotArea field="6" type="button" dataOnly="0" labelOnly="1" outline="0"/>
    </format>
    <format dxfId="1104">
      <pivotArea field="7" type="button" dataOnly="0" labelOnly="1" outline="0"/>
    </format>
    <format dxfId="1103">
      <pivotArea field="1" type="button" dataOnly="0" labelOnly="1" outline="0"/>
    </format>
    <format dxfId="1102">
      <pivotArea field="45" type="button" dataOnly="0" labelOnly="1" outline="0"/>
    </format>
    <format dxfId="1101">
      <pivotArea field="3" type="button" dataOnly="0" labelOnly="1" outline="0" axis="axisRow" fieldPosition="1"/>
    </format>
    <format dxfId="1100">
      <pivotArea field="6" type="button" dataOnly="0" labelOnly="1" outline="0"/>
    </format>
    <format dxfId="1099">
      <pivotArea field="7" type="button" dataOnly="0" labelOnly="1" outline="0"/>
    </format>
    <format dxfId="1098">
      <pivotArea field="1" type="button" dataOnly="0" labelOnly="1" outline="0"/>
    </format>
    <format dxfId="1097">
      <pivotArea field="45" type="button" dataOnly="0" labelOnly="1" outline="0"/>
    </format>
    <format dxfId="1096">
      <pivotArea field="3" type="button" dataOnly="0" labelOnly="1" outline="0" axis="axisRow" fieldPosition="1"/>
    </format>
    <format dxfId="1095">
      <pivotArea field="6" type="button" dataOnly="0" labelOnly="1" outline="0"/>
    </format>
    <format dxfId="1094">
      <pivotArea field="7" type="button" dataOnly="0" labelOnly="1" outline="0"/>
    </format>
    <format dxfId="1093">
      <pivotArea field="1" type="button" dataOnly="0" labelOnly="1" outline="0"/>
    </format>
    <format dxfId="1092">
      <pivotArea field="45" type="button" dataOnly="0" labelOnly="1" outline="0"/>
    </format>
    <format dxfId="1091">
      <pivotArea field="3" type="button" dataOnly="0" labelOnly="1" outline="0" axis="axisRow" fieldPosition="1"/>
    </format>
    <format dxfId="1090">
      <pivotArea field="6" type="button" dataOnly="0" labelOnly="1" outline="0"/>
    </format>
    <format dxfId="1089">
      <pivotArea field="7" type="button" dataOnly="0" labelOnly="1" outline="0"/>
    </format>
    <format dxfId="1088">
      <pivotArea field="1" type="button" dataOnly="0" labelOnly="1" outline="0"/>
    </format>
    <format dxfId="1087">
      <pivotArea field="45" type="button" dataOnly="0" labelOnly="1" outline="0"/>
    </format>
    <format dxfId="1086">
      <pivotArea field="3" type="button" dataOnly="0" labelOnly="1" outline="0" axis="axisRow" fieldPosition="1"/>
    </format>
    <format dxfId="1085">
      <pivotArea field="6" type="button" dataOnly="0" labelOnly="1" outline="0"/>
    </format>
    <format dxfId="1084">
      <pivotArea field="7" type="button" dataOnly="0" labelOnly="1" outline="0"/>
    </format>
    <format dxfId="1083">
      <pivotArea field="1" type="button" dataOnly="0" labelOnly="1" outline="0"/>
    </format>
    <format dxfId="1082">
      <pivotArea field="45" type="button" dataOnly="0" labelOnly="1" outline="0"/>
    </format>
    <format dxfId="1081">
      <pivotArea field="3" type="button" dataOnly="0" labelOnly="1" outline="0" axis="axisRow" fieldPosition="1"/>
    </format>
    <format dxfId="1080">
      <pivotArea field="6" type="button" dataOnly="0" labelOnly="1" outline="0"/>
    </format>
    <format dxfId="1079">
      <pivotArea field="7" type="button" dataOnly="0" labelOnly="1" outline="0"/>
    </format>
    <format dxfId="1078">
      <pivotArea field="1" type="button" dataOnly="0" labelOnly="1" outline="0"/>
    </format>
    <format dxfId="1077">
      <pivotArea field="45" type="button" dataOnly="0" labelOnly="1" outline="0"/>
    </format>
    <format dxfId="1076">
      <pivotArea type="all" dataOnly="0" outline="0" fieldPosition="0"/>
    </format>
    <format dxfId="1075">
      <pivotArea field="3" type="button" dataOnly="0" labelOnly="1" outline="0" axis="axisRow" fieldPosition="1"/>
    </format>
    <format dxfId="1074">
      <pivotArea field="6" type="button" dataOnly="0" labelOnly="1" outline="0"/>
    </format>
    <format dxfId="1073">
      <pivotArea field="7" type="button" dataOnly="0" labelOnly="1" outline="0"/>
    </format>
    <format dxfId="1072">
      <pivotArea field="1" type="button" dataOnly="0" labelOnly="1" outline="0"/>
    </format>
    <format dxfId="1071">
      <pivotArea field="45" type="button" dataOnly="0" labelOnly="1" outline="0"/>
    </format>
    <format dxfId="1070">
      <pivotArea field="3" type="button" dataOnly="0" labelOnly="1" outline="0" axis="axisRow" fieldPosition="1"/>
    </format>
    <format dxfId="1069">
      <pivotArea field="6" type="button" dataOnly="0" labelOnly="1" outline="0"/>
    </format>
    <format dxfId="1068">
      <pivotArea field="7" type="button" dataOnly="0" labelOnly="1" outline="0"/>
    </format>
    <format dxfId="1067">
      <pivotArea field="1" type="button" dataOnly="0" labelOnly="1" outline="0"/>
    </format>
    <format dxfId="1066">
      <pivotArea field="45" type="button" dataOnly="0" labelOnly="1" outline="0"/>
    </format>
    <format dxfId="1065">
      <pivotArea field="3" type="button" dataOnly="0" labelOnly="1" outline="0" axis="axisRow" fieldPosition="1"/>
    </format>
    <format dxfId="1064">
      <pivotArea field="6" type="button" dataOnly="0" labelOnly="1" outline="0"/>
    </format>
    <format dxfId="1063">
      <pivotArea field="7" type="button" dataOnly="0" labelOnly="1" outline="0"/>
    </format>
    <format dxfId="1062">
      <pivotArea field="1" type="button" dataOnly="0" labelOnly="1" outline="0"/>
    </format>
    <format dxfId="1061">
      <pivotArea field="45" type="button" dataOnly="0" labelOnly="1" outline="0"/>
    </format>
    <format dxfId="1060">
      <pivotArea type="all" dataOnly="0" outline="0" fieldPosition="0"/>
    </format>
    <format dxfId="1059">
      <pivotArea field="3" type="button" dataOnly="0" labelOnly="1" outline="0" axis="axisRow" fieldPosition="1"/>
    </format>
    <format dxfId="1058">
      <pivotArea field="6" type="button" dataOnly="0" labelOnly="1" outline="0"/>
    </format>
    <format dxfId="1057">
      <pivotArea field="7" type="button" dataOnly="0" labelOnly="1" outline="0"/>
    </format>
    <format dxfId="1056">
      <pivotArea field="1" type="button" dataOnly="0" labelOnly="1" outline="0"/>
    </format>
    <format dxfId="1055">
      <pivotArea field="45" type="button" dataOnly="0" labelOnly="1" outline="0"/>
    </format>
    <format dxfId="1054">
      <pivotArea field="46" type="button" dataOnly="0" labelOnly="1" outline="0"/>
    </format>
    <format dxfId="1053">
      <pivotArea field="3" type="button" dataOnly="0" labelOnly="1" outline="0" axis="axisRow" fieldPosition="1"/>
    </format>
    <format dxfId="1052">
      <pivotArea field="6" type="button" dataOnly="0" labelOnly="1" outline="0"/>
    </format>
    <format dxfId="1051">
      <pivotArea field="7" type="button" dataOnly="0" labelOnly="1" outline="0"/>
    </format>
    <format dxfId="1050">
      <pivotArea field="1" type="button" dataOnly="0" labelOnly="1" outline="0"/>
    </format>
    <format dxfId="1049">
      <pivotArea field="45" type="button" dataOnly="0" labelOnly="1" outline="0"/>
    </format>
    <format dxfId="1048">
      <pivotArea field="46" type="button" dataOnly="0" labelOnly="1" outline="0"/>
    </format>
    <format dxfId="1047">
      <pivotArea field="3" type="button" dataOnly="0" labelOnly="1" outline="0" axis="axisRow" fieldPosition="1"/>
    </format>
    <format dxfId="1046">
      <pivotArea field="6" type="button" dataOnly="0" labelOnly="1" outline="0"/>
    </format>
    <format dxfId="1045">
      <pivotArea field="7" type="button" dataOnly="0" labelOnly="1" outline="0"/>
    </format>
    <format dxfId="1044">
      <pivotArea field="1" type="button" dataOnly="0" labelOnly="1" outline="0"/>
    </format>
    <format dxfId="1043">
      <pivotArea field="45" type="button" dataOnly="0" labelOnly="1" outline="0"/>
    </format>
    <format dxfId="1042">
      <pivotArea field="46" type="button" dataOnly="0" labelOnly="1" outline="0"/>
    </format>
    <format dxfId="1041">
      <pivotArea field="3" type="button" dataOnly="0" labelOnly="1" outline="0" axis="axisRow" fieldPosition="1"/>
    </format>
    <format dxfId="1040">
      <pivotArea field="6" type="button" dataOnly="0" labelOnly="1" outline="0"/>
    </format>
    <format dxfId="1039">
      <pivotArea field="7" type="button" dataOnly="0" labelOnly="1" outline="0"/>
    </format>
    <format dxfId="1038">
      <pivotArea field="1" type="button" dataOnly="0" labelOnly="1" outline="0"/>
    </format>
    <format dxfId="1037">
      <pivotArea field="45" type="button" dataOnly="0" labelOnly="1" outline="0"/>
    </format>
    <format dxfId="1036">
      <pivotArea field="46" type="button" dataOnly="0" labelOnly="1" outline="0"/>
    </format>
    <format dxfId="1035">
      <pivotArea field="3" type="button" dataOnly="0" labelOnly="1" outline="0" axis="axisRow" fieldPosition="1"/>
    </format>
    <format dxfId="1034">
      <pivotArea field="6" type="button" dataOnly="0" labelOnly="1" outline="0"/>
    </format>
    <format dxfId="1033">
      <pivotArea field="7" type="button" dataOnly="0" labelOnly="1" outline="0"/>
    </format>
    <format dxfId="1032">
      <pivotArea field="1" type="button" dataOnly="0" labelOnly="1" outline="0"/>
    </format>
    <format dxfId="1031">
      <pivotArea field="45" type="button" dataOnly="0" labelOnly="1" outline="0"/>
    </format>
    <format dxfId="1030">
      <pivotArea field="46" type="button" dataOnly="0" labelOnly="1" outline="0"/>
    </format>
    <format dxfId="1029">
      <pivotArea field="3" type="button" dataOnly="0" labelOnly="1" outline="0" axis="axisRow" fieldPosition="1"/>
    </format>
    <format dxfId="1028">
      <pivotArea field="6" type="button" dataOnly="0" labelOnly="1" outline="0"/>
    </format>
    <format dxfId="1027">
      <pivotArea field="7" type="button" dataOnly="0" labelOnly="1" outline="0"/>
    </format>
    <format dxfId="1026">
      <pivotArea field="1" type="button" dataOnly="0" labelOnly="1" outline="0"/>
    </format>
    <format dxfId="1025">
      <pivotArea field="45" type="button" dataOnly="0" labelOnly="1" outline="0"/>
    </format>
    <format dxfId="1024">
      <pivotArea field="46" type="button" dataOnly="0" labelOnly="1" outline="0"/>
    </format>
    <format dxfId="1023">
      <pivotArea field="3" type="button" dataOnly="0" labelOnly="1" outline="0" axis="axisRow" fieldPosition="1"/>
    </format>
    <format dxfId="1022">
      <pivotArea field="6" type="button" dataOnly="0" labelOnly="1" outline="0"/>
    </format>
    <format dxfId="1021">
      <pivotArea field="7" type="button" dataOnly="0" labelOnly="1" outline="0"/>
    </format>
    <format dxfId="1020">
      <pivotArea field="1" type="button" dataOnly="0" labelOnly="1" outline="0"/>
    </format>
    <format dxfId="1019">
      <pivotArea field="45" type="button" dataOnly="0" labelOnly="1" outline="0"/>
    </format>
    <format dxfId="1018">
      <pivotArea field="46" type="button" dataOnly="0" labelOnly="1" outline="0"/>
    </format>
    <format dxfId="1017">
      <pivotArea field="3" type="button" dataOnly="0" labelOnly="1" outline="0" axis="axisRow" fieldPosition="1"/>
    </format>
    <format dxfId="1016">
      <pivotArea field="6" type="button" dataOnly="0" labelOnly="1" outline="0"/>
    </format>
    <format dxfId="1015">
      <pivotArea field="7" type="button" dataOnly="0" labelOnly="1" outline="0"/>
    </format>
    <format dxfId="1014">
      <pivotArea field="1" type="button" dataOnly="0" labelOnly="1" outline="0"/>
    </format>
    <format dxfId="1013">
      <pivotArea field="45" type="button" dataOnly="0" labelOnly="1" outline="0"/>
    </format>
    <format dxfId="1012">
      <pivotArea field="46" type="button" dataOnly="0" labelOnly="1" outline="0"/>
    </format>
    <format dxfId="1011">
      <pivotArea field="3" type="button" dataOnly="0" labelOnly="1" outline="0" axis="axisRow" fieldPosition="1"/>
    </format>
    <format dxfId="1010">
      <pivotArea field="6" type="button" dataOnly="0" labelOnly="1" outline="0"/>
    </format>
    <format dxfId="1009">
      <pivotArea field="7" type="button" dataOnly="0" labelOnly="1" outline="0"/>
    </format>
    <format dxfId="1008">
      <pivotArea field="1" type="button" dataOnly="0" labelOnly="1" outline="0"/>
    </format>
    <format dxfId="1007">
      <pivotArea field="45" type="button" dataOnly="0" labelOnly="1" outline="0"/>
    </format>
    <format dxfId="1006">
      <pivotArea field="46" type="button" dataOnly="0" labelOnly="1" outline="0"/>
    </format>
    <format dxfId="1005">
      <pivotArea field="3" type="button" dataOnly="0" labelOnly="1" outline="0" axis="axisRow" fieldPosition="1"/>
    </format>
    <format dxfId="1004">
      <pivotArea field="6" type="button" dataOnly="0" labelOnly="1" outline="0"/>
    </format>
    <format dxfId="1003">
      <pivotArea field="7" type="button" dataOnly="0" labelOnly="1" outline="0"/>
    </format>
    <format dxfId="1002">
      <pivotArea field="1" type="button" dataOnly="0" labelOnly="1" outline="0"/>
    </format>
    <format dxfId="1001">
      <pivotArea field="45" type="button" dataOnly="0" labelOnly="1" outline="0"/>
    </format>
    <format dxfId="1000">
      <pivotArea field="46" type="button" dataOnly="0" labelOnly="1" outline="0"/>
    </format>
    <format dxfId="999">
      <pivotArea field="3" type="button" dataOnly="0" labelOnly="1" outline="0" axis="axisRow" fieldPosition="1"/>
    </format>
    <format dxfId="998">
      <pivotArea field="6" type="button" dataOnly="0" labelOnly="1" outline="0"/>
    </format>
    <format dxfId="997">
      <pivotArea field="7" type="button" dataOnly="0" labelOnly="1" outline="0"/>
    </format>
    <format dxfId="996">
      <pivotArea field="1" type="button" dataOnly="0" labelOnly="1" outline="0"/>
    </format>
    <format dxfId="995">
      <pivotArea field="45" type="button" dataOnly="0" labelOnly="1" outline="0"/>
    </format>
    <format dxfId="994">
      <pivotArea field="46" type="button" dataOnly="0" labelOnly="1" outline="0"/>
    </format>
    <format dxfId="993">
      <pivotArea field="3" type="button" dataOnly="0" labelOnly="1" outline="0" axis="axisRow" fieldPosition="1"/>
    </format>
    <format dxfId="992">
      <pivotArea field="6" type="button" dataOnly="0" labelOnly="1" outline="0"/>
    </format>
    <format dxfId="991">
      <pivotArea field="7" type="button" dataOnly="0" labelOnly="1" outline="0"/>
    </format>
    <format dxfId="990">
      <pivotArea field="1" type="button" dataOnly="0" labelOnly="1" outline="0"/>
    </format>
    <format dxfId="989">
      <pivotArea field="45" type="button" dataOnly="0" labelOnly="1" outline="0"/>
    </format>
    <format dxfId="988">
      <pivotArea field="46" type="button" dataOnly="0" labelOnly="1" outline="0"/>
    </format>
    <format dxfId="987">
      <pivotArea field="3" type="button" dataOnly="0" labelOnly="1" outline="0" axis="axisRow" fieldPosition="1"/>
    </format>
    <format dxfId="986">
      <pivotArea field="6" type="button" dataOnly="0" labelOnly="1" outline="0"/>
    </format>
    <format dxfId="985">
      <pivotArea field="7" type="button" dataOnly="0" labelOnly="1" outline="0"/>
    </format>
    <format dxfId="984">
      <pivotArea field="1" type="button" dataOnly="0" labelOnly="1" outline="0"/>
    </format>
    <format dxfId="983">
      <pivotArea field="45" type="button" dataOnly="0" labelOnly="1" outline="0"/>
    </format>
    <format dxfId="982">
      <pivotArea field="46" type="button" dataOnly="0" labelOnly="1" outline="0"/>
    </format>
    <format dxfId="981">
      <pivotArea field="3" type="button" dataOnly="0" labelOnly="1" outline="0" axis="axisRow" fieldPosition="1"/>
    </format>
    <format dxfId="980">
      <pivotArea field="6" type="button" dataOnly="0" labelOnly="1" outline="0"/>
    </format>
    <format dxfId="979">
      <pivotArea field="7" type="button" dataOnly="0" labelOnly="1" outline="0"/>
    </format>
    <format dxfId="978">
      <pivotArea field="1" type="button" dataOnly="0" labelOnly="1" outline="0"/>
    </format>
    <format dxfId="977">
      <pivotArea field="45" type="button" dataOnly="0" labelOnly="1" outline="0"/>
    </format>
    <format dxfId="976">
      <pivotArea field="46" type="button" dataOnly="0" labelOnly="1" outline="0"/>
    </format>
    <format dxfId="975">
      <pivotArea field="3" type="button" dataOnly="0" labelOnly="1" outline="0" axis="axisRow" fieldPosition="1"/>
    </format>
    <format dxfId="974">
      <pivotArea field="6" type="button" dataOnly="0" labelOnly="1" outline="0"/>
    </format>
    <format dxfId="973">
      <pivotArea field="7" type="button" dataOnly="0" labelOnly="1" outline="0"/>
    </format>
    <format dxfId="972">
      <pivotArea field="1" type="button" dataOnly="0" labelOnly="1" outline="0"/>
    </format>
    <format dxfId="971">
      <pivotArea field="45" type="button" dataOnly="0" labelOnly="1" outline="0"/>
    </format>
    <format dxfId="970">
      <pivotArea field="46" type="button" dataOnly="0" labelOnly="1" outline="0"/>
    </format>
    <format dxfId="969">
      <pivotArea field="3" type="button" dataOnly="0" labelOnly="1" outline="0" axis="axisRow" fieldPosition="1"/>
    </format>
    <format dxfId="968">
      <pivotArea field="6" type="button" dataOnly="0" labelOnly="1" outline="0"/>
    </format>
    <format dxfId="967">
      <pivotArea field="7" type="button" dataOnly="0" labelOnly="1" outline="0"/>
    </format>
    <format dxfId="966">
      <pivotArea field="1" type="button" dataOnly="0" labelOnly="1" outline="0"/>
    </format>
    <format dxfId="965">
      <pivotArea field="24" type="button" dataOnly="0" labelOnly="1" outline="0"/>
    </format>
    <format dxfId="964">
      <pivotArea field="45" type="button" dataOnly="0" labelOnly="1" outline="0"/>
    </format>
    <format dxfId="963">
      <pivotArea field="46" type="button" dataOnly="0" labelOnly="1" outline="0"/>
    </format>
    <format dxfId="962">
      <pivotArea field="35" type="button" dataOnly="0" labelOnly="1" outline="0" axis="axisRow" fieldPosition="2"/>
    </format>
    <format dxfId="961">
      <pivotArea field="3" type="button" dataOnly="0" labelOnly="1" outline="0" axis="axisRow" fieldPosition="1"/>
    </format>
    <format dxfId="960">
      <pivotArea field="1" type="button" dataOnly="0" labelOnly="1" outline="0"/>
    </format>
    <format dxfId="959">
      <pivotArea field="24" type="button" dataOnly="0" labelOnly="1" outline="0"/>
    </format>
    <format dxfId="958">
      <pivotArea field="45" type="button" dataOnly="0" labelOnly="1" outline="0"/>
    </format>
    <format dxfId="957">
      <pivotArea field="46" type="button" dataOnly="0" labelOnly="1" outline="0"/>
    </format>
    <format dxfId="956">
      <pivotArea field="35" type="button" dataOnly="0" labelOnly="1" outline="0" axis="axisRow" fieldPosition="2"/>
    </format>
    <format dxfId="955">
      <pivotArea field="7" type="button" dataOnly="0" labelOnly="1" outline="0"/>
    </format>
    <format dxfId="954">
      <pivotArea field="6" type="button" dataOnly="0" labelOnly="1" outline="0"/>
    </format>
    <format dxfId="953">
      <pivotArea field="7" type="button" dataOnly="0" labelOnly="1" outline="0"/>
    </format>
    <format dxfId="952">
      <pivotArea field="6" type="button" dataOnly="0" labelOnly="1" outline="0"/>
    </format>
    <format dxfId="951">
      <pivotArea field="6" type="button" dataOnly="0" labelOnly="1" outline="0"/>
    </format>
    <format dxfId="950">
      <pivotArea outline="0" fieldPosition="0">
        <references count="1">
          <reference field="4294967294" count="1">
            <x v="0"/>
          </reference>
        </references>
      </pivotArea>
    </format>
    <format dxfId="949">
      <pivotArea field="49" type="button" dataOnly="0" labelOnly="1" outline="0" axis="axisPage" fieldPosition="0"/>
    </format>
    <format dxfId="948">
      <pivotArea field="47" type="button" dataOnly="0" labelOnly="1" outline="0" axis="axisRow" fieldPosition="0"/>
    </format>
    <format dxfId="947">
      <pivotArea field="3" type="button" dataOnly="0" labelOnly="1" outline="0" axis="axisRow" fieldPosition="1"/>
    </format>
    <format dxfId="946">
      <pivotArea field="45" type="button" dataOnly="0" labelOnly="1" outline="0"/>
    </format>
    <format dxfId="945">
      <pivotArea field="49" type="button" dataOnly="0" labelOnly="1" outline="0" axis="axisPage" fieldPosition="0"/>
    </format>
    <format dxfId="944">
      <pivotArea field="47" type="button" dataOnly="0" labelOnly="1" outline="0" axis="axisRow" fieldPosition="0"/>
    </format>
    <format dxfId="943">
      <pivotArea field="3" type="button" dataOnly="0" labelOnly="1" outline="0" axis="axisRow" fieldPosition="1"/>
    </format>
    <format dxfId="942">
      <pivotArea field="45" type="button" dataOnly="0" labelOnly="1" outline="0"/>
    </format>
    <format dxfId="941">
      <pivotArea dataOnly="0" labelOnly="1" outline="0" fieldPosition="0">
        <references count="1">
          <reference field="49" count="0"/>
        </references>
      </pivotArea>
    </format>
    <format dxfId="940">
      <pivotArea dataOnly="0" labelOnly="1" outline="0" fieldPosition="0">
        <references count="1">
          <reference field="47" count="0"/>
        </references>
      </pivotArea>
    </format>
    <format dxfId="939">
      <pivotArea field="49" type="button" dataOnly="0" labelOnly="1" outline="0" axis="axisPage" fieldPosition="0"/>
    </format>
    <format dxfId="938">
      <pivotArea dataOnly="0" labelOnly="1" outline="0" fieldPosition="0">
        <references count="1">
          <reference field="49" count="0"/>
        </references>
      </pivotArea>
    </format>
  </formats>
  <pivotTableStyleInfo name="PivotStyleMedium2" showRowHeaders="1" showColHeaders="1" showRowStripes="0" showColStripes="0" showLastColumn="1"/>
  <filters count="1">
    <filter fld="3" type="dateNewerThan" evalOrder="-1" id="1">
      <autoFilter ref="A1">
        <filterColumn colId="0">
          <customFilters>
            <customFilter operator="greaterThan" val="44926"/>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4" cacheId="1" applyNumberFormats="0" applyBorderFormats="0" applyFontFormats="0" applyPatternFormats="0" applyAlignmentFormats="0" applyWidthHeightFormats="1" dataCaption="Values" errorCaption="0" showError="1" missingCaption="0" updatedVersion="4" minRefreshableVersion="3" showDrill="0" rowGrandTotals="0" itemPrintTitles="1" createdVersion="5" indent="0" compact="0" compactData="0" gridDropZones="1" multipleFieldFilters="0" fieldListSortAscending="1">
  <location ref="A1:D13" firstHeaderRow="1" firstDataRow="2" firstDataCol="2"/>
  <pivotFields count="148">
    <pivotField axis="axisRow" compact="0" outline="0" showAll="0" defaultSubtotal="0">
      <items count="3122">
        <item m="1" x="883"/>
        <item m="1" x="2898"/>
        <item m="1" x="1802"/>
        <item m="1" x="1254"/>
        <item m="1" x="724"/>
        <item m="1" x="175"/>
        <item m="1" x="2742"/>
        <item m="1" x="2472"/>
        <item m="1" x="2198"/>
        <item m="1" x="1923"/>
        <item m="1" x="1638"/>
        <item m="1" x="1365"/>
        <item m="1" x="1104"/>
        <item m="1" x="838"/>
        <item m="1" x="560"/>
        <item m="1" x="423"/>
        <item m="1" x="286"/>
        <item m="1" x="150"/>
        <item m="1" x="15"/>
        <item m="1" x="2989"/>
        <item m="1" x="2855"/>
        <item m="1" x="2721"/>
        <item m="1" x="2585"/>
        <item m="1" x="2447"/>
        <item m="1" x="2311"/>
        <item m="1" x="2172"/>
        <item m="1" x="2034"/>
        <item m="1" x="1898"/>
        <item m="1" x="1756"/>
        <item m="1" x="1616"/>
        <item m="1" x="1485"/>
        <item m="1" x="1415"/>
        <item m="1" x="1343"/>
        <item m="1" x="1276"/>
        <item m="1" x="1208"/>
        <item m="1" x="1144"/>
        <item m="1" x="1081"/>
        <item m="1" x="1017"/>
        <item m="1" x="950"/>
        <item m="1" x="882"/>
        <item m="1" x="814"/>
        <item m="1" x="747"/>
        <item m="1" x="676"/>
        <item m="1" x="606"/>
        <item m="1" x="538"/>
        <item m="1" x="472"/>
        <item m="1" x="403"/>
        <item m="1" x="337"/>
        <item m="1" x="264"/>
        <item m="1" x="195"/>
        <item m="1" x="126"/>
        <item m="1" x="61"/>
        <item m="1" x="3101"/>
        <item m="1" x="3033"/>
        <item m="1" x="2962"/>
        <item m="1" x="2896"/>
        <item m="1" x="2826"/>
        <item m="1" x="2763"/>
        <item m="1" x="2693"/>
        <item m="1" x="2631"/>
        <item m="1" x="2559"/>
        <item m="1" x="2494"/>
        <item m="1" x="2423"/>
        <item m="1" x="837"/>
        <item m="1" x="2355"/>
        <item m="1" x="771"/>
        <item m="1" x="2291"/>
        <item m="1" x="701"/>
        <item m="1" x="2218"/>
        <item m="1" x="629"/>
        <item m="1" x="2148"/>
        <item m="1" x="559"/>
        <item m="1" x="2080"/>
        <item m="1" x="490"/>
        <item m="1" x="2010"/>
        <item m="1" x="420"/>
        <item m="1" x="1941"/>
        <item m="1" x="357"/>
        <item m="1" x="1870"/>
        <item m="1" x="283"/>
        <item m="1" x="1800"/>
        <item m="1" x="214"/>
        <item m="1" x="1729"/>
        <item m="1" x="147"/>
        <item m="1" x="1659"/>
        <item m="1" x="81"/>
        <item m="1" x="1589"/>
        <item m="1" x="12"/>
        <item m="1" x="1523"/>
        <item m="1" x="3056"/>
        <item m="1" x="1459"/>
        <item m="1" x="2986"/>
        <item m="1" x="1390"/>
        <item m="1" x="2921"/>
        <item m="1" x="1319"/>
        <item m="1" x="2852"/>
        <item m="1" x="1251"/>
        <item m="1" x="2785"/>
        <item m="1" x="1185"/>
        <item m="1" x="2719"/>
        <item m="1" x="1125"/>
        <item m="1" x="2650"/>
        <item m="1" x="1058"/>
        <item m="1" x="2583"/>
        <item m="1" x="994"/>
        <item m="1" x="2514"/>
        <item m="1" x="929"/>
        <item m="1" x="2444"/>
        <item m="1" x="858"/>
        <item m="1" x="2377"/>
        <item m="1" x="790"/>
        <item m="1" x="2308"/>
        <item m="1" x="721"/>
        <item m="1" x="2239"/>
        <item m="1" x="651"/>
        <item m="1" x="2169"/>
        <item m="1" x="578"/>
        <item m="1" x="2100"/>
        <item m="1" x="514"/>
        <item m="1" x="2032"/>
        <item m="1" x="445"/>
        <item m="1" x="1965"/>
        <item m="1" x="376"/>
        <item m="1" x="1895"/>
        <item m="1" x="311"/>
        <item m="1" x="1825"/>
        <item m="1" x="238"/>
        <item m="1" x="2557"/>
        <item m="1" x="1753"/>
        <item m="1" x="971"/>
        <item m="1" x="172"/>
        <item m="1" x="2493"/>
        <item m="1" x="1684"/>
        <item m="1" x="904"/>
        <item m="1" x="103"/>
        <item m="1" x="2421"/>
        <item m="1" x="1613"/>
        <item m="1" x="835"/>
        <item m="1" x="37"/>
        <item m="1" x="2353"/>
        <item m="1" x="1549"/>
        <item m="1" x="769"/>
        <item m="1" x="3080"/>
        <item m="1" x="2290"/>
        <item m="1" x="1483"/>
        <item m="1" x="700"/>
        <item m="1" x="3011"/>
        <item m="1" x="2217"/>
        <item m="1" x="1413"/>
        <item m="1" x="628"/>
        <item m="1" x="2942"/>
        <item m="1" x="2147"/>
        <item m="1" x="1341"/>
        <item m="1" x="558"/>
        <item m="1" x="2875"/>
        <item m="1" x="2079"/>
        <item m="1" x="1274"/>
        <item m="1" x="489"/>
        <item m="1" x="2805"/>
        <item m="1" x="2009"/>
        <item m="1" x="1205"/>
        <item m="1" x="419"/>
        <item m="1" x="2739"/>
        <item m="1" x="1940"/>
        <item m="1" x="1142"/>
        <item m="1" x="356"/>
        <item m="1" x="2669"/>
        <item m="1" x="1869"/>
        <item m="1" x="1078"/>
        <item m="1" x="282"/>
        <item m="1" x="2606"/>
        <item m="1" x="1799"/>
        <item m="1" x="1014"/>
        <item m="1" x="213"/>
        <item m="1" x="2532"/>
        <item m="1" x="1728"/>
        <item m="1" x="948"/>
        <item m="1" x="146"/>
        <item m="1" x="2469"/>
        <item m="1" x="1658"/>
        <item m="1" x="880"/>
        <item m="1" x="80"/>
        <item m="1" x="2396"/>
        <item m="1" x="1588"/>
        <item m="1" x="812"/>
        <item m="1" x="11"/>
        <item m="1" x="2331"/>
        <item m="1" x="1522"/>
        <item m="1" x="745"/>
        <item m="1" x="3055"/>
        <item m="1" x="2264"/>
        <item m="1" x="1458"/>
        <item m="1" x="673"/>
        <item m="1" x="2985"/>
        <item m="1" x="2195"/>
        <item m="1" x="1389"/>
        <item m="1" x="603"/>
        <item m="1" x="2920"/>
        <item m="1" x="2124"/>
        <item m="1" x="1318"/>
        <item m="1" x="535"/>
        <item m="1" x="2851"/>
        <item m="1" x="2057"/>
        <item m="1" x="1250"/>
        <item m="1" x="469"/>
        <item m="1" x="2784"/>
        <item m="1" x="1990"/>
        <item m="1" x="1184"/>
        <item m="1" x="400"/>
        <item m="1" x="2718"/>
        <item m="1" x="1921"/>
        <item m="1" x="1124"/>
        <item m="1" x="335"/>
        <item m="1" x="2649"/>
        <item m="1" x="1850"/>
        <item m="1" x="1057"/>
        <item m="1" x="262"/>
        <item m="1" x="2582"/>
        <item m="1" x="1778"/>
        <item m="1" x="993"/>
        <item m="1" x="193"/>
        <item m="1" x="2513"/>
        <item m="1" x="928"/>
        <item m="1" x="124"/>
        <item m="1" x="2443"/>
        <item m="1" x="1635"/>
        <item m="1" x="857"/>
        <item m="1" x="59"/>
        <item m="1" x="2376"/>
        <item m="1" x="1567"/>
        <item m="1" x="789"/>
        <item m="1" x="3099"/>
        <item m="1" x="2307"/>
        <item m="1" x="1502"/>
        <item m="1" x="720"/>
        <item m="1" x="3031"/>
        <item m="1" x="2238"/>
        <item m="1" x="1434"/>
        <item m="1" x="650"/>
        <item m="1" x="2960"/>
        <item m="1" x="2168"/>
        <item m="1" x="1362"/>
        <item m="1" x="577"/>
        <item m="1" x="2894"/>
        <item m="1" x="2099"/>
        <item m="1" x="1296"/>
        <item m="1" x="513"/>
        <item m="1" x="2825"/>
        <item m="1" x="2031"/>
        <item m="1" x="1227"/>
        <item m="1" x="444"/>
        <item m="1" x="2761"/>
        <item m="1" x="1964"/>
        <item m="1" x="1161"/>
        <item m="1" x="2330"/>
        <item m="1" x="375"/>
        <item m="1" x="1521"/>
        <item m="1" x="2691"/>
        <item m="1" x="744"/>
        <item m="1" x="1894"/>
        <item m="1" x="3054"/>
        <item m="1" x="1101"/>
        <item m="1" x="2263"/>
        <item m="1" x="310"/>
        <item m="1" x="1457"/>
        <item m="1" x="2629"/>
        <item m="1" x="672"/>
        <item m="1" x="1824"/>
        <item m="1" x="2984"/>
        <item m="1" x="1036"/>
        <item m="1" x="2194"/>
        <item m="1" x="237"/>
        <item m="1" x="1388"/>
        <item m="1" x="2556"/>
        <item m="1" x="602"/>
        <item m="1" x="1752"/>
        <item m="1" x="2919"/>
        <item m="1" x="970"/>
        <item m="1" x="2123"/>
        <item m="1" x="171"/>
        <item m="1" x="1317"/>
        <item m="1" x="2492"/>
        <item m="1" x="534"/>
        <item m="1" x="1683"/>
        <item m="1" x="2850"/>
        <item m="1" x="903"/>
        <item m="1" x="2056"/>
        <item m="1" x="102"/>
        <item m="1" x="1249"/>
        <item m="1" x="2420"/>
        <item m="1" x="468"/>
        <item m="1" x="1612"/>
        <item m="1" x="2783"/>
        <item m="1" x="834"/>
        <item m="1" x="1989"/>
        <item m="1" x="36"/>
        <item m="1" x="1183"/>
        <item m="1" x="2352"/>
        <item m="1" x="399"/>
        <item m="1" x="1548"/>
        <item m="1" x="2717"/>
        <item m="1" x="768"/>
        <item m="1" x="1920"/>
        <item m="1" x="3079"/>
        <item m="1" x="1123"/>
        <item m="1" x="2289"/>
        <item m="1" x="334"/>
        <item m="1" x="1482"/>
        <item m="1" x="2648"/>
        <item m="1" x="699"/>
        <item m="1" x="1849"/>
        <item m="1" x="3010"/>
        <item m="1" x="1056"/>
        <item m="1" x="2216"/>
        <item m="1" x="261"/>
        <item m="1" x="1412"/>
        <item m="1" x="2581"/>
        <item m="1" x="627"/>
        <item m="1" x="1777"/>
        <item m="1" x="2941"/>
        <item m="1" x="992"/>
        <item m="1" x="2146"/>
        <item m="1" x="192"/>
        <item m="1" x="1340"/>
        <item m="1" x="2512"/>
        <item m="1" x="557"/>
        <item m="1" x="1707"/>
        <item m="1" x="2874"/>
        <item m="1" x="927"/>
        <item m="1" x="2078"/>
        <item m="1" x="123"/>
        <item m="1" x="1273"/>
        <item m="1" x="2442"/>
        <item m="1" x="488"/>
        <item m="1" x="1634"/>
        <item m="1" x="2804"/>
        <item m="1" x="856"/>
        <item m="1" x="2008"/>
        <item m="1" x="58"/>
        <item m="1" x="1204"/>
        <item m="1" x="2375"/>
        <item m="1" x="418"/>
        <item m="1" x="1566"/>
        <item m="1" x="2738"/>
        <item m="1" x="788"/>
        <item m="1" x="1939"/>
        <item m="1" x="3098"/>
        <item m="1" x="1141"/>
        <item m="1" x="2306"/>
        <item m="1" x="355"/>
        <item m="1" x="1501"/>
        <item m="1" x="2668"/>
        <item m="1" x="719"/>
        <item m="1" x="1868"/>
        <item m="1" x="3030"/>
        <item m="1" x="1077"/>
        <item m="1" x="2237"/>
        <item m="1" x="281"/>
        <item m="1" x="1433"/>
        <item m="1" x="2605"/>
        <item m="1" x="649"/>
        <item m="1" x="1798"/>
        <item m="1" x="2959"/>
        <item m="1" x="1013"/>
        <item m="1" x="2167"/>
        <item m="1" x="212"/>
        <item m="1" x="1361"/>
        <item m="1" x="2531"/>
        <item m="1" x="576"/>
        <item m="1" x="1727"/>
        <item m="1" x="2893"/>
        <item m="1" x="947"/>
        <item m="1" x="2098"/>
        <item m="1" x="145"/>
        <item m="1" x="1295"/>
        <item m="1" x="2468"/>
        <item m="1" x="512"/>
        <item m="1" x="1657"/>
        <item m="1" x="2824"/>
        <item m="1" x="879"/>
        <item m="1" x="2030"/>
        <item m="1" x="79"/>
        <item m="1" x="1226"/>
        <item m="1" x="2395"/>
        <item m="1" x="443"/>
        <item m="1" x="1587"/>
        <item m="1" x="2760"/>
        <item m="1" x="1893"/>
        <item m="1" x="3053"/>
        <item m="1" x="1100"/>
        <item m="1" x="2262"/>
        <item m="1" x="309"/>
        <item m="1" x="1456"/>
        <item m="1" x="2628"/>
        <item m="1" x="671"/>
        <item m="1" x="1823"/>
        <item m="1" x="2983"/>
        <item m="1" x="1035"/>
        <item m="1" x="2193"/>
        <item m="1" x="236"/>
        <item m="1" x="1387"/>
        <item m="1" x="2555"/>
        <item m="1" x="601"/>
        <item m="1" x="1751"/>
        <item m="1" x="2918"/>
        <item m="1" x="969"/>
        <item m="1" x="2122"/>
        <item m="1" x="170"/>
        <item m="1" x="1316"/>
        <item m="1" x="2491"/>
        <item m="1" x="533"/>
        <item m="1" x="1682"/>
        <item m="1" x="2849"/>
        <item m="1" x="902"/>
        <item m="1" x="2055"/>
        <item m="1" x="101"/>
        <item m="1" x="1248"/>
        <item m="1" x="2419"/>
        <item m="1" x="467"/>
        <item m="1" x="1611"/>
        <item m="1" x="2782"/>
        <item m="1" x="833"/>
        <item m="1" x="1988"/>
        <item m="1" x="35"/>
        <item m="1" x="1182"/>
        <item m="1" x="2351"/>
        <item m="1" x="398"/>
        <item m="1" x="1547"/>
        <item m="1" x="2716"/>
        <item m="1" x="767"/>
        <item m="1" x="1919"/>
        <item m="1" x="3078"/>
        <item m="1" x="1122"/>
        <item m="1" x="2288"/>
        <item m="1" x="333"/>
        <item m="1" x="1481"/>
        <item m="1" x="2647"/>
        <item m="1" x="698"/>
        <item m="1" x="1848"/>
        <item m="1" x="3009"/>
        <item m="1" x="1055"/>
        <item m="1" x="2215"/>
        <item m="1" x="260"/>
        <item m="1" x="1411"/>
        <item m="1" x="2580"/>
        <item m="1" x="626"/>
        <item m="1" x="1776"/>
        <item m="1" x="2940"/>
        <item m="1" x="991"/>
        <item m="1" x="2145"/>
        <item m="1" x="191"/>
        <item m="1" x="1339"/>
        <item m="1" x="2511"/>
        <item m="1" x="556"/>
        <item m="1" x="1706"/>
        <item m="1" x="2873"/>
        <item m="1" x="926"/>
        <item m="1" x="2077"/>
        <item m="1" x="122"/>
        <item m="1" x="1272"/>
        <item m="1" x="2441"/>
        <item m="1" x="487"/>
        <item m="1" x="1633"/>
        <item m="1" x="2803"/>
        <item m="1" x="855"/>
        <item m="1" x="2007"/>
        <item m="1" x="57"/>
        <item m="1" x="1203"/>
        <item m="1" x="2374"/>
        <item m="1" x="417"/>
        <item m="1" x="1565"/>
        <item m="1" x="2737"/>
        <item m="1" x="787"/>
        <item m="1" x="1938"/>
        <item m="1" x="3097"/>
        <item m="1" x="1140"/>
        <item m="1" x="2305"/>
        <item m="1" x="354"/>
        <item m="1" x="1500"/>
        <item m="1" x="2667"/>
        <item m="1" x="718"/>
        <item m="1" x="1867"/>
        <item m="1" x="3029"/>
        <item m="1" x="1076"/>
        <item m="1" x="2236"/>
        <item m="1" x="280"/>
        <item m="1" x="1432"/>
        <item m="1" x="2604"/>
        <item m="1" x="648"/>
        <item m="1" x="1797"/>
        <item m="1" x="2958"/>
        <item m="1" x="1012"/>
        <item m="1" x="2166"/>
        <item m="1" x="211"/>
        <item m="1" x="1360"/>
        <item m="1" x="2530"/>
        <item m="1" x="575"/>
        <item m="1" x="1726"/>
        <item m="1" x="2892"/>
        <item m="1" x="946"/>
        <item m="1" x="2097"/>
        <item m="1" x="2678"/>
        <item m="1" x="144"/>
        <item m="1" x="733"/>
        <item m="1" x="1294"/>
        <item m="1" x="1881"/>
        <item m="1" x="2467"/>
        <item m="1" x="3044"/>
        <item m="1" x="511"/>
        <item m="1" x="1090"/>
        <item m="1" x="1656"/>
        <item m="1" x="2249"/>
        <item m="1" x="2823"/>
        <item m="1" x="296"/>
        <item m="1" x="878"/>
        <item m="1" x="1444"/>
        <item m="1" x="2029"/>
        <item m="1" x="2617"/>
        <item m="1" x="78"/>
        <item m="1" x="661"/>
        <item m="1" x="1225"/>
        <item m="1" x="1811"/>
        <item m="1" x="2394"/>
        <item m="1" x="2972"/>
        <item m="1" x="442"/>
        <item m="1" x="1024"/>
        <item m="1" x="1586"/>
        <item m="1" x="2181"/>
        <item m="1" x="2759"/>
        <item m="1" x="225"/>
        <item m="1" x="811"/>
        <item m="1" x="1375"/>
        <item m="1" x="1963"/>
        <item m="1" x="2545"/>
        <item m="1" x="3121"/>
        <item m="1" x="590"/>
        <item m="1" x="1160"/>
        <item m="1" x="1739"/>
        <item m="1" x="2329"/>
        <item m="1" x="2907"/>
        <item m="1" x="374"/>
        <item m="1" x="958"/>
        <item m="1" x="1520"/>
        <item m="1" x="2110"/>
        <item m="1" x="2690"/>
        <item m="1" x="159"/>
        <item m="1" x="743"/>
        <item m="1" x="1305"/>
        <item m="1" x="1892"/>
        <item m="1" x="2481"/>
        <item m="1" x="3052"/>
        <item m="1" x="523"/>
        <item m="1" x="1099"/>
        <item m="1" x="1670"/>
        <item m="1" x="2261"/>
        <item m="1" x="2837"/>
        <item m="1" x="308"/>
        <item m="1" x="893"/>
        <item m="1" x="1455"/>
        <item m="1" x="2043"/>
        <item m="1" x="2627"/>
        <item m="1" x="91"/>
        <item m="1" x="670"/>
        <item m="1" x="1235"/>
        <item m="1" x="1822"/>
        <item m="1" x="2407"/>
        <item m="1" x="2982"/>
        <item m="1" x="456"/>
        <item m="1" x="1034"/>
        <item m="1" x="1600"/>
        <item m="1" x="2192"/>
        <item m="1" x="2772"/>
        <item m="1" x="235"/>
        <item m="1" x="821"/>
        <item m="1" x="1386"/>
        <item m="1" x="2781"/>
        <item m="1" x="249"/>
        <item m="1" x="832"/>
        <item m="1" x="1401"/>
        <item m="1" x="1987"/>
        <item m="1" x="2568"/>
        <item m="1" x="34"/>
        <item m="1" x="615"/>
        <item m="1" x="1181"/>
        <item m="1" x="1766"/>
        <item m="1" x="2350"/>
        <item m="1" x="2930"/>
        <item m="1" x="397"/>
        <item m="1" x="981"/>
        <item m="1" x="1546"/>
        <item m="1" x="2135"/>
        <item m="1" x="2715"/>
        <item m="1" x="183"/>
        <item m="1" x="766"/>
        <item m="1" x="1330"/>
        <item m="1" x="1918"/>
        <item m="1" x="2502"/>
        <item m="1" x="3077"/>
        <item m="1" x="548"/>
        <item m="1" x="1121"/>
        <item m="1" x="1697"/>
        <item m="1" x="2287"/>
        <item m="1" x="2863"/>
        <item m="1" x="332"/>
        <item m="1" x="916"/>
        <item m="1" x="1480"/>
        <item m="1" x="2068"/>
        <item m="1" x="2646"/>
        <item m="1" x="114"/>
        <item m="1" x="697"/>
        <item m="1" x="1262"/>
        <item m="1" x="1847"/>
        <item m="1" x="2433"/>
        <item m="1" x="3008"/>
        <item m="1" x="479"/>
        <item m="1" x="1054"/>
        <item m="1" x="1623"/>
        <item m="1" x="2214"/>
        <item m="1" x="2793"/>
        <item m="1" x="259"/>
        <item m="1" x="845"/>
        <item m="1" x="1410"/>
        <item m="1" x="1998"/>
        <item m="1" x="2579"/>
        <item m="1" x="47"/>
        <item m="1" x="625"/>
        <item m="1" x="1195"/>
        <item m="1" x="1775"/>
        <item m="1" x="2364"/>
        <item m="1" x="2939"/>
        <item m="1" x="410"/>
        <item m="1" x="990"/>
        <item m="1" x="1558"/>
        <item m="1" x="2144"/>
        <item m="1" x="2728"/>
        <item m="1" x="190"/>
        <item m="1" x="779"/>
        <item m="1" x="1338"/>
        <item m="1" x="1929"/>
        <item m="1" x="2510"/>
        <item m="1" x="3088"/>
        <item m="1" x="555"/>
        <item m="1" x="1133"/>
        <item m="1" x="1705"/>
        <item m="1" x="2298"/>
        <item m="1" x="2872"/>
        <item m="1" x="345"/>
        <item m="1" x="925"/>
        <item m="1" x="1491"/>
        <item m="1" x="2076"/>
        <item m="1" x="2658"/>
        <item m="1" x="121"/>
        <item m="1" x="710"/>
        <item m="1" x="1271"/>
        <item m="1" x="1858"/>
        <item m="1" x="2440"/>
        <item m="1" x="3020"/>
        <item m="1" x="486"/>
        <item m="1" x="1067"/>
        <item m="1" x="1632"/>
        <item m="1" x="2227"/>
        <item m="1" x="2802"/>
        <item m="1" x="271"/>
        <item m="1" x="854"/>
        <item m="1" x="1422"/>
        <item m="1" x="2006"/>
        <item m="1" x="2593"/>
        <item m="1" x="56"/>
        <item m="1" x="637"/>
        <item m="1" x="1202"/>
        <item m="1" x="1786"/>
        <item m="1" x="2373"/>
        <item m="1" x="2949"/>
        <item m="1" x="485"/>
        <item m="1" x="1066"/>
        <item m="1" x="1631"/>
        <item m="1" x="2226"/>
        <item m="1" x="2801"/>
        <item m="1" x="270"/>
        <item m="1" x="853"/>
        <item m="1" x="1421"/>
        <item m="1" x="2005"/>
        <item m="1" x="2592"/>
        <item m="1" x="55"/>
        <item m="1" x="636"/>
        <item m="1" x="1201"/>
        <item m="1" x="1785"/>
        <item m="1" x="2372"/>
        <item m="1" x="2948"/>
        <item m="1" x="416"/>
        <item m="1" x="1000"/>
        <item m="1" x="1564"/>
        <item m="1" x="2155"/>
        <item m="1" x="2736"/>
        <item m="1" x="200"/>
        <item m="1" x="786"/>
        <item m="1" x="1350"/>
        <item m="1" x="1937"/>
        <item m="1" x="2522"/>
        <item m="1" x="3096"/>
        <item m="1" x="564"/>
        <item m="1" x="1139"/>
        <item m="1" x="1715"/>
        <item m="1" x="2304"/>
        <item m="1" x="2883"/>
        <item m="1" x="353"/>
        <item m="1" x="937"/>
        <item m="1" x="1499"/>
        <item m="1" x="2088"/>
        <item m="1" x="2666"/>
        <item m="1" x="133"/>
        <item m="1" x="717"/>
        <item m="1" x="1283"/>
        <item m="1" x="1866"/>
        <item m="1" x="2455"/>
        <item m="1" x="3028"/>
        <item m="1" x="205"/>
        <item m="1" x="499"/>
        <item m="1" x="795"/>
        <item m="1" x="1075"/>
        <item m="1" x="1355"/>
        <item m="1" x="1645"/>
        <item m="1" x="1946"/>
        <item m="1" x="2235"/>
        <item m="1" x="2526"/>
        <item m="1" x="2813"/>
        <item m="1" x="3105"/>
        <item m="1" x="279"/>
        <item m="1" x="569"/>
        <item m="1" x="867"/>
        <item m="1" x="1147"/>
        <item m="1" x="1431"/>
        <item m="1" x="1720"/>
        <item m="1" x="2019"/>
        <item m="1" x="2315"/>
        <item m="1" x="2603"/>
        <item m="1" x="2888"/>
        <item m="1" x="68"/>
        <item m="1" x="361"/>
        <item m="1" x="647"/>
        <item m="1" x="942"/>
        <item m="1" x="1215"/>
        <item m="1" x="1507"/>
        <item m="1" x="1796"/>
        <item m="1" x="2094"/>
        <item m="1" x="2385"/>
        <item m="1" x="2674"/>
        <item m="1" x="2957"/>
        <item m="1" x="138"/>
        <item m="1" x="431"/>
        <item m="1" x="728"/>
        <item m="1" x="1011"/>
        <item m="1" x="1288"/>
        <item m="1" x="1576"/>
        <item m="1" x="1875"/>
        <item m="1" x="2165"/>
        <item m="1" x="2461"/>
        <item m="1" x="2750"/>
        <item m="1" x="3037"/>
        <item m="1" x="210"/>
        <item m="1" x="504"/>
        <item m="1" x="800"/>
        <item m="1" x="1293"/>
        <item m="1" x="1581"/>
        <item m="1" x="1880"/>
        <item m="1" x="2176"/>
        <item m="1" x="2466"/>
        <item m="1" x="2754"/>
        <item m="1" x="3043"/>
        <item m="1" x="220"/>
        <item m="1" x="510"/>
        <item m="1" x="806"/>
        <item m="1" x="1089"/>
        <item m="1" x="1369"/>
        <item m="1" x="1655"/>
        <item m="1" x="1956"/>
        <item m="1" x="2248"/>
        <item m="1" x="2538"/>
        <item m="1" x="2822"/>
        <item m="1" x="3115"/>
        <item m="1" x="295"/>
        <item m="1" x="584"/>
        <item m="1" x="877"/>
        <item m="1" x="1155"/>
        <item m="1" x="1443"/>
        <item m="1" x="1734"/>
        <item m="1" x="2028"/>
        <item m="1" x="2325"/>
        <item m="1" x="2616"/>
        <item m="1" x="2902"/>
        <item m="1" x="77"/>
        <item m="1" x="369"/>
        <item m="1" x="660"/>
        <item m="1" x="954"/>
        <item m="1" x="1224"/>
        <item m="1" x="1515"/>
        <item m="1" x="1810"/>
        <item m="1" x="2105"/>
        <item m="1" x="2393"/>
        <item m="1" x="2684"/>
        <item m="1" x="2971"/>
        <item m="1" x="153"/>
        <item m="1" x="441"/>
        <item m="1" x="737"/>
        <item m="1" x="1023"/>
        <item m="1" x="1300"/>
        <item m="1" x="1585"/>
        <item m="1" x="1886"/>
        <item m="1" x="2180"/>
        <item m="1" x="2475"/>
        <item m="1" x="2758"/>
        <item m="1" x="3047"/>
        <item m="1" x="224"/>
        <item m="1" x="518"/>
        <item m="1" x="810"/>
        <item m="1" x="1095"/>
        <item m="1" x="1374"/>
        <item m="1" x="1664"/>
        <item m="1" x="1962"/>
        <item m="1" x="2255"/>
        <item m="1" x="2544"/>
        <item m="1" x="2831"/>
        <item m="1" x="3120"/>
        <item m="1" x="302"/>
        <item m="1" x="589"/>
        <item m="1" x="887"/>
        <item m="1" x="1159"/>
        <item m="1" x="1449"/>
        <item m="1" x="1738"/>
        <item m="1" x="1385"/>
        <item m="1" x="1676"/>
        <item m="1" x="1975"/>
        <item m="1" x="2269"/>
        <item m="1" x="2554"/>
        <item m="1" x="2843"/>
        <item m="1" x="24"/>
        <item m="1" x="315"/>
        <item m="1" x="600"/>
        <item m="1" x="898"/>
        <item m="1" x="1171"/>
        <item m="1" x="1465"/>
        <item m="1" x="1750"/>
        <item m="1" x="2049"/>
        <item m="1" x="2341"/>
        <item m="1" x="2635"/>
        <item m="1" x="2917"/>
        <item m="1" x="97"/>
        <item m="1" x="385"/>
        <item m="1" x="680"/>
        <item m="1" x="968"/>
        <item m="1" x="1241"/>
        <item m="1" x="1533"/>
        <item m="1" x="1830"/>
        <item m="1" x="2121"/>
        <item m="1" x="2413"/>
        <item m="1" x="2703"/>
        <item m="1" x="2993"/>
        <item m="1" x="169"/>
        <item m="1" x="461"/>
        <item m="1" x="755"/>
        <item m="1" x="1041"/>
        <item m="1" x="1315"/>
        <item m="1" x="1605"/>
        <item m="1" x="1906"/>
        <item m="1" x="2201"/>
        <item m="1" x="2490"/>
        <item m="1" x="2776"/>
        <item m="1" x="3066"/>
        <item m="1" x="243"/>
        <item m="1" x="532"/>
        <item m="1" x="826"/>
        <item m="1" x="1111"/>
        <item m="1" x="1395"/>
        <item m="1" x="1681"/>
        <item m="1" x="1980"/>
        <item m="1" x="2274"/>
        <item m="1" x="2562"/>
        <item m="1" x="2848"/>
        <item m="1" x="29"/>
        <item m="1" x="320"/>
        <item m="1" x="391"/>
        <item m="1" x="686"/>
        <item m="1" x="975"/>
        <item m="1" x="1247"/>
        <item m="1" x="1539"/>
        <item m="1" x="1836"/>
        <item m="1" x="466"/>
        <item m="1" x="760"/>
        <item m="1" x="1045"/>
        <item m="1" x="1324"/>
        <item m="1" x="1610"/>
        <item m="1" x="1911"/>
        <item m="1" x="2204"/>
        <item m="1" x="2496"/>
        <item m="1" x="2780"/>
        <item m="1" x="3071"/>
        <item m="1" x="248"/>
        <item m="1" x="541"/>
        <item m="1" x="831"/>
        <item m="1" x="1115"/>
        <item m="1" x="1400"/>
        <item m="1" x="1690"/>
        <item m="1" x="1986"/>
        <item m="1" x="2280"/>
        <item m="1" x="2567"/>
        <item m="1" x="2857"/>
        <item m="1" x="33"/>
        <item m="1" x="326"/>
        <item m="1" x="614"/>
        <item m="1" x="910"/>
        <item m="1" x="1180"/>
        <item m="1" x="1475"/>
        <item m="1" x="1765"/>
        <item m="1" x="2062"/>
        <item m="1" x="2349"/>
        <item m="1" x="2641"/>
        <item m="1" x="2929"/>
        <item m="1" x="109"/>
        <item m="1" x="396"/>
        <item m="1" x="692"/>
        <item m="1" x="980"/>
        <item m="1" x="1257"/>
        <item m="1" x="1545"/>
        <item m="1" x="1842"/>
        <item m="1" x="2134"/>
        <item m="1" x="2428"/>
        <item m="1" x="2714"/>
        <item m="1" x="3004"/>
        <item m="1" x="182"/>
        <item m="1" x="475"/>
        <item m="1" x="765"/>
        <item m="1" x="1050"/>
        <item m="1" x="1329"/>
        <item m="1" x="1620"/>
        <item m="1" x="1917"/>
        <item m="1" x="2210"/>
        <item m="1" x="2501"/>
        <item m="1" x="2789"/>
        <item m="1" x="3076"/>
        <item m="1" x="255"/>
        <item m="1" x="547"/>
        <item m="1" x="841"/>
        <item m="1" x="1120"/>
        <item m="1" x="1406"/>
        <item m="1" x="1696"/>
        <item m="1" x="1995"/>
        <item m="1" x="2286"/>
        <item m="1" x="2574"/>
        <item m="1" x="2862"/>
        <item m="1" x="42"/>
        <item m="1" x="331"/>
        <item m="1" x="621"/>
        <item m="1" x="915"/>
        <item m="1" x="1190"/>
        <item m="1" x="1479"/>
        <item m="1" x="1771"/>
        <item m="1" x="2067"/>
        <item m="1" x="2359"/>
        <item m="1" x="2645"/>
        <item m="1" x="2934"/>
        <item m="1" x="113"/>
        <item m="1" x="405"/>
        <item m="1" x="696"/>
        <item m="1" x="985"/>
        <item m="1" x="1261"/>
        <item m="1" x="1553"/>
        <item m="1" x="1846"/>
        <item m="1" x="2139"/>
        <item m="1" x="2432"/>
        <item m="1" x="2723"/>
        <item m="1" x="3007"/>
        <item m="1" x="186"/>
        <item m="1" x="478"/>
        <item m="1" x="774"/>
        <item m="1" x="1053"/>
        <item m="1" x="1333"/>
        <item m="1" x="1622"/>
        <item m="1" x="1925"/>
        <item m="1" x="2213"/>
        <item m="1" x="2505"/>
        <item m="1" x="2792"/>
        <item m="1" x="3083"/>
        <item m="1" x="258"/>
        <item m="1" x="550"/>
        <item m="1" x="844"/>
        <item m="1" x="1128"/>
        <item m="1" x="1409"/>
        <item m="1" x="1700"/>
        <item m="1" x="1997"/>
        <item m="1" x="2293"/>
        <item m="1" x="2578"/>
        <item m="1" x="2867"/>
        <item m="1" x="46"/>
        <item m="1" x="340"/>
        <item m="1" x="624"/>
        <item m="1" x="920"/>
        <item m="1" x="1194"/>
        <item m="1" x="1487"/>
        <item m="1" x="1774"/>
        <item m="1" x="2072"/>
        <item m="1" x="2363"/>
        <item m="1" x="2653"/>
        <item m="1" x="2938"/>
        <item m="1" x="118"/>
        <item m="1" x="409"/>
        <item m="1" x="705"/>
        <item m="1" x="989"/>
        <item m="1" x="1266"/>
        <item m="1" x="1557"/>
        <item m="1" x="1854"/>
        <item m="1" x="2143"/>
        <item m="1" x="2436"/>
        <item m="1" x="2727"/>
        <item m="1" x="3015"/>
        <item m="1" x="189"/>
        <item m="1" x="482"/>
        <item m="1" x="778"/>
        <item m="1" x="1062"/>
        <item m="1" x="1337"/>
        <item m="1" x="1627"/>
        <item m="1" x="1928"/>
        <item m="1" x="2222"/>
        <item m="1" x="2509"/>
        <item m="1" x="2797"/>
        <item m="1" x="3087"/>
        <item m="1" x="267"/>
        <item m="1" x="554"/>
        <item m="1" x="849"/>
        <item m="1" x="1132"/>
        <item m="1" x="1418"/>
        <item m="1" x="1704"/>
        <item m="1" x="2002"/>
        <item m="1" x="2297"/>
        <item m="1" x="2588"/>
        <item m="1" x="2871"/>
        <item m="1" x="51"/>
        <item m="1" x="344"/>
        <item m="1" x="633"/>
        <item m="1" x="924"/>
        <item m="1" x="1198"/>
        <item m="1" x="2368"/>
        <item m="1" x="2657"/>
        <item m="1" x="709"/>
        <item m="1" x="1270"/>
        <item m="1" x="3019"/>
        <item m="1" x="1065"/>
        <item m="1" x="1345"/>
        <item m="1" x="1630"/>
        <item m="1" x="1932"/>
        <item m="1" x="2225"/>
        <item m="1" x="2517"/>
        <item m="1" x="2800"/>
        <item m="1" x="3091"/>
        <item m="1" x="269"/>
        <item m="1" x="852"/>
        <item m="1" x="2591"/>
        <item m="1" x="348"/>
        <item m="1" x="1714"/>
        <item m="1" x="1210"/>
        <item m="1" x="2665"/>
        <item m="1" x="132"/>
        <item m="1" x="426"/>
        <item m="1" x="716"/>
        <item m="1" x="1005"/>
        <item m="1" x="2160"/>
        <item m="1" x="2454"/>
        <item m="1" x="2745"/>
        <item m="1" x="3027"/>
        <item m="1" x="204"/>
        <item m="1" x="2314"/>
        <item m="1" x="2602"/>
        <item m="1" x="2887"/>
        <item m="1" x="646"/>
        <item m="1" x="1795"/>
        <item m="1" x="2093"/>
        <item m="1" x="2384"/>
        <item m="1" x="2673"/>
        <item m="1" x="727"/>
        <item m="1" x="1010"/>
        <item m="1" x="1874"/>
        <item m="1" x="2164"/>
        <item m="1" x="2460"/>
        <item m="1" x="2749"/>
        <item m="1" x="3036"/>
        <item m="1" x="209"/>
        <item m="1" x="503"/>
        <item m="1" x="799"/>
        <item m="1" x="1083"/>
        <item m="1" x="1359"/>
        <item m="1" x="1649"/>
        <item m="1" x="1950"/>
        <item m="1" x="2243"/>
        <item m="1" x="3110"/>
        <item m="1" x="289"/>
        <item m="1" x="574"/>
        <item m="1" x="872"/>
        <item m="1" x="1152"/>
        <item m="1" x="1439"/>
        <item m="1" x="1725"/>
        <item m="1" x="2023"/>
        <item m="1" x="2319"/>
        <item m="1" x="2611"/>
        <item m="1" x="2677"/>
        <item m="1" x="2966"/>
        <item m="1" x="143"/>
        <item m="1" x="435"/>
        <item m="1" x="732"/>
        <item m="1" x="1020"/>
        <item m="1" x="1580"/>
        <item m="1" x="1879"/>
        <item m="1" x="2175"/>
        <item m="1" x="2465"/>
        <item m="1" x="2753"/>
        <item m="1" x="3042"/>
        <item m="1" x="219"/>
        <item m="1" x="509"/>
        <item m="1" x="805"/>
        <item m="1" x="1088"/>
        <item m="1" x="1368"/>
        <item m="1" x="1654"/>
        <item m="1" x="1955"/>
        <item m="1" x="2247"/>
        <item m="1" x="2537"/>
        <item m="1" x="2821"/>
        <item m="1" x="294"/>
        <item m="1" x="583"/>
        <item m="1" x="1154"/>
        <item m="1" x="1442"/>
        <item m="1" x="1733"/>
        <item m="1" x="2027"/>
        <item m="1" x="2324"/>
        <item m="1" x="2615"/>
        <item m="1" x="2901"/>
        <item m="1" x="76"/>
        <item m="1" x="368"/>
        <item m="1" x="659"/>
        <item m="1" x="953"/>
        <item m="1" x="1223"/>
        <item m="1" x="1809"/>
        <item m="1" x="2104"/>
        <item m="1" x="2683"/>
        <item m="1" x="2970"/>
        <item m="1" x="152"/>
        <item m="1" x="440"/>
        <item m="1" x="1885"/>
        <item m="1" x="2179"/>
        <item m="1" x="2474"/>
        <item m="1" x="1094"/>
        <item m="1" x="1373"/>
        <item m="1" x="1663"/>
        <item m="1" x="1961"/>
        <item m="1" x="2254"/>
        <item m="1" x="2543"/>
        <item m="1" x="2830"/>
        <item m="1" x="3119"/>
        <item m="1" x="301"/>
        <item m="1" x="588"/>
        <item m="1" x="886"/>
        <item m="1" x="1158"/>
        <item m="1" x="1448"/>
        <item m="1" x="1737"/>
        <item m="1" x="2037"/>
        <item m="1" x="2328"/>
        <item m="1" x="2621"/>
        <item m="1" x="2906"/>
        <item m="1" x="85"/>
        <item m="1" x="373"/>
        <item m="1" x="665"/>
        <item m="1" x="957"/>
        <item m="1" x="1229"/>
        <item m="1" x="1519"/>
        <item m="1" x="1816"/>
        <item m="1" x="2401"/>
        <item m="1" x="2689"/>
        <item m="1" x="158"/>
        <item m="1" x="450"/>
        <item m="1" x="742"/>
        <item m="1" x="1029"/>
        <item m="1" x="1304"/>
        <item m="1" x="1594"/>
        <item m="1" x="1891"/>
        <item m="1" x="2186"/>
        <item m="1" x="2480"/>
        <item m="1" x="1098"/>
        <item m="1" x="1379"/>
        <item m="1" x="1669"/>
        <item m="1" x="1970"/>
        <item m="1" x="2260"/>
        <item x="0"/>
        <item m="1" x="2836"/>
        <item m="1" x="18"/>
        <item m="1" x="307"/>
        <item m="1" x="595"/>
        <item m="1" x="892"/>
        <item m="1" x="1166"/>
        <item m="1" x="1454"/>
        <item m="1" x="1744"/>
        <item m="1" x="2042"/>
        <item m="1" x="2335"/>
        <item m="1" x="2626"/>
        <item m="1" x="2911"/>
        <item m="1" x="90"/>
        <item m="1" x="380"/>
        <item m="1" x="962"/>
        <item m="1" x="1234"/>
        <item m="1" x="1528"/>
        <item m="1" x="1821"/>
        <item m="1" x="2115"/>
        <item m="1" x="2406"/>
        <item m="1" x="2697"/>
        <item m="1" x="2981"/>
        <item m="1" x="164"/>
        <item m="1" x="455"/>
        <item m="1" x="750"/>
        <item m="1" x="1033"/>
        <item m="1" x="1310"/>
        <item m="1" x="1599"/>
        <item m="1" x="1901"/>
        <item m="1" x="2191"/>
        <item m="1" x="2486"/>
        <item m="1" x="2771"/>
        <item m="1" x="3061"/>
        <item m="1" x="234"/>
        <item m="1" x="527"/>
        <item m="1" x="1384"/>
        <item m="1" x="1675"/>
        <item m="1" x="1974"/>
        <item m="1" x="2268"/>
        <item m="1" x="2553"/>
        <item m="1" x="2842"/>
        <item m="1" x="23"/>
        <item m="1" x="1464"/>
        <item m="1" x="1749"/>
        <item m="1" x="2048"/>
        <item m="1" x="2340"/>
        <item m="1" x="2634"/>
        <item m="1" x="2916"/>
        <item m="1" x="96"/>
        <item m="1" x="384"/>
        <item m="1" x="679"/>
        <item m="1" x="967"/>
        <item m="1" x="1240"/>
        <item m="1" x="1532"/>
        <item m="1" x="1829"/>
        <item m="1" x="2120"/>
        <item m="1" x="2412"/>
        <item m="1" x="2702"/>
        <item m="1" x="2992"/>
        <item m="1" x="1759"/>
        <item m="1" x="2054"/>
        <item m="1" x="390"/>
        <item m="1" x="685"/>
        <item m="1" x="974"/>
        <item m="1" x="1246"/>
        <item m="1" x="1538"/>
        <item m="1" x="1835"/>
        <item m="1" x="2129"/>
        <item m="1" x="2418"/>
        <item m="1" x="2708"/>
        <item m="1" x="2998"/>
        <item m="1" x="1399"/>
        <item m="1" x="1689"/>
        <item m="1" x="1985"/>
        <item m="1" x="2279"/>
        <item m="1" x="325"/>
        <item m="1" x="613"/>
        <item m="1" x="909"/>
        <item m="1" x="1179"/>
        <item m="1" x="1474"/>
        <item m="1" x="1764"/>
        <item m="1" x="2061"/>
        <item m="1" x="2928"/>
        <item m="1" x="108"/>
        <item m="1" x="395"/>
        <item m="1" x="691"/>
        <item m="1" x="979"/>
        <item m="1" x="1256"/>
        <item m="1" x="1544"/>
        <item m="1" x="1841"/>
        <item m="1" x="2427"/>
        <item m="1" x="2713"/>
        <item m="1" x="3003"/>
        <item m="1" x="1619"/>
        <item m="1" x="1916"/>
        <item m="1" x="2209"/>
        <item m="1" x="3075"/>
        <item m="1" x="254"/>
        <item m="1" x="546"/>
        <item m="1" x="1119"/>
        <item x="1"/>
        <item m="1" x="1695"/>
        <item m="1" x="1994"/>
        <item m="1" x="2285"/>
        <item m="1" x="2573"/>
        <item m="1" x="2861"/>
        <item m="1" x="41"/>
        <item m="1" x="330"/>
        <item m="1" x="620"/>
        <item m="1" x="914"/>
        <item m="1" x="1189"/>
        <item m="1" x="1478"/>
        <item m="1" x="1770"/>
        <item m="1" x="2066"/>
        <item m="1" x="2358"/>
        <item m="1" x="2577"/>
        <item m="1" x="2866"/>
        <item m="1" x="45"/>
        <item m="1" x="339"/>
        <item m="1" x="623"/>
        <item m="1" x="919"/>
        <item m="1" x="1193"/>
        <item m="1" x="2071"/>
        <item m="1" x="2362"/>
        <item m="1" x="2937"/>
        <item m="1" x="117"/>
        <item m="1" x="408"/>
        <item m="1" x="704"/>
        <item m="1" x="988"/>
        <item m="1" x="1265"/>
        <item m="1" x="1556"/>
        <item m="1" x="1853"/>
        <item m="1" x="2142"/>
        <item m="1" x="2435"/>
        <item m="1" x="2726"/>
        <item m="1" x="3014"/>
        <item m="1" x="188"/>
        <item m="1" x="481"/>
        <item m="1" x="777"/>
        <item m="1" x="1061"/>
        <item m="1" x="1336"/>
        <item m="1" x="1626"/>
        <item m="1" x="1927"/>
        <item m="1" x="2221"/>
        <item m="1" x="2508"/>
        <item m="1" x="2796"/>
        <item m="1" x="3086"/>
        <item m="1" x="266"/>
        <item m="1" x="553"/>
        <item m="1" x="848"/>
        <item m="1" x="1131"/>
        <item m="1" x="1417"/>
        <item m="1" x="1703"/>
        <item m="1" x="2001"/>
        <item m="1" x="2296"/>
        <item m="1" x="2587"/>
        <item m="1" x="2870"/>
        <item m="1" x="50"/>
        <item m="1" x="343"/>
        <item m="1" x="632"/>
        <item m="1" x="923"/>
        <item m="1" x="1197"/>
        <item m="1" x="1490"/>
        <item m="1" x="1781"/>
        <item m="1" x="2075"/>
        <item m="1" x="2367"/>
        <item m="1" x="2656"/>
        <item m="1" x="2945"/>
        <item m="1" x="120"/>
        <item m="1" x="413"/>
        <item m="1" x="708"/>
        <item m="1" x="997"/>
        <item m="1" x="1269"/>
        <item m="1" x="1561"/>
        <item m="1" x="1857"/>
        <item m="1" x="2151"/>
        <item m="1" x="2439"/>
        <item m="1" x="2731"/>
        <item m="1" x="3018"/>
        <item m="1" x="2446"/>
        <item m="1" x="2733"/>
        <item m="1" x="2878"/>
        <item m="1" x="3022"/>
        <item m="1" x="54"/>
        <item m="1" x="492"/>
        <item m="1" x="635"/>
        <item m="1" x="783"/>
        <item m="1" x="932"/>
        <item m="1" x="1068"/>
        <item m="1" x="1200"/>
        <item m="1" x="1347"/>
        <item m="1" x="1494"/>
        <item m="1" x="1637"/>
        <item m="1" x="1784"/>
        <item m="1" x="1934"/>
        <item m="1" x="2083"/>
        <item m="1" x="2228"/>
        <item m="1" x="2371"/>
        <item m="1" x="2519"/>
        <item m="1" x="2661"/>
        <item m="1" x="2807"/>
        <item m="1" x="2947"/>
        <item m="1" x="3093"/>
        <item m="1" x="127"/>
        <item m="1" x="273"/>
        <item m="1" x="415"/>
        <item m="1" x="561"/>
        <item m="1" x="711"/>
        <item m="1" x="860"/>
        <item m="1" x="1136"/>
        <item m="1" x="1278"/>
        <item m="1" x="1424"/>
        <item m="1" x="1563"/>
        <item m="1" x="1711"/>
        <item m="1" x="1861"/>
        <item m="1" x="2012"/>
        <item m="1" x="2154"/>
        <item m="1" x="2301"/>
        <item m="1" x="2449"/>
        <item m="1" x="2595"/>
        <item m="1" x="2735"/>
        <item m="1" x="2880"/>
        <item m="1" x="3024"/>
        <item m="1" x="62"/>
        <item m="1" x="199"/>
        <item m="1" x="350"/>
        <item m="1" x="494"/>
        <item m="1" x="639"/>
        <item m="1" x="785"/>
        <item m="1" x="934"/>
        <item m="1" x="1070"/>
        <item m="1" x="1207"/>
        <item m="1" x="1349"/>
        <item m="1" x="1496"/>
        <item m="1" x="1640"/>
        <item m="1" x="1788"/>
        <item m="1" x="1936"/>
        <item m="1" x="2085"/>
        <item m="1" x="2230"/>
        <item m="1" x="2379"/>
        <item m="1" x="2521"/>
        <item m="1" x="2663"/>
        <item m="1" x="2809"/>
        <item m="1" x="2951"/>
        <item m="1" x="3095"/>
        <item m="1" x="129"/>
        <item m="1" x="274"/>
        <item m="1" x="422"/>
        <item m="1" x="563"/>
        <item m="1" x="713"/>
        <item m="1" x="862"/>
        <item m="1" x="1002"/>
        <item m="1" x="1138"/>
        <item m="1" x="1280"/>
        <item m="1" x="1426"/>
        <item m="1" x="1569"/>
        <item m="1" x="1713"/>
        <item m="1" x="1863"/>
        <item m="1" x="2014"/>
        <item m="1" x="2157"/>
        <item m="1" x="2303"/>
        <item m="1" x="2451"/>
        <item m="1" x="2597"/>
        <item m="1" x="2741"/>
        <item m="1" x="2882"/>
        <item m="1" x="3026"/>
        <item m="1" x="64"/>
        <item m="1" x="202"/>
        <item m="1" x="352"/>
        <item m="1" x="496"/>
        <item m="1" x="641"/>
        <item m="1" x="792"/>
        <item m="1" x="936"/>
        <item m="1" x="1072"/>
        <item m="1" x="1209"/>
        <item m="1" x="1352"/>
        <item m="1" x="1498"/>
        <item m="1" x="1642"/>
        <item m="1" x="1790"/>
        <item m="1" x="1943"/>
        <item m="1" x="2087"/>
        <item m="1" x="2232"/>
        <item m="1" x="2380"/>
        <item m="1" x="2523"/>
        <item m="1" x="2664"/>
        <item m="1" x="2810"/>
        <item m="1" x="2952"/>
        <item m="1" x="3102"/>
        <item m="1" x="131"/>
        <item m="1" x="276"/>
        <item m="1" x="425"/>
        <item m="1" x="566"/>
        <item m="1" x="715"/>
        <item m="1" x="864"/>
        <item m="1" x="1004"/>
        <item m="1" x="1143"/>
        <item m="1" x="1282"/>
        <item m="1" x="1428"/>
        <item m="1" x="1571"/>
        <item m="1" x="1717"/>
        <item m="1" x="1865"/>
        <item m="1" x="2016"/>
        <item m="1" x="2159"/>
        <item m="1" x="2310"/>
        <item m="1" x="2453"/>
        <item m="1" x="2599"/>
        <item m="1" x="2744"/>
        <item m="1" x="2884"/>
        <item m="1" x="65"/>
        <item m="1" x="358"/>
        <item m="1" x="498"/>
        <item m="1" x="643"/>
        <item m="1" x="794"/>
        <item m="1" x="939"/>
        <item m="1" x="1074"/>
        <item m="1" x="1212"/>
        <item m="1" x="1354"/>
        <item m="1" x="1504"/>
        <item m="1" x="1644"/>
        <item m="1" x="1792"/>
        <item m="1" x="1945"/>
        <item m="1" x="2090"/>
        <item m="1" x="2234"/>
        <item m="1" x="2381"/>
        <item m="1" x="2525"/>
        <item m="1" x="2671"/>
        <item m="1" x="2812"/>
        <item m="1" x="2954"/>
        <item m="1" x="3104"/>
        <item m="1" x="135"/>
        <item m="1" x="278"/>
        <item m="1" x="428"/>
        <item m="1" x="568"/>
        <item m="1" x="723"/>
        <item m="1" x="866"/>
        <item m="1" x="1007"/>
        <item m="1" x="1146"/>
        <item m="1" x="1285"/>
        <item m="1" x="1430"/>
        <item m="1" x="1573"/>
        <item m="1" x="1719"/>
        <item m="1" x="1872"/>
        <item m="1" x="2018"/>
        <item m="1" x="2161"/>
        <item m="1" x="2313"/>
        <item m="1" x="2457"/>
        <item m="1" x="2601"/>
        <item m="1" x="2747"/>
        <item m="1" x="2886"/>
        <item m="1" x="3034"/>
        <item m="1" x="67"/>
        <item m="1" x="207"/>
        <item m="1" x="360"/>
        <item m="1" x="501"/>
        <item m="1" x="645"/>
        <item m="1" x="797"/>
        <item m="1" x="941"/>
        <item m="1" x="1080"/>
        <item m="1" x="1214"/>
        <item m="1" x="1357"/>
        <item m="1" x="1506"/>
        <item m="1" x="1647"/>
        <item m="1" x="1794"/>
        <item m="1" x="1948"/>
        <item m="1" x="2092"/>
        <item m="1" x="2241"/>
        <item m="1" x="2383"/>
        <item m="1" x="2528"/>
        <item m="1" x="2672"/>
        <item m="1" x="2815"/>
        <item m="1" x="2956"/>
        <item m="1" x="3107"/>
        <item m="1" x="137"/>
        <item m="1" x="285"/>
        <item m="1" x="430"/>
        <item m="1" x="571"/>
        <item m="1" x="726"/>
        <item m="1" x="869"/>
        <item m="1" x="1009"/>
        <item m="1" x="1149"/>
        <item m="1" x="1287"/>
        <item m="1" x="1436"/>
        <item m="1" x="1575"/>
        <item m="1" x="1722"/>
        <item m="1" x="1873"/>
        <item m="1" x="2020"/>
        <item m="1" x="2163"/>
        <item m="1" x="2316"/>
        <item m="1" x="2459"/>
        <item m="1" x="2608"/>
        <item m="1" x="2963"/>
        <item m="1" x="3109"/>
        <item m="1" x="140"/>
        <item m="1" x="288"/>
        <item m="1" x="433"/>
        <item m="1" x="573"/>
        <item m="1" x="730"/>
        <item m="1" x="871"/>
        <item m="1" x="1016"/>
        <item m="1" x="1151"/>
        <item m="1" x="1290"/>
        <item m="1" x="1438"/>
        <item m="1" x="1578"/>
        <item m="1" x="1724"/>
        <item m="1" x="1877"/>
        <item m="1" x="2022"/>
        <item m="1" x="2171"/>
        <item m="1" x="2318"/>
        <item m="1" x="2463"/>
        <item m="1" x="2610"/>
        <item m="1" x="2752"/>
        <item m="1" x="2891"/>
        <item m="1" x="3039"/>
        <item m="1" x="71"/>
        <item m="1" x="216"/>
        <item m="1" x="364"/>
        <item m="1" x="506"/>
        <item m="1" x="654"/>
        <item m="1" x="802"/>
        <item m="1" x="945"/>
        <item m="1" x="1085"/>
        <item m="1" x="1218"/>
        <item m="1" x="1364"/>
        <item m="1" x="1510"/>
        <item m="1" x="1651"/>
        <item m="1" x="1804"/>
        <item m="1" x="1952"/>
        <item m="1" x="2096"/>
        <item m="1" x="2245"/>
        <item m="1" x="2388"/>
        <item m="1" x="2534"/>
        <item m="1" x="2818"/>
        <item m="1" x="2965"/>
        <item m="1" x="3112"/>
        <item m="1" x="142"/>
        <item m="1" x="291"/>
        <item m="1" x="434"/>
        <item m="1" x="580"/>
        <item m="1" x="731"/>
        <item m="1" x="874"/>
        <item m="1" x="1019"/>
        <item m="1" x="1153"/>
        <item m="1" x="1292"/>
        <item m="1" x="1440"/>
        <item m="1" x="1579"/>
        <item m="1" x="1730"/>
        <item m="1" x="1878"/>
        <item m="1" x="2024"/>
        <item m="1" x="2174"/>
        <item m="1" x="2321"/>
        <item m="1" x="2897"/>
        <item m="1" x="3041"/>
        <item m="1" x="73"/>
        <item m="1" x="218"/>
        <item m="1" x="508"/>
        <item m="1" x="656"/>
        <item m="1" x="804"/>
        <item m="1" x="1087"/>
        <item m="1" x="1220"/>
        <item m="1" x="1367"/>
        <item m="1" x="1512"/>
        <item m="1" x="1653"/>
        <item m="1" x="1806"/>
        <item m="1" x="1954"/>
        <item m="1" x="2390"/>
        <item m="1" x="2536"/>
        <item m="1" x="2680"/>
        <item m="1" x="2820"/>
        <item m="1" x="2968"/>
        <item m="1" x="3114"/>
        <item m="1" x="149"/>
        <item m="1" x="293"/>
        <item m="1" x="437"/>
        <item m="1" x="582"/>
        <item m="1" x="735"/>
        <item m="1" x="876"/>
        <item m="1" x="1297"/>
        <item m="1" x="1441"/>
        <item m="1" x="1583"/>
        <item m="1" x="1732"/>
        <item m="1" x="1883"/>
        <item m="1" x="2026"/>
        <item m="1" x="2323"/>
        <item m="1" x="2471"/>
        <item m="1" x="2614"/>
        <item m="1" x="2756"/>
        <item m="1" x="2900"/>
        <item m="1" x="75"/>
        <item m="1" x="222"/>
        <item m="1" x="367"/>
        <item m="1" x="516"/>
        <item m="1" x="658"/>
        <item m="1" x="808"/>
        <item m="1" x="952"/>
        <item m="1" x="1092"/>
        <item m="1" x="1222"/>
        <item m="1" x="1371"/>
        <item m="1" x="1514"/>
        <item m="1" x="1661"/>
        <item m="1" x="1808"/>
        <item m="1" x="1958"/>
        <item m="1" x="2103"/>
        <item m="1" x="2251"/>
        <item m="1" x="2392"/>
        <item m="1" x="2540"/>
        <item m="1" x="2682"/>
        <item m="1" x="2827"/>
        <item m="1" x="2969"/>
        <item m="1" x="3116"/>
        <item m="1" x="151"/>
        <item m="1" x="298"/>
        <item m="1" x="439"/>
        <item m="1" x="585"/>
        <item m="1" x="736"/>
        <item m="1" x="881"/>
        <item m="1" x="1022"/>
        <item m="1" x="1156"/>
        <item m="1" x="1299"/>
        <item m="1" x="1446"/>
        <item m="1" x="1813"/>
        <item m="1" x="1960"/>
        <item m="1" x="2107"/>
        <item m="1" x="2253"/>
        <item m="1" x="2398"/>
        <item m="1" x="2542"/>
        <item m="1" x="2686"/>
        <item m="1" x="2829"/>
        <item m="1" x="2974"/>
        <item m="1" x="3118"/>
        <item m="1" x="155"/>
        <item m="1" x="300"/>
        <item m="1" x="447"/>
        <item m="1" x="587"/>
        <item m="1" x="739"/>
        <item m="1" x="885"/>
        <item m="1" x="1026"/>
        <item m="1" x="1591"/>
        <item m="1" x="1736"/>
        <item m="1" x="1888"/>
        <item m="1" x="2036"/>
        <item m="1" x="2183"/>
        <item m="1" x="2327"/>
        <item m="1" x="2477"/>
        <item m="1" x="2620"/>
        <item m="1" x="2764"/>
        <item m="1" x="2905"/>
        <item m="1" x="3049"/>
        <item m="1" x="84"/>
        <item m="1" x="227"/>
        <item m="1" x="372"/>
        <item m="1" x="520"/>
        <item m="1" x="664"/>
        <item m="1" x="813"/>
        <item m="1" x="956"/>
        <item m="1" x="1376"/>
        <item m="1" x="1518"/>
        <item m="1" x="1666"/>
        <item m="1" x="1815"/>
        <item m="1" x="1967"/>
        <item m="1" x="2109"/>
        <item m="1" x="2257"/>
        <item m="1" x="2400"/>
        <item m="1" x="2547"/>
        <item m="1" x="2688"/>
        <item m="1" x="2833"/>
        <item m="1" x="2976"/>
        <item m="1" x="14"/>
        <item m="1" x="157"/>
        <item m="1" x="304"/>
        <item m="1" x="449"/>
        <item m="1" x="592"/>
        <item m="1" x="741"/>
        <item m="1" x="889"/>
        <item m="1" x="1028"/>
        <item m="1" x="1163"/>
        <item m="1" x="1303"/>
        <item m="1" x="1451"/>
        <item m="1" x="1593"/>
        <item m="1" x="1741"/>
        <item m="1" x="1890"/>
        <item m="1" x="2039"/>
        <item m="1" x="2185"/>
        <item m="1" x="2333"/>
        <item m="1" x="2479"/>
        <item m="1" x="2623"/>
        <item m="1" x="2766"/>
        <item m="1" x="2908"/>
        <item m="1" x="3051"/>
        <item m="1" x="87"/>
        <item m="1" x="229"/>
        <item m="1" x="378"/>
        <item m="1" x="522"/>
        <item m="1" x="667"/>
        <item m="1" x="816"/>
        <item m="1" x="960"/>
        <item m="1" x="1097"/>
        <item m="1" x="1231"/>
        <item m="1" x="1378"/>
        <item m="1" x="1525"/>
        <item m="1" x="1668"/>
        <item m="1" x="1818"/>
        <item m="1" x="1969"/>
        <item m="1" x="2112"/>
        <item m="1" x="2259"/>
        <item m="1" x="2403"/>
        <item m="1" x="2548"/>
        <item m="1" x="2694"/>
        <item m="1" x="2835"/>
        <item m="1" x="2978"/>
        <item m="1" x="17"/>
        <item m="1" x="161"/>
        <item m="1" x="306"/>
        <item m="1" x="452"/>
        <item m="1" x="594"/>
        <item m="1" x="746"/>
        <item m="1" x="891"/>
        <item m="1" x="1030"/>
        <item m="1" x="1165"/>
        <item m="1" x="1307"/>
        <item m="1" x="1453"/>
        <item m="1" x="1596"/>
        <item m="1" x="1743"/>
        <item m="1" x="1897"/>
        <item m="1" x="2041"/>
        <item m="1" x="2188"/>
        <item m="1" x="2483"/>
        <item m="1" x="2625"/>
        <item m="1" x="2768"/>
        <item m="1" x="2910"/>
        <item m="1" x="3058"/>
        <item m="1" x="89"/>
        <item m="1" x="231"/>
        <item m="1" x="669"/>
        <item m="1" x="818"/>
        <item m="1" x="961"/>
        <item m="1" x="1103"/>
        <item m="1" x="1233"/>
        <item m="1" x="1381"/>
        <item m="1" x="1527"/>
        <item m="1" x="1672"/>
        <item m="1" x="1820"/>
        <item m="1" x="1972"/>
        <item m="1" x="2114"/>
        <item m="1" x="2405"/>
        <item m="1" x="2550"/>
        <item m="1" x="2696"/>
        <item m="1" x="2839"/>
        <item m="1" x="2980"/>
        <item m="1" x="20"/>
        <item m="1" x="163"/>
        <item m="1" x="313"/>
        <item m="1" x="454"/>
        <item m="1" x="597"/>
        <item m="1" x="749"/>
        <item m="1" x="895"/>
        <item m="1" x="1032"/>
        <item m="1" x="1168"/>
        <item m="1" x="1309"/>
        <item m="1" x="1461"/>
        <item m="1" x="1598"/>
        <item m="1" x="1746"/>
        <item m="1" x="1900"/>
        <item m="1" x="2045"/>
        <item m="1" x="2190"/>
        <item m="1" x="2337"/>
        <item m="1" x="2485"/>
        <item m="1" x="2632"/>
        <item m="1" x="2770"/>
        <item m="1" x="2913"/>
        <item m="1" x="3060"/>
        <item m="1" x="93"/>
        <item m="1" x="233"/>
        <item m="1" x="526"/>
        <item m="1" x="675"/>
        <item m="1" x="820"/>
        <item m="1" x="964"/>
        <item m="1" x="1106"/>
        <item m="1" x="1237"/>
        <item m="1" x="1383"/>
        <item m="1" x="1674"/>
        <item m="1" x="1827"/>
        <item m="1" x="2117"/>
        <item m="1" x="2267"/>
        <item m="1" x="2409"/>
        <item m="1" x="2552"/>
        <item m="1" x="2699"/>
        <item m="1" x="2841"/>
        <item m="1" x="2988"/>
        <item m="1" x="22"/>
        <item m="1" x="166"/>
        <item m="1" x="314"/>
        <item m="1" x="458"/>
        <item m="1" x="599"/>
        <item m="1" x="752"/>
        <item m="1" x="897"/>
        <item m="1" x="1038"/>
        <item m="1" x="1170"/>
        <item m="1" x="1312"/>
        <item m="1" x="1463"/>
        <item m="1" x="1602"/>
        <item m="1" x="1748"/>
        <item m="1" x="1903"/>
        <item m="1" x="2047"/>
        <item m="1" x="2197"/>
        <item m="1" x="2339"/>
        <item m="1" x="2488"/>
        <item m="1" x="2633"/>
        <item m="1" x="2774"/>
        <item m="1" x="2915"/>
        <item m="1" x="3063"/>
        <item m="1" x="95"/>
        <item m="1" x="240"/>
        <item m="1" x="383"/>
        <item m="1" x="529"/>
        <item m="1" x="678"/>
        <item m="1" x="823"/>
        <item m="1" x="966"/>
        <item m="1" x="1108"/>
        <item m="1" x="1239"/>
        <item m="1" x="1392"/>
        <item m="1" x="1531"/>
        <item m="1" x="1678"/>
        <item m="1" x="1977"/>
        <item m="1" x="2119"/>
        <item m="1" x="2271"/>
        <item m="1" x="2411"/>
        <item m="1" x="2560"/>
        <item m="1" x="2701"/>
        <item m="1" x="2845"/>
        <item m="1" x="2991"/>
        <item m="1" x="26"/>
        <item m="1" x="168"/>
        <item m="1" x="317"/>
        <item m="1" x="460"/>
        <item m="1" x="605"/>
        <item m="1" x="754"/>
        <item m="1" x="900"/>
        <item m="1" x="1040"/>
        <item m="1" x="1173"/>
        <item m="1" x="1314"/>
        <item m="1" x="1467"/>
        <item m="1" x="1604"/>
        <item m="1" x="1755"/>
        <item m="1" x="1905"/>
        <item m="1" x="2051"/>
        <item m="1" x="2200"/>
        <item m="1" x="2343"/>
        <item m="1" x="2923"/>
        <item m="1" x="3065"/>
        <item m="1" x="242"/>
        <item m="1" x="387"/>
        <item m="1" x="531"/>
        <item m="1" x="682"/>
        <item m="1" x="825"/>
        <item m="1" x="972"/>
        <item m="1" x="1110"/>
        <item m="1" x="1243"/>
        <item m="1" x="1394"/>
        <item m="1" x="1535"/>
        <item m="1" x="1680"/>
        <item m="1" x="1832"/>
        <item m="1" x="1979"/>
        <item m="1" x="2126"/>
        <item m="1" x="2273"/>
        <item m="1" x="2415"/>
        <item m="1" x="2561"/>
        <item m="1" x="2705"/>
        <item m="1" x="2847"/>
        <item m="1" x="2995"/>
        <item m="1" x="28"/>
        <item m="1" x="174"/>
        <item m="1" x="319"/>
        <item m="1" x="463"/>
        <item m="1" x="608"/>
        <item m="1" x="757"/>
        <item m="1" x="1043"/>
        <item m="1" x="1175"/>
        <item m="1" x="1321"/>
        <item m="1" x="1469"/>
        <item m="1" x="1607"/>
        <item m="1" x="1758"/>
        <item m="1" x="1908"/>
        <item m="1" x="2053"/>
        <item m="1" x="2203"/>
        <item m="1" x="2345"/>
        <item m="1" x="2495"/>
        <item m="1" x="2638"/>
        <item m="1" x="2778"/>
        <item m="1" x="2925"/>
        <item m="1" x="3068"/>
        <item m="1" x="100"/>
        <item m="1" x="245"/>
        <item m="1" x="389"/>
        <item m="1" x="537"/>
        <item m="1" x="684"/>
        <item m="1" x="828"/>
        <item m="1" x="1245"/>
        <item m="1" x="1397"/>
        <item m="1" x="1537"/>
        <item m="1" x="1686"/>
        <item m="1" x="1834"/>
        <item m="1" x="1982"/>
        <item m="1" x="2128"/>
        <item m="1" x="2276"/>
        <item m="1" x="2417"/>
        <item m="1" x="2564"/>
        <item m="1" x="2707"/>
        <item m="1" x="2854"/>
        <item m="1" x="2997"/>
        <item m="1" x="31"/>
        <item m="1" x="177"/>
        <item m="1" x="322"/>
        <item m="1" x="465"/>
        <item m="1" x="610"/>
        <item m="1" x="759"/>
        <item m="1" x="906"/>
        <item m="1" x="1323"/>
        <item m="1" x="1471"/>
        <item m="1" x="1609"/>
        <item m="1" x="1761"/>
        <item m="1" x="1910"/>
        <item m="1" x="2058"/>
        <item m="1" x="2346"/>
        <item m="1" x="2779"/>
        <item m="1" x="2926"/>
        <item m="1" x="3070"/>
        <item m="1" x="105"/>
        <item m="1" x="247"/>
        <item m="1" x="540"/>
        <item m="1" x="688"/>
        <item m="1" x="830"/>
        <item m="1" x="977"/>
        <item m="1" x="1114"/>
        <item m="1" x="1253"/>
        <item m="1" x="1541"/>
        <item m="1" x="1688"/>
        <item m="1" x="1838"/>
        <item m="1" x="1984"/>
        <item m="1" x="2131"/>
        <item m="1" x="2278"/>
        <item m="1" x="2424"/>
        <item m="1" x="2566"/>
        <item m="1" x="2710"/>
        <item m="1" x="3000"/>
        <item m="1" x="179"/>
        <item m="1" x="324"/>
        <item m="1" x="471"/>
        <item m="1" x="612"/>
        <item m="1" x="762"/>
        <item m="1" x="908"/>
        <item m="1" x="1047"/>
        <item m="1" x="1178"/>
        <item m="1" x="1326"/>
        <item m="1" x="1473"/>
        <item m="1" x="1615"/>
        <item m="1" x="1763"/>
        <item m="1" x="1913"/>
        <item m="1" x="2060"/>
        <item m="1" x="2206"/>
        <item m="1" x="2348"/>
        <item m="1" x="2498"/>
        <item m="1" x="2640"/>
        <item m="1" x="2786"/>
        <item m="1" x="2927"/>
        <item m="1" x="3072"/>
        <item m="1" x="107"/>
        <item m="1" x="251"/>
        <item m="1" x="394"/>
        <item m="1" x="543"/>
        <item m="1" x="690"/>
        <item m="1" x="1403"/>
        <item m="1" x="1543"/>
        <item m="1" x="1692"/>
        <item m="1" x="1840"/>
        <item m="1" x="1991"/>
        <item m="1" x="2133"/>
        <item m="1" x="2282"/>
        <item m="1" x="2426"/>
        <item m="1" x="2570"/>
        <item m="1" x="2712"/>
        <item m="1" x="2859"/>
        <item m="1" x="3002"/>
        <item m="1" x="39"/>
        <item m="1" x="181"/>
        <item m="1" x="328"/>
        <item m="1" x="474"/>
        <item m="1" x="617"/>
        <item m="1" x="764"/>
        <item m="1" x="912"/>
        <item m="1" x="1049"/>
        <item m="1" x="1187"/>
        <item m="1" x="1328"/>
        <item m="1" x="1477"/>
        <item m="1" x="1618"/>
        <item m="1" x="1768"/>
        <item m="1" x="1915"/>
        <item m="1" x="2064"/>
        <item m="1" x="2208"/>
        <item m="1" x="2356"/>
        <item m="1" x="2500"/>
        <item m="1" x="2643"/>
        <item m="1" x="2788"/>
        <item m="1" x="2932"/>
        <item m="1" x="3074"/>
        <item m="1" x="111"/>
        <item m="1" x="253"/>
        <item m="1" x="402"/>
        <item m="1" x="545"/>
        <item m="1" x="694"/>
        <item m="1" x="840"/>
        <item m="1" x="983"/>
        <item m="1" x="1118"/>
        <item m="1" x="1259"/>
        <item m="1" x="1405"/>
        <item m="1" x="1551"/>
        <item m="1" x="1694"/>
        <item m="1" x="1844"/>
        <item m="1" x="1993"/>
        <item m="1" x="2137"/>
        <item m="1" x="2284"/>
        <item m="1" x="2430"/>
        <item m="1" x="2572"/>
        <item m="1" x="2720"/>
        <item m="1" x="2860"/>
        <item m="1" x="3005"/>
        <item m="1" x="40"/>
        <item m="1" x="184"/>
        <item m="1" x="329"/>
        <item m="1" x="477"/>
        <item m="1" x="619"/>
        <item m="1" x="772"/>
        <item m="1" x="913"/>
        <item m="1" x="1051"/>
        <item m="1" x="1188"/>
        <item m="1" x="1331"/>
        <item m="1" x="1621"/>
        <item m="1" x="1769"/>
        <item m="1" x="1922"/>
        <item m="1" x="2065"/>
        <item m="1" x="2211"/>
        <item m="1" x="2357"/>
        <item m="1" x="2503"/>
        <item m="1" x="2644"/>
        <item m="1" x="2790"/>
        <item m="1" x="2933"/>
        <item m="1" x="3081"/>
        <item m="1" x="112"/>
        <item m="1" x="256"/>
        <item m="1" x="404"/>
        <item m="1" x="549"/>
        <item m="1" x="695"/>
        <item m="1" x="842"/>
        <item m="1" x="984"/>
        <item m="1" x="1126"/>
        <item m="1" x="1260"/>
        <item m="1" x="1407"/>
        <item m="1" x="1552"/>
        <item m="1" x="1698"/>
        <item m="1" x="1845"/>
        <item m="1" x="1996"/>
        <item m="1" x="2138"/>
        <item m="1" x="2431"/>
        <item m="1" x="2575"/>
        <item m="1" x="2722"/>
        <item m="1" x="2864"/>
        <item m="1" x="3006"/>
        <item m="1" x="43"/>
        <item m="1" x="185"/>
        <item m="1" x="336"/>
        <item m="1" x="622"/>
        <item m="1" x="773"/>
        <item m="1" x="917"/>
        <item m="1" x="1052"/>
        <item m="1" x="1191"/>
        <item m="1" x="1332"/>
        <item m="1" x="1484"/>
        <item m="1" x="1772"/>
        <item m="1" x="1924"/>
        <item m="1" x="2069"/>
        <item m="1" x="2212"/>
        <item m="1" x="2360"/>
        <item m="1" x="2504"/>
        <item m="1" x="2651"/>
        <item m="1" x="2791"/>
        <item m="1" x="2935"/>
        <item m="1" x="3082"/>
        <item m="1" x="115"/>
        <item m="1" x="257"/>
        <item m="1" x="406"/>
        <item m="1" x="702"/>
        <item m="1" x="843"/>
        <item m="1" x="986"/>
        <item m="1" x="1127"/>
        <item m="1" x="1263"/>
        <item m="1" x="1408"/>
        <item m="1" x="1554"/>
        <item m="1" x="1699"/>
        <item m="1" x="1851"/>
        <item m="1" x="2140"/>
        <item m="1" x="2292"/>
        <item m="1" x="2434"/>
        <item m="1" x="2576"/>
        <item m="1" x="2724"/>
        <item m="1" x="2865"/>
        <item m="1" x="3012"/>
        <item m="1" x="44"/>
        <item m="1" x="187"/>
        <item m="1" x="338"/>
        <item m="1" x="480"/>
        <item m="1" x="775"/>
        <item m="1" x="918"/>
        <item m="1" x="1059"/>
        <item m="1" x="1192"/>
        <item m="1" x="1334"/>
        <item m="1" x="1486"/>
        <item m="1" x="1624"/>
        <item m="1" x="1773"/>
        <item m="1" x="1926"/>
        <item m="1" x="2070"/>
        <item m="1" x="2219"/>
        <item m="1" x="2361"/>
        <item m="1" x="2506"/>
        <item m="1" x="2652"/>
        <item m="1" x="2794"/>
        <item m="1" x="2936"/>
        <item m="1" x="3084"/>
        <item m="1" x="116"/>
        <item m="1" x="263"/>
        <item m="1" x="407"/>
        <item m="1" x="551"/>
        <item m="1" x="703"/>
        <item m="1" x="846"/>
        <item m="1" x="987"/>
        <item m="1" x="1129"/>
        <item m="1" x="1264"/>
        <item m="1" x="1414"/>
        <item m="1" x="1555"/>
        <item m="1" x="1701"/>
        <item m="1" x="1852"/>
        <item m="1" x="1999"/>
        <item m="1" x="2141"/>
        <item m="1" x="2294"/>
        <item m="1" x="2584"/>
        <item m="1" x="2725"/>
        <item m="1" x="2868"/>
        <item m="1" x="3013"/>
        <item m="1" x="48"/>
        <item m="1" x="341"/>
        <item m="1" x="630"/>
        <item m="1" x="776"/>
        <item m="1" x="921"/>
        <item m="1" x="1060"/>
        <item m="1" x="1335"/>
        <item m="1" x="1488"/>
        <item m="1" x="1625"/>
        <item m="1" x="1779"/>
        <item m="1" x="2073"/>
        <item m="1" x="2220"/>
        <item m="1" x="2365"/>
        <item m="1" x="2507"/>
        <item m="1" x="2654"/>
        <item m="1" x="2795"/>
        <item m="1" x="2943"/>
        <item m="1" x="3085"/>
        <item m="1" x="119"/>
        <item m="1" x="265"/>
        <item m="1" x="411"/>
        <item m="1" x="552"/>
        <item m="1" x="706"/>
        <item m="1" x="847"/>
        <item m="1" x="995"/>
        <item m="1" x="1130"/>
        <item m="1" x="1267"/>
        <item m="1" x="1416"/>
        <item m="1" x="1559"/>
        <item m="1" x="1702"/>
        <item m="1" x="1855"/>
        <item m="1" x="2000"/>
        <item m="1" x="2149"/>
        <item m="1" x="2295"/>
        <item m="1" x="2437"/>
        <item m="1" x="2586"/>
        <item m="1" x="2729"/>
        <item m="1" x="2869"/>
        <item m="1" x="3016"/>
        <item m="1" x="49"/>
        <item m="1" x="194"/>
        <item m="1" x="342"/>
        <item m="1" x="483"/>
        <item m="1" x="631"/>
        <item m="1" x="780"/>
        <item m="1" x="922"/>
        <item m="1" x="1063"/>
        <item m="1" x="1196"/>
        <item m="1" x="1342"/>
        <item m="1" x="1489"/>
        <item m="1" x="1628"/>
        <item m="1" x="1780"/>
        <item m="1" x="1930"/>
        <item m="1" x="2074"/>
        <item m="1" x="2223"/>
        <item m="1" x="2366"/>
        <item m="1" x="2515"/>
        <item m="1" x="2655"/>
        <item m="1" x="2798"/>
        <item m="1" x="2944"/>
        <item m="1" x="3089"/>
        <item m="1" x="412"/>
        <item m="1" x="707"/>
        <item m="1" x="850"/>
        <item m="1" x="996"/>
        <item m="1" x="1134"/>
        <item m="1" x="1268"/>
        <item m="1" x="1419"/>
        <item m="1" x="1560"/>
        <item m="1" x="1708"/>
        <item m="1" x="1856"/>
        <item m="1" x="2003"/>
        <item m="1" x="2150"/>
        <item m="1" x="2299"/>
        <item m="1" x="2438"/>
        <item m="1" x="2589"/>
        <item m="1" x="2730"/>
        <item m="1" x="2876"/>
        <item m="1" x="3017"/>
        <item m="1" x="52"/>
        <item m="1" x="196"/>
        <item m="1" x="346"/>
        <item m="1" x="484"/>
        <item m="1" x="634"/>
        <item m="1" x="781"/>
        <item m="1" x="930"/>
        <item m="1" x="1064"/>
        <item m="1" x="1199"/>
        <item m="1" x="1344"/>
        <item m="1" x="1492"/>
        <item m="1" x="1629"/>
        <item m="1" x="1782"/>
        <item m="1" x="1931"/>
        <item m="1" x="2081"/>
        <item m="1" x="2224"/>
        <item m="1" x="2369"/>
        <item m="1" x="2516"/>
        <item m="1" x="2659"/>
        <item m="1" x="2799"/>
        <item m="1" x="2946"/>
        <item m="1" x="3090"/>
        <item m="1" x="125"/>
        <item m="1" x="268"/>
        <item m="1" x="414"/>
        <item m="1" x="851"/>
        <item m="1" x="998"/>
        <item m="1" x="1275"/>
        <item m="1" x="1420"/>
        <item m="1" x="1562"/>
        <item m="1" x="1709"/>
        <item m="1" x="1859"/>
        <item m="1" x="2004"/>
        <item m="1" x="2152"/>
        <item m="1" x="2300"/>
        <item m="1" x="2445"/>
        <item m="1" x="2590"/>
        <item m="1" x="2732"/>
        <item m="1" x="2877"/>
        <item m="1" x="3021"/>
        <item m="1" x="53"/>
        <item m="1" x="197"/>
        <item m="1" x="347"/>
        <item m="1" x="491"/>
        <item m="1" x="782"/>
        <item m="1" x="931"/>
        <item m="1" x="1346"/>
        <item m="1" x="1493"/>
        <item m="1" x="1636"/>
        <item m="1" x="1783"/>
        <item m="1" x="1933"/>
        <item m="1" x="2082"/>
        <item m="1" x="2370"/>
        <item m="1" x="2518"/>
        <item m="1" x="2660"/>
        <item m="1" x="2806"/>
        <item m="1" x="3092"/>
        <item m="1" x="272"/>
        <item m="1" x="859"/>
        <item m="1" x="999"/>
        <item m="1" x="1135"/>
        <item m="1" x="1277"/>
        <item m="1" x="1423"/>
        <item m="1" x="1710"/>
        <item m="1" x="1860"/>
        <item m="1" x="2011"/>
        <item m="1" x="2153"/>
        <item m="1" x="2448"/>
        <item m="1" x="2594"/>
        <item m="1" x="2734"/>
        <item m="1" x="2879"/>
        <item m="1" x="3023"/>
        <item m="1" x="60"/>
        <item m="1" x="198"/>
        <item m="1" x="349"/>
        <item m="1" x="493"/>
        <item m="1" x="638"/>
        <item m="1" x="784"/>
        <item m="1" x="933"/>
        <item m="1" x="1069"/>
        <item m="1" x="1206"/>
        <item m="1" x="1348"/>
        <item m="1" x="1495"/>
        <item m="1" x="1639"/>
        <item m="1" x="1787"/>
        <item m="1" x="1935"/>
        <item m="1" x="2084"/>
        <item m="1" x="2229"/>
        <item m="1" x="2378"/>
        <item m="1" x="2520"/>
        <item m="1" x="2662"/>
        <item m="1" x="2808"/>
        <item m="1" x="2950"/>
        <item m="1" x="3094"/>
        <item m="1" x="128"/>
        <item m="1" x="421"/>
        <item m="1" x="562"/>
        <item m="1" x="712"/>
        <item m="1" x="861"/>
        <item m="1" x="1001"/>
        <item m="1" x="1137"/>
        <item m="1" x="1279"/>
        <item m="1" x="1425"/>
        <item m="1" x="1568"/>
        <item m="1" x="1712"/>
        <item m="1" x="1862"/>
        <item m="1" x="2013"/>
        <item m="1" x="2156"/>
        <item m="1" x="2302"/>
        <item m="1" x="2450"/>
        <item m="1" x="2596"/>
        <item m="1" x="2740"/>
        <item m="1" x="2881"/>
        <item m="1" x="3025"/>
        <item m="1" x="63"/>
        <item m="1" x="201"/>
        <item m="1" x="351"/>
        <item m="1" x="495"/>
        <item m="1" x="640"/>
        <item m="1" x="791"/>
        <item m="1" x="935"/>
        <item m="1" x="1071"/>
        <item m="1" x="1351"/>
        <item m="1" x="1497"/>
        <item m="1" x="1641"/>
        <item m="1" x="1789"/>
        <item m="1" x="1942"/>
        <item m="1" x="2086"/>
        <item m="1" x="2231"/>
        <item m="1" x="3100"/>
        <item m="1" x="130"/>
        <item m="1" x="275"/>
        <item m="1" x="424"/>
        <item m="1" x="565"/>
        <item m="1" x="714"/>
        <item m="1" x="863"/>
        <item m="1" x="1003"/>
        <item m="1" x="1281"/>
        <item m="1" x="1427"/>
        <item m="1" x="1570"/>
        <item m="1" x="1716"/>
        <item m="1" x="1864"/>
        <item m="1" x="2015"/>
        <item m="1" x="2158"/>
        <item m="1" x="2309"/>
        <item m="1" x="2452"/>
        <item m="1" x="2598"/>
        <item m="1" x="2743"/>
        <item m="1" x="203"/>
        <item m="1" x="497"/>
        <item m="1" x="642"/>
        <item m="1" x="793"/>
        <item m="1" x="938"/>
        <item m="1" x="1073"/>
        <item m="1" x="1211"/>
        <item m="1" x="1353"/>
        <item m="1" x="1503"/>
        <item m="1" x="1643"/>
        <item m="1" x="1791"/>
        <item m="1" x="1944"/>
        <item m="1" x="2089"/>
        <item m="1" x="2233"/>
        <item m="1" x="2524"/>
        <item m="1" x="2670"/>
        <item m="1" x="2811"/>
        <item m="1" x="2953"/>
        <item m="1" x="3103"/>
        <item m="1" x="134"/>
        <item m="1" x="277"/>
        <item m="1" x="427"/>
        <item m="1" x="567"/>
        <item m="1" x="722"/>
        <item m="1" x="865"/>
        <item m="1" x="1006"/>
        <item m="1" x="1145"/>
        <item m="1" x="1284"/>
        <item m="1" x="1429"/>
        <item m="1" x="1572"/>
        <item m="1" x="1718"/>
        <item m="1" x="1871"/>
        <item m="1" x="2017"/>
        <item m="1" x="2312"/>
        <item m="1" x="2456"/>
        <item m="1" x="2600"/>
        <item m="1" x="2746"/>
        <item m="1" x="2885"/>
        <item m="1" x="3032"/>
        <item m="1" x="66"/>
        <item m="1" x="206"/>
        <item m="1" x="359"/>
        <item m="1" x="500"/>
        <item m="1" x="644"/>
        <item m="1" x="796"/>
        <item m="1" x="940"/>
        <item m="1" x="1079"/>
        <item m="1" x="1213"/>
        <item m="1" x="1356"/>
        <item m="1" x="1505"/>
        <item m="1" x="1646"/>
        <item m="1" x="1793"/>
        <item m="1" x="1947"/>
        <item m="1" x="2091"/>
        <item m="1" x="2240"/>
        <item m="1" x="2382"/>
        <item m="1" x="2527"/>
        <item m="1" x="2814"/>
        <item m="1" x="2955"/>
        <item m="1" x="3106"/>
        <item m="1" x="136"/>
        <item m="1" x="284"/>
        <item m="1" x="429"/>
        <item m="1" x="570"/>
        <item m="1" x="725"/>
        <item m="1" x="868"/>
        <item m="1" x="1008"/>
        <item m="1" x="1148"/>
        <item m="1" x="1286"/>
        <item m="1" x="1435"/>
        <item m="1" x="1574"/>
        <item m="1" x="1721"/>
        <item m="1" x="2162"/>
        <item m="1" x="2458"/>
        <item m="1" x="2607"/>
        <item m="1" x="2748"/>
        <item m="1" x="2889"/>
        <item m="1" x="3035"/>
        <item m="1" x="69"/>
        <item m="1" x="208"/>
        <item m="1" x="362"/>
        <item m="1" x="502"/>
        <item m="1" x="652"/>
        <item m="1" x="798"/>
        <item m="1" x="943"/>
        <item m="1" x="1082"/>
        <item m="1" x="1216"/>
        <item m="1" x="1358"/>
        <item m="1" x="1508"/>
        <item m="1" x="1648"/>
        <item m="1" x="1801"/>
        <item m="1" x="1949"/>
        <item m="1" x="2242"/>
        <item m="1" x="2386"/>
        <item m="1" x="2529"/>
        <item m="1" x="2675"/>
        <item m="1" x="2816"/>
        <item m="1" x="2961"/>
        <item m="1" x="3108"/>
        <item m="1" x="139"/>
        <item m="1" x="287"/>
        <item m="1" x="432"/>
        <item m="1" x="572"/>
        <item m="1" x="729"/>
        <item m="1" x="870"/>
        <item m="1" x="1015"/>
        <item m="1" x="1150"/>
        <item m="1" x="1289"/>
        <item m="1" x="1437"/>
        <item m="1" x="1577"/>
        <item m="1" x="1723"/>
        <item m="1" x="1876"/>
        <item m="1" x="2021"/>
        <item m="1" x="2170"/>
        <item m="1" x="2317"/>
        <item m="1" x="2462"/>
        <item m="1" x="2609"/>
        <item m="1" x="2751"/>
        <item m="1" x="2890"/>
        <item m="1" x="3038"/>
        <item m="1" x="70"/>
        <item m="1" x="215"/>
        <item m="1" x="363"/>
        <item m="1" x="505"/>
        <item m="1" x="653"/>
        <item m="1" x="801"/>
        <item m="1" x="944"/>
        <item m="1" x="1084"/>
        <item m="1" x="1217"/>
        <item m="1" x="1363"/>
        <item m="1" x="1509"/>
        <item m="1" x="1650"/>
        <item m="1" x="1803"/>
        <item m="1" x="1951"/>
        <item m="1" x="2095"/>
        <item m="1" x="2244"/>
        <item m="1" x="2387"/>
        <item m="1" x="2533"/>
        <item m="1" x="2676"/>
        <item m="1" x="2817"/>
        <item m="1" x="2964"/>
        <item m="1" x="3111"/>
        <item m="1" x="141"/>
        <item m="1" x="290"/>
        <item x="2"/>
        <item m="1" x="579"/>
        <item m="1" x="873"/>
        <item m="1" x="1018"/>
        <item m="1" x="1291"/>
        <item m="1" x="2173"/>
        <item m="1" x="2320"/>
        <item m="1" x="2464"/>
        <item m="1" x="2612"/>
        <item m="1" x="2895"/>
        <item m="1" x="3040"/>
        <item m="1" x="72"/>
        <item m="1" x="217"/>
        <item m="1" x="365"/>
        <item m="1" x="507"/>
        <item m="1" x="655"/>
        <item m="1" x="803"/>
        <item m="1" x="949"/>
        <item m="1" x="1086"/>
        <item m="1" x="1219"/>
        <item m="1" x="1366"/>
        <item m="1" x="1511"/>
        <item m="1" x="1652"/>
        <item m="1" x="1805"/>
        <item m="1" x="1953"/>
        <item m="1" x="2101"/>
        <item m="1" x="2246"/>
        <item m="1" x="2389"/>
        <item m="1" x="2535"/>
        <item m="1" x="2679"/>
        <item m="1" x="2819"/>
        <item m="1" x="2967"/>
        <item m="1" x="3113"/>
        <item m="1" x="148"/>
        <item m="1" x="292"/>
        <item m="1" x="436"/>
        <item m="1" x="581"/>
        <item m="1" x="734"/>
        <item m="1" x="875"/>
        <item m="1" x="1582"/>
        <item m="1" x="1731"/>
        <item m="1" x="1882"/>
        <item m="1" x="2025"/>
        <item m="1" x="2177"/>
        <item m="1" x="2322"/>
        <item m="1" x="2470"/>
        <item m="1" x="2613"/>
        <item m="1" x="2755"/>
        <item m="1" x="2899"/>
        <item m="1" x="3045"/>
        <item m="1" x="74"/>
        <item m="1" x="221"/>
        <item m="1" x="366"/>
        <item m="1" x="515"/>
        <item m="1" x="657"/>
        <item m="1" x="807"/>
        <item m="1" x="951"/>
        <item m="1" x="1091"/>
        <item m="1" x="1221"/>
        <item m="1" x="1370"/>
        <item m="1" x="1513"/>
        <item m="1" x="1660"/>
        <item m="1" x="1807"/>
        <item m="1" x="1957"/>
        <item m="1" x="2102"/>
        <item m="1" x="2250"/>
        <item m="1" x="2391"/>
        <item m="1" x="2539"/>
        <item m="1" x="2681"/>
        <item m="1" x="297"/>
        <item m="1" x="438"/>
        <item m="1" x="1021"/>
        <item m="1" x="1298"/>
        <item m="1" x="1445"/>
        <item m="1" x="1584"/>
        <item m="1" x="1884"/>
        <item m="1" x="2033"/>
        <item m="1" x="2178"/>
        <item m="1" x="2473"/>
        <item m="1" x="2618"/>
        <item m="1" x="2757"/>
        <item m="1" x="2903"/>
        <item m="1" x="3046"/>
        <item m="1" x="82"/>
        <item m="1" x="223"/>
        <item m="1" x="370"/>
        <item m="1" x="517"/>
        <item m="1" x="662"/>
        <item m="1" x="809"/>
        <item m="1" x="955"/>
        <item m="1" x="1093"/>
        <item m="1" x="1228"/>
        <item m="1" x="1372"/>
        <item m="1" x="1516"/>
        <item m="1" x="1662"/>
        <item m="1" x="1812"/>
        <item m="1" x="1959"/>
        <item m="1" x="2106"/>
        <item m="1" x="2252"/>
        <item m="1" x="2397"/>
        <item m="1" x="2541"/>
        <item m="1" x="2685"/>
        <item m="1" x="2828"/>
        <item m="1" x="2973"/>
        <item m="1" x="3117"/>
        <item m="1" x="154"/>
        <item m="1" x="299"/>
        <item m="1" x="446"/>
        <item m="1" x="586"/>
        <item m="1" x="738"/>
        <item m="1" x="884"/>
        <item m="1" x="1025"/>
        <item m="1" x="1157"/>
        <item m="1" x="1301"/>
        <item m="1" x="1447"/>
        <item m="1" x="1590"/>
        <item m="1" x="1735"/>
        <item m="1" x="1887"/>
        <item m="1" x="2035"/>
        <item m="1" x="2182"/>
        <item m="1" x="2326"/>
        <item m="1" x="2476"/>
        <item m="1" x="2619"/>
        <item m="1" x="2762"/>
        <item m="1" x="2904"/>
        <item m="1" x="3048"/>
        <item m="1" x="83"/>
        <item m="1" x="226"/>
        <item m="1" x="371"/>
        <item m="1" x="519"/>
        <item m="1" x="663"/>
        <item m="1" x="1517"/>
        <item m="1" x="1665"/>
        <item m="1" x="1814"/>
        <item m="1" x="1966"/>
        <item m="1" x="2108"/>
        <item m="1" x="2256"/>
        <item m="1" x="2399"/>
        <item m="1" x="2546"/>
        <item m="1" x="2687"/>
        <item m="1" x="2832"/>
        <item m="1" x="2975"/>
        <item m="1" x="13"/>
        <item m="1" x="156"/>
        <item m="1" x="303"/>
        <item m="1" x="448"/>
        <item m="1" x="591"/>
        <item m="1" x="740"/>
        <item m="1" x="888"/>
        <item m="1" x="1027"/>
        <item m="1" x="1162"/>
        <item m="1" x="1302"/>
        <item m="1" x="1450"/>
        <item m="1" x="1592"/>
        <item m="1" x="1740"/>
        <item m="1" x="1889"/>
        <item m="1" x="2038"/>
        <item m="1" x="2184"/>
        <item m="1" x="2332"/>
        <item m="1" x="2478"/>
        <item m="1" x="2622"/>
        <item m="1" x="2765"/>
        <item m="1" x="3050"/>
        <item m="1" x="86"/>
        <item m="1" x="228"/>
        <item m="1" x="377"/>
        <item m="1" x="521"/>
        <item m="1" x="666"/>
        <item m="1" x="815"/>
        <item m="1" x="959"/>
        <item m="1" x="1096"/>
        <item m="1" x="1230"/>
        <item m="1" x="1377"/>
        <item m="1" x="1524"/>
        <item m="1" x="1667"/>
        <item m="1" x="1817"/>
        <item m="1" x="1968"/>
        <item m="1" x="2111"/>
        <item m="1" x="2258"/>
        <item m="1" x="2402"/>
        <item m="1" x="2692"/>
        <item m="1" x="2834"/>
        <item m="1" x="2977"/>
        <item m="1" x="16"/>
        <item m="1" x="160"/>
        <item m="1" x="305"/>
        <item m="1" x="451"/>
        <item m="1" x="593"/>
        <item m="1" x="890"/>
        <item m="1" x="1164"/>
        <item m="1" x="1306"/>
        <item m="1" x="1452"/>
        <item m="1" x="1595"/>
        <item m="1" x="1742"/>
        <item m="1" x="1896"/>
        <item m="1" x="2040"/>
        <item m="1" x="2187"/>
        <item m="1" x="2334"/>
        <item m="1" x="2482"/>
        <item m="1" x="2624"/>
        <item m="1" x="2767"/>
        <item m="1" x="2909"/>
        <item m="1" x="3057"/>
        <item m="1" x="88"/>
        <item m="1" x="230"/>
        <item m="1" x="379"/>
        <item m="1" x="524"/>
        <item m="1" x="668"/>
        <item m="1" x="817"/>
        <item x="3"/>
        <item m="1" x="1102"/>
        <item m="1" x="1232"/>
        <item m="1" x="1380"/>
        <item m="1" x="1526"/>
        <item m="1" x="1671"/>
        <item m="1" x="1819"/>
        <item m="1" x="1971"/>
        <item m="1" x="2113"/>
        <item m="1" x="2265"/>
        <item m="1" x="2404"/>
        <item m="1" x="2549"/>
        <item m="1" x="2695"/>
        <item m="1" x="2838"/>
        <item m="1" x="2979"/>
        <item m="1" x="19"/>
        <item m="1" x="162"/>
        <item m="1" x="312"/>
        <item m="1" x="453"/>
        <item m="1" x="596"/>
        <item m="1" x="748"/>
        <item m="1" x="894"/>
        <item m="1" x="1031"/>
        <item m="1" x="1167"/>
        <item m="1" x="1308"/>
        <item m="1" x="1460"/>
        <item m="1" x="1597"/>
        <item m="1" x="1745"/>
        <item m="1" x="1899"/>
        <item m="1" x="2044"/>
        <item m="1" x="2189"/>
        <item m="1" x="2336"/>
        <item m="1" x="2484"/>
        <item m="1" x="2630"/>
        <item m="1" x="2769"/>
        <item m="1" x="2912"/>
        <item m="1" x="3059"/>
        <item m="1" x="92"/>
        <item m="1" x="232"/>
        <item m="1" x="381"/>
        <item m="1" x="525"/>
        <item m="1" x="674"/>
        <item m="1" x="819"/>
        <item m="1" x="963"/>
        <item m="1" x="1105"/>
        <item m="1" x="1236"/>
        <item m="1" x="1382"/>
        <item m="1" x="1529"/>
        <item m="1" x="1673"/>
        <item m="1" x="1826"/>
        <item m="1" x="1973"/>
        <item m="1" x="2116"/>
        <item m="1" x="2266"/>
        <item m="1" x="2408"/>
        <item m="1" x="2551"/>
        <item m="1" x="2698"/>
        <item m="1" x="2840"/>
        <item m="1" x="2987"/>
        <item m="1" x="21"/>
        <item m="1" x="165"/>
        <item m="1" x="457"/>
        <item m="1" x="598"/>
        <item m="1" x="751"/>
        <item m="1" x="896"/>
        <item m="1" x="1037"/>
        <item m="1" x="1169"/>
        <item m="1" x="1311"/>
        <item m="1" x="1462"/>
        <item m="1" x="1601"/>
        <item m="1" x="1747"/>
        <item m="1" x="1902"/>
        <item m="1" x="2046"/>
        <item m="1" x="2196"/>
        <item m="1" x="2338"/>
        <item m="1" x="2487"/>
        <item m="1" x="2773"/>
        <item m="1" x="2914"/>
        <item m="1" x="3062"/>
        <item m="1" x="94"/>
        <item m="1" x="239"/>
        <item m="1" x="382"/>
        <item m="1" x="528"/>
        <item m="1" x="677"/>
        <item m="1" x="822"/>
        <item m="1" x="965"/>
        <item m="1" x="1107"/>
        <item m="1" x="1238"/>
        <item m="1" x="1391"/>
        <item m="1" x="1530"/>
        <item m="1" x="1677"/>
        <item m="1" x="1828"/>
        <item m="1" x="1976"/>
        <item m="1" x="2118"/>
        <item m="1" x="2270"/>
        <item m="1" x="2410"/>
        <item m="1" x="2558"/>
        <item m="1" x="2700"/>
        <item m="1" x="2844"/>
        <item m="1" x="2990"/>
        <item m="1" x="25"/>
        <item m="1" x="167"/>
        <item m="1" x="316"/>
        <item m="1" x="459"/>
        <item m="1" x="604"/>
        <item m="1" x="753"/>
        <item m="1" x="899"/>
        <item m="1" x="1039"/>
        <item m="1" x="1172"/>
        <item m="1" x="1313"/>
        <item m="1" x="1466"/>
        <item m="1" x="1603"/>
        <item m="1" x="1754"/>
        <item m="1" x="1904"/>
        <item m="1" x="2050"/>
        <item m="1" x="2199"/>
        <item m="1" x="2342"/>
        <item m="1" x="2489"/>
        <item m="1" x="2636"/>
        <item m="1" x="2775"/>
        <item m="1" x="2922"/>
        <item m="1" x="3064"/>
        <item m="1" x="98"/>
        <item m="1" x="241"/>
        <item m="1" x="386"/>
        <item m="1" x="530"/>
        <item m="1" x="681"/>
        <item m="1" x="824"/>
        <item m="1" x="1109"/>
        <item m="1" x="1242"/>
        <item m="1" x="1393"/>
        <item m="1" x="1534"/>
        <item m="1" x="1679"/>
        <item m="1" x="1831"/>
        <item m="1" x="1978"/>
        <item m="1" x="2125"/>
        <item m="1" x="2272"/>
        <item m="1" x="2414"/>
        <item m="1" x="2704"/>
        <item m="1" x="2846"/>
        <item m="1" x="2994"/>
        <item m="1" x="27"/>
        <item m="1" x="173"/>
        <item m="1" x="318"/>
        <item m="1" x="462"/>
        <item m="1" x="607"/>
        <item m="1" x="756"/>
        <item m="1" x="901"/>
        <item m="1" x="1042"/>
        <item m="1" x="1174"/>
        <item m="1" x="1320"/>
        <item m="1" x="1468"/>
        <item m="1" x="1606"/>
        <item m="1" x="1757"/>
        <item m="1" x="1907"/>
        <item m="1" x="2052"/>
        <item m="1" x="2202"/>
        <item m="1" x="2344"/>
        <item x="4"/>
        <item m="1" x="2637"/>
        <item m="1" x="2777"/>
        <item m="1" x="2924"/>
        <item m="1" x="3067"/>
        <item m="1" x="99"/>
        <item m="1" x="244"/>
        <item m="1" x="388"/>
        <item m="1" x="536"/>
        <item m="1" x="683"/>
        <item m="1" x="827"/>
        <item m="1" x="973"/>
        <item m="1" x="1112"/>
        <item m="1" x="1244"/>
        <item m="1" x="1396"/>
        <item m="1" x="1536"/>
        <item m="1" x="1685"/>
        <item m="1" x="1833"/>
        <item m="1" x="1981"/>
        <item m="1" x="2127"/>
        <item m="1" x="2275"/>
        <item m="1" x="2416"/>
        <item m="1" x="2563"/>
        <item m="1" x="2706"/>
        <item m="1" x="2853"/>
        <item m="1" x="2996"/>
        <item m="1" x="30"/>
        <item m="1" x="176"/>
        <item m="1" x="321"/>
        <item m="1" x="464"/>
        <item m="1" x="609"/>
        <item m="1" x="758"/>
        <item m="1" x="905"/>
        <item m="1" x="1044"/>
        <item m="1" x="1176"/>
        <item m="1" x="1322"/>
        <item m="1" x="1470"/>
        <item m="1" x="1608"/>
        <item m="1" x="1760"/>
        <item m="1" x="1909"/>
        <item m="1" x="3069"/>
        <item m="1" x="104"/>
        <item m="1" x="246"/>
        <item m="1" x="392"/>
        <item m="1" x="539"/>
        <item m="1" x="687"/>
        <item m="1" x="829"/>
        <item m="1" x="976"/>
        <item m="1" x="1113"/>
        <item m="1" x="1252"/>
        <item m="1" x="1398"/>
        <item m="1" x="1540"/>
        <item m="1" x="1687"/>
        <item m="1" x="1837"/>
        <item m="1" x="1983"/>
        <item m="1" x="2130"/>
        <item m="1" x="2277"/>
        <item m="1" x="2422"/>
        <item m="1" x="2565"/>
        <item m="1" x="2709"/>
        <item m="1" x="2856"/>
        <item m="1" x="2999"/>
        <item m="1" x="32"/>
        <item m="1" x="178"/>
        <item m="1" x="323"/>
        <item m="1" x="470"/>
        <item m="1" x="611"/>
        <item m="1" x="761"/>
        <item m="1" x="907"/>
        <item m="1" x="1046"/>
        <item m="1" x="1177"/>
        <item m="1" x="1325"/>
        <item m="1" x="1472"/>
        <item m="1" x="1614"/>
        <item m="1" x="1762"/>
        <item m="1" x="1912"/>
        <item m="1" x="2059"/>
        <item m="1" x="2205"/>
        <item m="1" x="2347"/>
        <item m="1" x="2497"/>
        <item m="1" x="2639"/>
        <item m="1" x="106"/>
        <item m="1" x="250"/>
        <item m="1" x="393"/>
        <item m="1" x="542"/>
        <item m="1" x="689"/>
        <item m="1" x="836"/>
        <item m="1" x="978"/>
        <item m="1" x="1116"/>
        <item m="1" x="1255"/>
        <item m="1" x="1402"/>
        <item m="1" x="1542"/>
        <item m="1" x="1691"/>
        <item m="1" x="1839"/>
        <item m="1" x="2132"/>
        <item m="1" x="2281"/>
        <item m="1" x="2425"/>
        <item m="1" x="2569"/>
        <item m="1" x="2711"/>
        <item m="1" x="2858"/>
        <item m="1" x="3001"/>
        <item m="1" x="38"/>
        <item m="1" x="180"/>
        <item m="1" x="327"/>
        <item m="1" x="473"/>
        <item m="1" x="616"/>
        <item m="1" x="763"/>
        <item m="1" x="911"/>
        <item m="1" x="1048"/>
        <item m="1" x="1186"/>
        <item m="1" x="1327"/>
        <item m="1" x="1476"/>
        <item m="1" x="1617"/>
        <item m="1" x="1767"/>
        <item m="1" x="1914"/>
        <item m="1" x="2063"/>
        <item m="1" x="2207"/>
        <item m="1" x="2354"/>
        <item m="1" x="2499"/>
        <item m="1" x="2642"/>
        <item m="1" x="2787"/>
        <item m="1" x="2931"/>
        <item m="1" x="3073"/>
        <item m="1" x="110"/>
        <item m="1" x="252"/>
        <item m="1" x="401"/>
        <item m="1" x="544"/>
        <item m="1" x="693"/>
        <item m="1" x="839"/>
        <item m="1" x="982"/>
        <item m="1" x="1117"/>
        <item m="1" x="1258"/>
        <item m="1" x="1404"/>
        <item m="1" x="1550"/>
        <item m="1" x="1693"/>
        <item m="1" x="1843"/>
        <item m="1" x="1992"/>
        <item m="1" x="2136"/>
        <item m="1" x="2283"/>
        <item m="1" x="2429"/>
        <item m="1" x="2571"/>
        <item x="5"/>
        <item x="6"/>
        <item x="7"/>
        <item x="8"/>
        <item m="1" x="476"/>
        <item m="1" x="618"/>
        <item m="1" x="770"/>
        <item x="9"/>
        <item x="10"/>
      </items>
    </pivotField>
    <pivotField compact="0" outline="0" showAll="0" defaultSubtotal="0"/>
    <pivotField compact="0" outline="0" showAll="0" defaultSubtotal="0"/>
    <pivotField compact="0" outline="0" showAll="0" defaultSubtotal="0"/>
    <pivotField axis="axisRow" compact="0" outline="0" showAll="0" defaultSubtotal="0">
      <items count="3130">
        <item m="1" x="11"/>
        <item m="1" x="786"/>
        <item m="1" x="235"/>
        <item m="1" x="1859"/>
        <item m="1" x="747"/>
        <item m="1" x="1673"/>
        <item m="1" x="2649"/>
        <item m="1" x="78"/>
        <item m="1" x="1208"/>
        <item m="1" x="982"/>
        <item m="1" x="2973"/>
        <item m="1" x="2974"/>
        <item m="1" x="1952"/>
        <item m="1" x="122"/>
        <item m="1" x="1660"/>
        <item m="1" x="1879"/>
        <item m="1" x="1751"/>
        <item m="1" x="1404"/>
        <item m="1" x="1758"/>
        <item m="1" x="2038"/>
        <item m="1" x="1587"/>
        <item m="1" x="612"/>
        <item m="1" x="631"/>
        <item m="1" x="890"/>
        <item m="1" x="2088"/>
        <item m="1" x="2245"/>
        <item m="1" x="2642"/>
        <item m="1" x="550"/>
        <item m="1" x="2032"/>
        <item m="1" x="192"/>
        <item m="1" x="1743"/>
        <item m="1" x="2818"/>
        <item m="1" x="2648"/>
        <item m="1" x="554"/>
        <item m="1" x="2503"/>
        <item m="1" x="2845"/>
        <item m="1" x="814"/>
        <item m="1" x="984"/>
        <item m="1" x="276"/>
        <item m="1" x="488"/>
        <item m="1" x="2719"/>
        <item m="1" x="1041"/>
        <item m="1" x="86"/>
        <item m="1" x="566"/>
        <item m="1" x="1771"/>
        <item m="1" x="624"/>
        <item m="1" x="206"/>
        <item m="1" x="904"/>
        <item m="1" x="2923"/>
        <item m="1" x="1547"/>
        <item m="1" x="3092"/>
        <item m="1" x="1260"/>
        <item m="1" x="1409"/>
        <item m="1" x="55"/>
        <item m="1" x="2406"/>
        <item m="1" x="2748"/>
        <item m="1" x="1506"/>
        <item m="1" x="2842"/>
        <item m="1" x="1785"/>
        <item m="1" x="1919"/>
        <item m="1" x="1823"/>
        <item m="1" x="2041"/>
        <item m="1" x="1896"/>
        <item m="1" x="2306"/>
        <item m="1" x="2063"/>
        <item m="1" x="2153"/>
        <item m="1" x="1293"/>
        <item m="1" x="2501"/>
        <item m="1" x="1234"/>
        <item m="1" x="2622"/>
        <item m="1" x="2725"/>
        <item m="1" x="865"/>
        <item m="1" x="34"/>
        <item m="1" x="2304"/>
        <item m="1" x="1517"/>
        <item m="1" x="575"/>
        <item m="1" x="2212"/>
        <item m="1" x="1470"/>
        <item m="1" x="216"/>
        <item m="1" x="1268"/>
        <item m="1" x="1136"/>
        <item m="1" x="1154"/>
        <item m="1" x="2079"/>
        <item m="1" x="1515"/>
        <item m="1" x="2521"/>
        <item m="1" x="29"/>
        <item m="1" x="2210"/>
        <item m="1" x="2869"/>
        <item m="1" x="1851"/>
        <item m="1" x="1278"/>
        <item m="1" x="1937"/>
        <item m="1" x="169"/>
        <item m="1" x="2039"/>
        <item m="1" x="1533"/>
        <item m="1" x="724"/>
        <item m="1" x="2372"/>
        <item m="1" x="1139"/>
        <item m="1" x="1801"/>
        <item m="1" x="241"/>
        <item m="1" x="603"/>
        <item m="1" x="329"/>
        <item m="1" x="3097"/>
        <item m="1" x="2441"/>
        <item m="1" x="2271"/>
        <item m="1" x="1526"/>
        <item m="1" x="2713"/>
        <item m="1" x="1662"/>
        <item m="1" x="2952"/>
        <item m="1" x="2136"/>
        <item m="1" x="1776"/>
        <item m="1" x="1439"/>
        <item m="1" x="2129"/>
        <item m="1" x="2597"/>
        <item m="1" x="1489"/>
        <item m="1" x="691"/>
        <item m="1" x="281"/>
        <item m="1" x="2878"/>
        <item m="1" x="357"/>
        <item m="1" x="2768"/>
        <item m="1" x="1524"/>
        <item m="1" x="1872"/>
        <item m="1" x="334"/>
        <item m="1" x="671"/>
        <item m="1" x="758"/>
        <item m="1" x="1179"/>
        <item m="1" x="2812"/>
        <item m="1" x="2886"/>
        <item m="1" x="2851"/>
        <item m="1" x="2682"/>
        <item m="1" x="779"/>
        <item m="1" x="429"/>
        <item m="1" x="227"/>
        <item m="1" x="685"/>
        <item m="1" x="1704"/>
        <item m="1" x="546"/>
        <item m="1" x="1798"/>
        <item m="1" x="2940"/>
        <item m="1" x="2970"/>
        <item m="1" x="1922"/>
        <item m="1" x="1045"/>
        <item m="1" x="2831"/>
        <item m="1" x="1907"/>
        <item m="1" x="2076"/>
        <item m="1" x="1973"/>
        <item m="1" x="1107"/>
        <item m="1" x="2193"/>
        <item m="1" x="957"/>
        <item m="1" x="394"/>
        <item m="1" x="736"/>
        <item m="1" x="2943"/>
        <item m="1" x="3004"/>
        <item m="1" x="2876"/>
        <item m="1" x="573"/>
        <item m="1" x="2879"/>
        <item m="1" x="576"/>
        <item m="1" x="1954"/>
        <item m="1" x="1974"/>
        <item m="1" x="2308"/>
        <item m="1" x="2068"/>
        <item m="1" x="2237"/>
        <item m="1" x="964"/>
        <item m="1" x="561"/>
        <item m="1" x="2866"/>
        <item m="1" x="2506"/>
        <item m="1" x="2462"/>
        <item m="1" x="535"/>
        <item m="1" x="581"/>
        <item m="1" x="2369"/>
        <item m="1" x="2049"/>
        <item m="1" x="2092"/>
        <item m="1" x="1728"/>
        <item m="1" x="1993"/>
        <item m="1" x="1608"/>
        <item m="1" x="1961"/>
        <item m="1" x="1986"/>
        <item m="1" x="3115"/>
        <item m="1" x="659"/>
        <item m="1" x="1641"/>
        <item m="1" x="1667"/>
        <item m="1" x="709"/>
        <item m="1" x="413"/>
        <item m="1" x="2646"/>
        <item m="1" x="2241"/>
        <item m="1" x="2568"/>
        <item m="1" x="2535"/>
        <item m="1" x="301"/>
        <item m="1" x="2854"/>
        <item m="1" x="2362"/>
        <item m="1" x="1283"/>
        <item m="1" x="2670"/>
        <item m="1" x="2699"/>
        <item m="1" x="1891"/>
        <item m="1" x="2320"/>
        <item m="1" x="1960"/>
        <item m="1" x="2031"/>
        <item m="1" x="928"/>
        <item m="1" x="1574"/>
        <item m="1" x="1687"/>
        <item m="1" x="1946"/>
        <item m="1" x="3121"/>
        <item m="1" x="2772"/>
        <item m="1" x="584"/>
        <item m="1" x="608"/>
        <item m="1" x="2743"/>
        <item m="1" x="958"/>
        <item m="1" x="655"/>
        <item m="1" x="431"/>
        <item m="1" x="3066"/>
        <item m="1" x="972"/>
        <item m="1" x="532"/>
        <item m="1" x="2412"/>
        <item m="1" x="737"/>
        <item m="1" x="2409"/>
        <item m="1" x="3017"/>
        <item m="1" x="89"/>
        <item m="1" x="705"/>
        <item m="1" x="2138"/>
        <item m="1" x="2132"/>
        <item m="1" x="3029"/>
        <item m="1" x="2516"/>
        <item m="1" x="1424"/>
        <item m="1" x="1316"/>
        <item m="1" x="1835"/>
        <item m="1" x="212"/>
        <item m="1" x="3069"/>
        <item m="1" x="1983"/>
        <item m="1" x="2985"/>
        <item m="1" x="895"/>
        <item m="1" x="2894"/>
        <item m="1" x="897"/>
        <item m="1" x="2562"/>
        <item m="1" x="76"/>
        <item m="1" x="2944"/>
        <item m="1" x="628"/>
        <item m="1" x="924"/>
        <item m="1" x="1456"/>
        <item m="1" x="1099"/>
        <item m="1" x="205"/>
        <item m="1" x="480"/>
        <item m="1" x="1450"/>
        <item m="1" x="1336"/>
        <item m="1" x="2523"/>
        <item m="1" x="2524"/>
        <item m="1" x="161"/>
        <item m="1" x="392"/>
        <item m="1" x="2723"/>
        <item m="1" x="2928"/>
        <item m="1" x="2281"/>
        <item m="1" x="447"/>
        <item m="1" x="2206"/>
        <item m="1" x="1366"/>
        <item m="1" x="812"/>
        <item m="1" x="1639"/>
        <item m="1" x="426"/>
        <item m="1" x="2533"/>
        <item m="1" x="1105"/>
        <item m="1" x="1261"/>
        <item m="1" x="744"/>
        <item m="1" x="884"/>
        <item m="1" x="1115"/>
        <item m="1" x="1832"/>
        <item m="1" x="1842"/>
        <item m="1" x="2230"/>
        <item m="1" x="1616"/>
        <item m="1" x="1124"/>
        <item m="1" x="830"/>
        <item m="1" x="1945"/>
        <item m="1" x="1878"/>
        <item m="1" x="2148"/>
        <item m="1" x="417"/>
        <item m="1" x="1391"/>
        <item m="1" x="1915"/>
        <item m="1" x="165"/>
        <item m="1" x="648"/>
        <item m="1" x="1560"/>
        <item m="1" x="33"/>
        <item m="1" x="2762"/>
        <item m="1" x="1628"/>
        <item m="1" x="1822"/>
        <item m="1" x="1341"/>
        <item m="1" x="2605"/>
        <item m="1" x="2526"/>
        <item m="1" x="2248"/>
        <item m="1" x="2294"/>
        <item m="1" x="2770"/>
        <item m="1" x="1603"/>
        <item m="1" x="788"/>
        <item m="1" x="2449"/>
        <item m="1" x="2023"/>
        <item m="1" x="1239"/>
        <item m="1" x="1339"/>
        <item m="1" x="1285"/>
        <item m="1" x="2757"/>
        <item m="1" x="2408"/>
        <item m="1" x="2679"/>
        <item m="1" x="265"/>
        <item m="1" x="2285"/>
        <item m="1" x="721"/>
        <item m="1" x="888"/>
        <item m="1" x="1379"/>
        <item m="1" x="186"/>
        <item m="1" x="1290"/>
        <item m="1" x="2055"/>
        <item m="1" x="652"/>
        <item m="1" x="1304"/>
        <item m="1" x="2488"/>
        <item m="1" x="1634"/>
        <item m="1" x="58"/>
        <item m="1" x="529"/>
        <item m="1" x="470"/>
        <item m="1" x="2911"/>
        <item m="1" x="2587"/>
        <item m="1" x="1256"/>
        <item m="1" x="639"/>
        <item m="1" x="2465"/>
        <item m="1" x="729"/>
        <item m="1" x="176"/>
        <item m="1" x="2803"/>
        <item m="1" x="714"/>
        <item m="1" x="1249"/>
        <item m="1" x="2825"/>
        <item m="1" x="30"/>
        <item m="1" x="2291"/>
        <item m="1" x="1752"/>
        <item m="1" x="665"/>
        <item m="1" x="969"/>
        <item m="1" x="1189"/>
        <item m="1" x="1716"/>
        <item m="1" x="2984"/>
        <item m="1" x="1034"/>
        <item m="1" x="107"/>
        <item m="1" x="2154"/>
        <item m="1" x="663"/>
        <item m="1" x="824"/>
        <item m="1" x="704"/>
        <item m="1" x="879"/>
        <item m="1" x="311"/>
        <item m="1" x="260"/>
        <item m="1" x="1681"/>
        <item m="1" x="491"/>
        <item m="1" x="295"/>
        <item m="1" x="226"/>
        <item m="1" x="1431"/>
        <item m="1" x="2473"/>
        <item m="1" x="2817"/>
        <item m="1" x="3013"/>
        <item m="1" x="692"/>
        <item m="1" x="677"/>
        <item m="1" x="2502"/>
        <item m="1" x="2696"/>
        <item m="1" x="835"/>
        <item m="1" x="2238"/>
        <item m="1" x="582"/>
        <item m="1" x="769"/>
        <item m="1" x="2336"/>
        <item m="1" x="1721"/>
        <item m="1" x="1046"/>
        <item m="1" x="1530"/>
        <item m="1" x="1575"/>
        <item m="1" x="1600"/>
        <item m="1" x="2906"/>
        <item m="1" x="2941"/>
        <item m="1" x="188"/>
        <item m="1" x="1458"/>
        <item m="1" x="588"/>
        <item m="1" x="67"/>
        <item m="1" x="240"/>
        <item m="1" x="2544"/>
        <item m="1" x="3079"/>
        <item m="1" x="229"/>
        <item m="1" x="1337"/>
        <item m="1" x="108"/>
        <item m="1" x="2668"/>
        <item m="1" x="54"/>
        <item m="1" x="716"/>
        <item m="1" x="2513"/>
        <item m="1" x="3075"/>
        <item m="1" x="432"/>
        <item m="1" x="667"/>
        <item m="1" x="467"/>
        <item m="1" x="2902"/>
        <item m="1" x="2846"/>
        <item m="1" x="2767"/>
        <item m="1" x="932"/>
        <item m="1" x="528"/>
        <item m="1" x="1349"/>
        <item m="1" x="995"/>
        <item m="1" x="2736"/>
        <item m="1" x="1684"/>
        <item m="1" x="1881"/>
        <item m="1" x="1762"/>
        <item m="1" x="69"/>
        <item m="1" x="340"/>
        <item m="1" x="1074"/>
        <item m="1" x="1833"/>
        <item m="1" x="1518"/>
        <item m="1" x="1425"/>
        <item m="1" x="1492"/>
        <item m="1" x="1562"/>
        <item m="1" x="2400"/>
        <item m="1" x="2525"/>
        <item m="1" x="986"/>
        <item m="1" x="1063"/>
        <item m="1" x="2352"/>
        <item m="1" x="2796"/>
        <item m="1" x="1772"/>
        <item m="1" x="1599"/>
        <item m="1" x="239"/>
        <item m="1" x="320"/>
        <item m="1" x="2280"/>
        <item m="1" x="2616"/>
        <item m="1" x="2999"/>
        <item m="1" x="2228"/>
        <item m="1" x="1571"/>
        <item m="1" x="1831"/>
        <item m="1" x="1182"/>
        <item m="1" x="127"/>
        <item m="1" x="1718"/>
        <item m="1" x="1705"/>
        <item m="1" x="1788"/>
        <item m="1" x="2290"/>
        <item m="1" x="523"/>
        <item m="1" x="1406"/>
        <item m="1" x="1910"/>
        <item m="1" x="136"/>
        <item m="1" x="1709"/>
        <item m="1" x="2599"/>
        <item m="1" x="2494"/>
        <item m="1" x="2490"/>
        <item m="1" x="141"/>
        <item m="1" x="1839"/>
        <item m="1" x="1423"/>
        <item m="1" x="2819"/>
        <item m="1" x="434"/>
        <item m="1" x="2861"/>
        <item m="1" x="2903"/>
        <item m="1" x="2395"/>
        <item m="1" x="1430"/>
        <item m="1" x="173"/>
        <item m="1" x="1057"/>
        <item m="1" x="2467"/>
        <item m="1" x="1913"/>
        <item m="1" x="2296"/>
        <item m="1" x="651"/>
        <item m="1" x="527"/>
        <item m="1" x="2705"/>
        <item m="1" x="2256"/>
        <item m="1" x="1119"/>
        <item m="1" x="2962"/>
        <item m="1" x="1026"/>
        <item m="1" x="2638"/>
        <item m="1" x="1963"/>
        <item m="1" x="221"/>
        <item m="1" x="2983"/>
        <item m="1" x="2207"/>
        <item m="1" x="541"/>
        <item m="1" x="378"/>
        <item m="1" x="2253"/>
        <item m="1" x="352"/>
        <item m="1" x="1386"/>
        <item m="1" x="970"/>
        <item m="1" x="980"/>
        <item m="1" x="2623"/>
        <item m="1" x="851"/>
        <item m="1" x="242"/>
        <item m="1" x="2888"/>
        <item m="1" x="440"/>
        <item m="1" x="717"/>
        <item m="1" x="2947"/>
        <item m="1" x="1082"/>
        <item m="1" x="3091"/>
        <item m="1" x="930"/>
        <item m="1" x="693"/>
        <item m="1" x="2137"/>
        <item m="1" x="2059"/>
        <item m="1" x="1962"/>
        <item m="1" x="2257"/>
        <item m="1" x="2904"/>
        <item m="1" x="2213"/>
        <item m="1" x="2422"/>
        <item m="1" x="2255"/>
        <item m="1" x="1191"/>
        <item m="1" x="910"/>
        <item m="1" x="1241"/>
        <item m="1" x="1956"/>
        <item m="1" x="1451"/>
        <item m="1" x="1049"/>
        <item m="1" x="637"/>
        <item m="1" x="889"/>
        <item m="1" x="948"/>
        <item m="1" x="1444"/>
        <item m="1" x="1504"/>
        <item m="1" x="2950"/>
        <item m="1" x="3100"/>
        <item m="1" x="1164"/>
        <item m="1" x="2043"/>
        <item m="1" x="1690"/>
        <item m="1" x="1619"/>
        <item m="1" x="1885"/>
        <item m="1" x="433"/>
        <item m="1" x="1528"/>
        <item m="1" x="1613"/>
        <item m="1" x="1769"/>
        <item m="1" x="1566"/>
        <item m="1" x="1668"/>
        <item m="1" x="2581"/>
        <item m="1" x="2619"/>
        <item m="1" x="817"/>
        <item m="1" x="2184"/>
        <item m="1" x="2779"/>
        <item m="1" x="687"/>
        <item m="1" x="103"/>
        <item m="1" x="1055"/>
        <item m="1" x="2548"/>
        <item m="1" x="1335"/>
        <item m="1" x="408"/>
        <item m="1" x="626"/>
        <item m="1" x="831"/>
        <item m="1" x="832"/>
        <item m="1" x="1363"/>
        <item m="1" x="1733"/>
        <item m="1" x="1505"/>
        <item m="1" x="556"/>
        <item m="1" x="1480"/>
        <item m="1" x="1274"/>
        <item m="1" x="794"/>
        <item m="1" x="3096"/>
        <item m="1" x="35"/>
        <item m="1" x="179"/>
        <item m="1" x="1296"/>
        <item m="1" x="222"/>
        <item m="1" x="1226"/>
        <item m="1" x="805"/>
        <item m="1" x="288"/>
        <item m="1" x="833"/>
        <item m="1" x="452"/>
        <item m="1" x="1446"/>
        <item m="1" x="960"/>
        <item m="1" x="1479"/>
        <item m="1" x="2411"/>
        <item m="1" x="1652"/>
        <item m="1" x="1021"/>
        <item m="1" x="1478"/>
        <item m="1" x="3003"/>
        <item m="1" x="825"/>
        <item m="1" x="826"/>
        <item m="1" x="1222"/>
        <item m="1" x="400"/>
        <item m="1" x="1167"/>
        <item m="1" x="2591"/>
        <item m="1" x="80"/>
        <item m="1" x="2391"/>
        <item m="1" x="2082"/>
        <item m="1" x="534"/>
        <item m="1" x="1928"/>
        <item m="1" x="1125"/>
        <item m="1" x="838"/>
        <item m="1" x="905"/>
        <item m="1" x="1904"/>
        <item m="1" x="3116"/>
        <item m="1" x="678"/>
        <item m="1" x="3089"/>
        <item m="1" x="1236"/>
        <item m="1" x="1638"/>
        <item m="1" x="2993"/>
        <item m="1" x="3034"/>
        <item m="1" x="2260"/>
        <item m="1" x="2117"/>
        <item m="1" x="2125"/>
        <item m="1" x="2323"/>
        <item m="1" x="1990"/>
        <item m="1" x="1814"/>
        <item m="1" x="647"/>
        <item m="1" x="1156"/>
        <item m="1" x="3124"/>
        <item m="1" x="3049"/>
        <item m="1" x="2561"/>
        <item m="1" x="95"/>
        <item m="1" x="234"/>
        <item m="1" x="1320"/>
        <item m="1" x="695"/>
        <item m="1" x="263"/>
        <item m="1" x="1131"/>
        <item m="1" x="1466"/>
        <item m="1" x="2116"/>
        <item m="1" x="2263"/>
        <item m="1" x="683"/>
        <item m="1" x="1013"/>
        <item m="1" x="2892"/>
        <item m="1" x="1854"/>
        <item m="1" x="1146"/>
        <item m="1" x="1006"/>
        <item m="1" x="2836"/>
        <item m="1" x="1448"/>
        <item m="1" x="1387"/>
        <item m="1" x="2033"/>
        <item m="1" x="1564"/>
        <item m="1" x="1674"/>
        <item m="1" x="471"/>
        <item m="1" x="202"/>
        <item m="1" x="3041"/>
        <item m="1" x="1532"/>
        <item m="1" x="2080"/>
        <item m="1" x="985"/>
        <item m="1" x="1246"/>
        <item m="1" x="1102"/>
        <item m="1" x="778"/>
        <item m="1" x="857"/>
        <item m="1" x="2549"/>
        <item m="1" x="2828"/>
        <item m="1" x="610"/>
        <item m="1" x="2617"/>
        <item m="1" x="1727"/>
        <item m="1" x="1576"/>
        <item m="1" x="2191"/>
        <item m="1" x="2575"/>
        <item m="1" x="373"/>
        <item m="1" x="2227"/>
        <item m="1" x="331"/>
        <item m="1" x="1676"/>
        <item m="1" x="1056"/>
        <item m="1" x="1457"/>
        <item m="1" x="1460"/>
        <item m="1" x="1058"/>
        <item m="1" x="1421"/>
        <item m="1" x="1062"/>
        <item m="1" x="1052"/>
        <item m="1" x="315"/>
        <item m="1" x="514"/>
        <item m="1" x="614"/>
        <item m="1" x="3065"/>
        <item m="1" x="870"/>
        <item m="1" x="303"/>
        <item m="1" x="2862"/>
        <item m="1" x="325"/>
        <item m="1" x="589"/>
        <item m="1" x="83"/>
        <item m="1" x="1162"/>
        <item m="1" x="1949"/>
        <item m="1" x="2314"/>
        <item m="1" x="498"/>
        <item m="1" x="1122"/>
        <item m="1" x="1477"/>
        <item m="1" x="3082"/>
        <item m="1" x="3030"/>
        <item m="1" x="2948"/>
        <item m="1" x="53"/>
        <item m="1" x="3084"/>
        <item m="1" x="2014"/>
        <item m="1" x="1016"/>
        <item m="1" x="1979"/>
        <item m="1" x="3074"/>
        <item m="1" x="735"/>
        <item m="1" x="375"/>
        <item m="1" x="966"/>
        <item m="1" x="2868"/>
        <item m="1" x="2233"/>
        <item m="1" x="3023"/>
        <item m="1" x="3106"/>
        <item m="1" x="386"/>
        <item m="1" x="1941"/>
        <item m="1" x="521"/>
        <item m="1" x="2640"/>
        <item m="1" x="2107"/>
        <item m="1" x="416"/>
        <item m="1" x="1742"/>
        <item m="1" x="3005"/>
        <item m="1" x="101"/>
        <item m="1" x="609"/>
        <item m="1" x="1816"/>
        <item m="1" x="1411"/>
        <item m="1" x="2035"/>
        <item m="1" x="2606"/>
        <item m="1" x="2797"/>
        <item m="1" x="952"/>
        <item m="1" x="978"/>
        <item m="1" x="2853"/>
        <item m="1" x="2689"/>
        <item m="1" x="368"/>
        <item m="1" x="756"/>
        <item m="1" x="175"/>
        <item m="1" x="596"/>
        <item m="1" x="3103"/>
        <item m="1" x="1486"/>
        <item m="1" x="2426"/>
        <item m="1" x="776"/>
        <item m="1" x="2058"/>
        <item m="1" x="267"/>
        <item m="1" x="1325"/>
        <item m="1" x="1235"/>
        <item m="1" x="899"/>
        <item m="1" x="1098"/>
        <item m="1" x="1499"/>
        <item m="1" x="2580"/>
        <item m="1" x="1746"/>
        <item m="1" x="332"/>
        <item m="1" x="2261"/>
        <item m="1" x="72"/>
        <item m="1" x="1392"/>
        <item m="1" x="2996"/>
        <item m="1" x="1348"/>
        <item m="1" x="2666"/>
        <item m="1" x="245"/>
        <item m="1" x="2774"/>
        <item m="1" x="3070"/>
        <item m="1" x="578"/>
        <item m="1" x="251"/>
        <item m="1" x="1572"/>
        <item m="1" x="2124"/>
        <item m="1" x="2075"/>
        <item m="1" x="3043"/>
        <item m="1" x="1783"/>
        <item m="1" x="1779"/>
        <item m="1" x="418"/>
        <item m="1" x="3057"/>
        <item m="1" x="1795"/>
        <item m="1" x="2596"/>
        <item m="1" x="808"/>
        <item m="1" x="2131"/>
        <item m="1" x="1117"/>
        <item m="1" x="1465"/>
        <item m="1" x="2199"/>
        <item m="1" x="2170"/>
        <item m="1" x="1840"/>
        <item m="1" x="182"/>
        <item m="1" x="2343"/>
        <item m="1" x="1755"/>
        <item m="1" x="2419"/>
        <item m="1" x="157"/>
        <item m="1" x="2987"/>
        <item m="1" x="1551"/>
        <item m="1" x="1080"/>
        <item m="1" x="168"/>
        <item m="1" x="1257"/>
        <item m="1" x="271"/>
        <item m="1" x="2753"/>
        <item m="1" x="973"/>
        <item m="1" x="2737"/>
        <item m="1" x="1485"/>
        <item m="1" x="875"/>
        <item m="1" x="3098"/>
        <item m="1" x="1297"/>
        <item m="1" x="2447"/>
        <item m="1" x="201"/>
        <item m="1" x="1555"/>
        <item m="1" x="2122"/>
        <item m="1" x="1129"/>
        <item m="1" x="3068"/>
        <item m="1" x="2283"/>
        <item m="1" x="2708"/>
        <item m="1" x="1760"/>
        <item m="1" x="2709"/>
        <item m="1" x="3078"/>
        <item m="1" x="2998"/>
        <item m="1" x="545"/>
        <item m="1" x="151"/>
        <item m="1" x="1546"/>
        <item m="1" x="2880"/>
        <item m="1" x="1647"/>
        <item m="1" x="50"/>
        <item m="1" x="341"/>
        <item m="1" x="2239"/>
        <item m="1" x="2978"/>
        <item m="1" x="2030"/>
        <item m="1" x="654"/>
        <item m="1" x="2963"/>
        <item m="1" x="2197"/>
        <item m="1" x="1474"/>
        <item m="1" x="436"/>
        <item m="1" x="2514"/>
        <item m="1" x="1539"/>
        <item m="1" x="734"/>
        <item m="1" x="1847"/>
        <item m="1" x="1427"/>
        <item m="1" x="746"/>
        <item m="1" x="1497"/>
        <item m="1" x="1295"/>
        <item m="1" x="943"/>
        <item m="1" x="878"/>
        <item m="1" x="689"/>
        <item m="1" x="2497"/>
        <item m="1" x="377"/>
        <item m="1" x="1219"/>
        <item m="1" x="296"/>
        <item m="1" x="2421"/>
        <item m="1" x="1338"/>
        <item m="1" x="1267"/>
        <item m="1" x="364"/>
        <item m="1" x="177"/>
        <item m="1" x="2376"/>
        <item m="1" x="1672"/>
        <item m="1" x="1605"/>
        <item m="1" x="761"/>
        <item m="1" x="1151"/>
        <item m="1" x="439"/>
        <item m="1" x="2442"/>
        <item m="1" x="1198"/>
        <item m="1" x="1537"/>
        <item m="1" x="183"/>
        <item m="1" x="1205"/>
        <item m="1" x="1625"/>
        <item m="1" x="2822"/>
        <item m="1" x="2370"/>
        <item m="1" x="854"/>
        <item m="1" x="2704"/>
        <item m="1" x="593"/>
        <item m="1" x="1578"/>
        <item m="1" x="3125"/>
        <item m="1" x="1761"/>
        <item m="1" x="2482"/>
        <item m="1" x="2873"/>
        <item m="1" x="845"/>
        <item m="1" x="2727"/>
        <item m="1" x="2588"/>
        <item m="1" x="2008"/>
        <item m="1" x="1030"/>
        <item m="1" x="1732"/>
        <item m="1" x="3010"/>
        <item m="1" x="676"/>
        <item m="1" x="2543"/>
        <item m="1" x="2300"/>
        <item m="1" x="914"/>
        <item m="1" x="266"/>
        <item m="1" x="1944"/>
        <item m="1" x="793"/>
        <item m="1" x="2799"/>
        <item m="1" x="1091"/>
        <item m="1" x="2004"/>
        <item m="1" x="1882"/>
        <item m="1" x="2192"/>
        <item m="1" x="653"/>
        <item m="1" x="1322"/>
        <item m="1" x="350"/>
        <item m="1" x="1827"/>
        <item m="1" x="1254"/>
        <item m="1" x="2946"/>
        <item m="1" x="317"/>
        <item m="1" x="2407"/>
        <item m="1" x="1112"/>
        <item m="1" x="1177"/>
        <item m="1" x="2353"/>
        <item m="1" x="2252"/>
        <item m="1" x="2219"/>
        <item m="1" x="1959"/>
        <item m="1" x="1086"/>
        <item m="1" x="2852"/>
        <item m="1" x="2650"/>
        <item m="1" x="1698"/>
        <item m="1" x="1898"/>
        <item m="1" x="258"/>
        <item m="1" x="1420"/>
        <item m="1" x="90"/>
        <item m="1" x="1666"/>
        <item m="1" x="882"/>
        <item m="1" x="492"/>
        <item m="1" x="502"/>
        <item m="1" x="3027"/>
        <item m="1" x="998"/>
        <item m="1" x="538"/>
        <item m="1" x="2654"/>
        <item m="1" x="316"/>
        <item m="1" x="2775"/>
        <item m="1" x="839"/>
        <item m="1" x="2782"/>
        <item m="1" x="615"/>
        <item m="1" x="367"/>
        <item m="1" x="1658"/>
        <item m="1" x="848"/>
        <item m="1" x="1347"/>
        <item m="1" x="2104"/>
        <item m="1" x="2572"/>
        <item m="1" x="2175"/>
        <item m="1" x="2863"/>
        <item m="1" x="510"/>
        <item m="1" x="2624"/>
        <item m="1" x="2908"/>
        <item m="1" x="1385"/>
        <item m="1" x="2265"/>
        <item m="1" x="3032"/>
        <item m="1" x="2445"/>
        <item m="1" x="26"/>
        <item m="1" x="322"/>
        <item m="1" x="2930"/>
        <item m="1" x="501"/>
        <item m="1" x="2361"/>
        <item m="1" x="2783"/>
        <item m="1" x="193"/>
        <item m="1" x="2671"/>
        <item m="1" x="495"/>
        <item m="1" x="330"/>
        <item m="1" x="956"/>
        <item m="1" x="1512"/>
        <item m="1" x="1784"/>
        <item m="1" x="2496"/>
        <item m="1" x="2955"/>
        <item m="1" x="1401"/>
        <item m="1" x="1393"/>
        <item m="1" x="2273"/>
        <item m="1" x="2686"/>
        <item m="1" x="680"/>
        <item m="1" x="798"/>
        <item m="1" x="2603"/>
        <item m="1" x="2274"/>
        <item m="1" x="196"/>
        <item m="1" x="698"/>
        <item m="1" x="2485"/>
        <item m="1" x="2518"/>
        <item m="1" x="2586"/>
        <item m="1" x="2249"/>
        <item m="1" x="2363"/>
        <item m="1" x="1152"/>
        <item m="1" x="1669"/>
        <item m="1" x="1383"/>
        <item m="1" x="2913"/>
        <item m="1" x="726"/>
        <item m="1" x="3046"/>
        <item m="1" x="3040"/>
        <item m="1" x="2410"/>
        <item m="1" x="1585"/>
        <item m="1" x="1287"/>
        <item m="1" x="1640"/>
        <item m="1" x="2481"/>
        <item m="1" x="670"/>
        <item m="1" x="1170"/>
        <item m="1" x="479"/>
        <item m="1" x="117"/>
        <item m="1" x="2924"/>
        <item m="1" x="587"/>
        <item m="1" x="96"/>
        <item m="1" x="569"/>
        <item m="1" x="898"/>
        <item m="1" x="2643"/>
        <item m="1" x="1018"/>
        <item m="1" x="2351"/>
        <item m="1" x="1824"/>
        <item m="1" x="28"/>
        <item m="1" x="2450"/>
        <item m="1" x="1521"/>
        <item m="1" x="1711"/>
        <item m="1" x="1110"/>
        <item m="1" x="836"/>
        <item m="1" x="2178"/>
        <item m="1" x="2512"/>
        <item m="1" x="339"/>
        <item m="1" x="272"/>
        <item m="1" x="1352"/>
        <item m="1" x="2190"/>
        <item m="1" x="388"/>
        <item m="1" x="992"/>
        <item m="1" x="2181"/>
        <item m="1" x="2186"/>
        <item m="1" x="1999"/>
        <item m="1" x="1980"/>
        <item m="1" x="2346"/>
        <item m="1" x="230"/>
        <item m="1" x="2091"/>
        <item m="1" x="298"/>
        <item m="1" x="1836"/>
        <item m="1" x="1426"/>
        <item m="1" x="2897"/>
        <item m="1" x="2011"/>
        <item m="1" x="2534"/>
        <item m="1" x="64"/>
        <item m="1" x="1981"/>
        <item m="1" x="1813"/>
        <item m="1" x="2632"/>
        <item m="1" x="1597"/>
        <item m="1" x="2086"/>
        <item m="1" x="395"/>
        <item m="1" x="39"/>
        <item m="1" x="164"/>
        <item m="1" x="2392"/>
        <item m="1" x="1948"/>
        <item m="1" x="2934"/>
        <item m="1" x="1289"/>
        <item m="1" x="917"/>
        <item m="1" x="1111"/>
        <item m="1" x="1066"/>
        <item m="1" x="2342"/>
        <item m="1" x="2358"/>
        <item m="1" x="1569"/>
        <item m="1" x="3019"/>
        <item m="1" x="2326"/>
        <item m="1" x="2338"/>
        <item m="1" x="307"/>
        <item m="1" x="309"/>
        <item m="1" x="860"/>
        <item m="1" x="261"/>
        <item m="1" x="2722"/>
        <item m="1" x="2633"/>
        <item m="1" x="727"/>
        <item m="1" x="3026"/>
        <item m="1" x="1577"/>
        <item m="1" x="1933"/>
        <item m="1" x="1372"/>
        <item m="1" x="1311"/>
        <item m="1" x="547"/>
        <item m="1" x="891"/>
        <item m="1" x="1025"/>
        <item m="1" x="923"/>
        <item m="1" x="1500"/>
        <item m="1" x="2491"/>
        <item m="1" x="2931"/>
        <item m="1" x="649"/>
        <item m="1" x="2636"/>
        <item m="1" x="233"/>
        <item m="1" x="1003"/>
        <item m="1" x="802"/>
        <item m="1" x="2415"/>
        <item m="1" x="2236"/>
        <item m="1" x="2330"/>
        <item m="1" x="1693"/>
        <item m="1" x="1620"/>
        <item m="1" x="1651"/>
        <item m="1" x="2479"/>
        <item m="1" x="1868"/>
        <item m="1" x="1436"/>
        <item m="1" x="2856"/>
        <item m="1" x="2647"/>
        <item m="1" x="2437"/>
        <item m="1" x="1440"/>
        <item m="1" x="147"/>
        <item m="1" x="163"/>
        <item m="1" x="3090"/>
        <item m="1" x="2060"/>
        <item m="1" x="2519"/>
        <item m="1" x="1216"/>
        <item m="1" x="2673"/>
        <item m="1" x="1920"/>
        <item m="1" x="2056"/>
        <item m="1" x="1357"/>
        <item m="1" x="496"/>
        <item m="1" x="922"/>
        <item m="1" x="2010"/>
        <item m="1" x="468"/>
        <item m="1" x="2515"/>
        <item m="1" x="635"/>
        <item m="1" x="640"/>
        <item m="1" x="1142"/>
        <item m="1" x="1810"/>
        <item m="1" x="1292"/>
        <item m="1" x="137"/>
        <item m="1" x="1965"/>
        <item m="1" x="2443"/>
        <item m="1" x="140"/>
        <item m="1" x="465"/>
        <item m="1" x="2232"/>
        <item m="1" x="1567"/>
        <item m="1" x="466"/>
        <item m="1" x="936"/>
        <item m="1" x="797"/>
        <item m="1" x="2539"/>
        <item m="1" x="1201"/>
        <item m="1" x="3114"/>
        <item m="1" x="2813"/>
        <item m="1" x="354"/>
        <item m="1" x="2784"/>
        <item m="1" x="913"/>
        <item m="1" x="660"/>
        <item m="1" x="1679"/>
        <item m="1" x="2083"/>
        <item m="1" x="2975"/>
        <item m="1" x="2099"/>
        <item m="1" x="1853"/>
        <item m="1" x="942"/>
        <item m="1" x="1463"/>
        <item m="1" x="2168"/>
        <item m="1" x="1464"/>
        <item m="1" x="180"/>
        <item m="1" x="238"/>
        <item m="1" x="191"/>
        <item m="1" x="497"/>
        <item m="1" x="146"/>
        <item m="1" x="1921"/>
        <item m="1" x="1252"/>
        <item m="1" x="1447"/>
        <item m="1" x="2127"/>
        <item m="1" x="560"/>
        <item m="1" x="500"/>
        <item m="1" x="2089"/>
        <item m="1" x="1405"/>
        <item m="1" x="1493"/>
        <item m="1" x="1067"/>
        <item m="1" x="994"/>
        <item m="1" x="607"/>
        <item m="1" x="1483"/>
        <item m="1" x="2151"/>
        <item m="1" x="1130"/>
        <item m="1" x="1544"/>
        <item m="1" x="552"/>
        <item m="1" x="559"/>
        <item m="1" x="2899"/>
        <item m="1" x="421"/>
        <item m="1" x="2037"/>
        <item m="1" x="2755"/>
        <item m="1" x="1140"/>
        <item m="1" x="1233"/>
        <item m="1" x="971"/>
        <item m="1" x="2166"/>
        <item m="1" x="1968"/>
        <item m="1" x="2403"/>
        <item m="1" x="473"/>
        <item m="1" x="2780"/>
        <item m="1" x="820"/>
        <item m="1" x="868"/>
        <item m="1" x="834"/>
        <item m="1" x="1114"/>
        <item m="1" x="1303"/>
        <item m="1" x="2979"/>
        <item m="1" x="1134"/>
        <item m="1" x="1713"/>
        <item m="1" x="1630"/>
        <item m="1" x="359"/>
        <item m="1" x="1358"/>
        <item m="1" x="275"/>
        <item m="1" x="308"/>
        <item m="1" x="2835"/>
        <item m="1" x="2601"/>
        <item m="1" x="1903"/>
        <item m="1" x="19"/>
        <item m="1" x="487"/>
        <item m="1" x="1819"/>
        <item m="1" x="2073"/>
        <item m="1" x="790"/>
        <item m="1" x="1516"/>
        <item m="1" x="1815"/>
        <item m="1" x="2711"/>
        <item m="1" x="1735"/>
        <item m="1" x="1561"/>
        <item m="1" x="530"/>
        <item m="1" x="2365"/>
        <item m="1" x="2628"/>
        <item m="1" x="1370"/>
        <item m="1" x="280"/>
        <item m="1" x="2147"/>
        <item m="1" x="2556"/>
        <item m="1" x="1343"/>
        <item m="1" x="2695"/>
        <item m="1" x="1495"/>
        <item m="1" x="1992"/>
        <item m="1" x="2390"/>
        <item m="1" x="2000"/>
        <item m="1" x="1843"/>
        <item m="1" x="99"/>
        <item m="1" x="811"/>
        <item m="1" x="2971"/>
        <item m="1" x="3016"/>
        <item m="1" x="1994"/>
        <item m="1" x="2794"/>
        <item m="1" x="926"/>
        <item m="1" x="650"/>
        <item m="1" x="953"/>
        <item m="1" x="167"/>
        <item m="1" x="1710"/>
        <item m="1" x="1829"/>
        <item m="1" x="1118"/>
        <item m="1" x="1452"/>
        <item m="1" x="2961"/>
        <item m="1" x="462"/>
        <item m="1" x="12"/>
        <item m="1" x="2440"/>
        <item m="1" x="2157"/>
        <item m="1" x="2800"/>
        <item m="1" x="2266"/>
        <item m="1" x="1989"/>
        <item m="1" x="2498"/>
        <item m="1" x="1535"/>
        <item m="1" x="2405"/>
        <item m="1" x="396"/>
        <item m="1" x="2664"/>
        <item m="1" x="94"/>
        <item m="1" x="2375"/>
        <item m="1" x="2665"/>
        <item m="1" x="2160"/>
        <item m="1" x="580"/>
        <item m="1" x="1269"/>
        <item m="1" x="1078"/>
        <item m="1" x="2224"/>
        <item m="1" x="428"/>
        <item m="1" x="751"/>
        <item m="1" x="1402"/>
        <item m="1" x="2776"/>
        <item m="1" x="1334"/>
        <item m="1" x="1308"/>
        <item m="1" x="2635"/>
        <item m="1" x="1936"/>
        <item m="1" x="706"/>
        <item m="1" x="661"/>
        <item m="1" x="2752"/>
        <item m="1" x="407"/>
        <item m="1" x="1023"/>
        <item m="1" x="1841"/>
        <item m="1" x="389"/>
        <item m="1" x="1044"/>
        <item m="1" x="2810"/>
        <item m="1" x="145"/>
        <item m="1" x="3007"/>
        <item m="1" x="1313"/>
        <item m="1" x="2578"/>
        <item m="1" x="993"/>
        <item m="1" x="1633"/>
        <item m="1" x="1967"/>
        <item m="1" x="3112"/>
        <item m="1" x="1923"/>
        <item m="1" x="2532"/>
        <item m="1" x="2355"/>
        <item m="1" x="1375"/>
        <item m="1" x="2109"/>
        <item m="1" x="577"/>
        <item m="1" x="312"/>
        <item m="1" x="1498"/>
        <item m="1" x="2769"/>
        <item m="1" x="2593"/>
        <item m="1" x="741"/>
        <item m="1" x="796"/>
        <item m="1" x="1171"/>
        <item m="1" x="1719"/>
        <item m="1" x="38"/>
        <item m="1" x="1522"/>
        <item m="1" x="2959"/>
        <item m="1" x="2111"/>
        <item m="1" x="745"/>
        <item m="1" x="1750"/>
        <item m="1" x="525"/>
        <item m="1" x="1648"/>
        <item m="1" x="126"/>
        <item m="1" x="93"/>
        <item m="1" x="1454"/>
        <item m="1" x="2505"/>
        <item m="1" x="2017"/>
        <item m="1" x="1510"/>
        <item m="1" x="1661"/>
        <item m="1" x="987"/>
        <item m="1" x="2295"/>
        <item m="1" x="858"/>
        <item m="1" x="2929"/>
        <item m="1" x="2322"/>
        <item m="1" x="2871"/>
        <item m="1" x="1472"/>
        <item m="1" x="2009"/>
        <item m="1" x="2815"/>
        <item m="1" x="866"/>
        <item m="1" x="1787"/>
        <item m="1" x="2576"/>
        <item m="1" x="3006"/>
        <item m="1" x="1319"/>
        <item m="1" x="2807"/>
        <item m="1" x="2140"/>
        <item m="1" x="920"/>
        <item m="1" x="2341"/>
        <item m="1" x="209"/>
        <item m="1" x="87"/>
        <item m="1" x="255"/>
        <item m="1" x="945"/>
        <item m="1" x="25"/>
        <item m="1" x="2520"/>
        <item m="1" x="2677"/>
        <item m="1" x="32"/>
        <item m="1" x="2667"/>
        <item m="1" x="1677"/>
        <item m="1" x="2937"/>
        <item m="1" x="1887"/>
        <item m="1" x="1036"/>
        <item m="1" x="1214"/>
        <item m="1" x="1223"/>
        <item m="1" x="1245"/>
        <item m="1" x="1531"/>
        <item m="1" x="3099"/>
        <item m="1" x="1768"/>
        <item m="1" x="764"/>
        <item m="1" x="819"/>
        <item m="1" x="425"/>
        <item m="1" x="3101"/>
        <item m="1" x="1857"/>
        <item m="1" x="2021"/>
        <item m="1" x="1614"/>
        <item m="1" x="1449"/>
        <item m="1" x="1583"/>
        <item m="1" x="411"/>
        <item m="1" x="2435"/>
        <item m="1" x="2042"/>
        <item m="1" x="2702"/>
        <item m="1" x="2349"/>
        <item m="1" x="2133"/>
        <item m="1" x="549"/>
        <item m="1" x="586"/>
        <item m="1" x="2380"/>
        <item m="1" x="490"/>
        <item m="1" x="718"/>
        <item m="1" x="2101"/>
        <item m="1" x="1244"/>
        <item m="1" x="1367"/>
        <item m="1" x="2833"/>
        <item m="1" x="297"/>
        <item m="1" x="393"/>
        <item m="1" x="214"/>
        <item m="1" x="1073"/>
        <item m="1" x="1553"/>
        <item m="1" x="1389"/>
        <item m="1" x="414"/>
        <item m="1" x="1893"/>
        <item m="1" x="722"/>
        <item m="1" x="2301"/>
        <item m="1" x="792"/>
        <item m="1" x="782"/>
        <item m="1" x="3060"/>
        <item m="1" x="2582"/>
        <item m="1" x="2883"/>
        <item m="1" x="1725"/>
        <item m="1" x="2275"/>
        <item m="1" x="1193"/>
        <item m="1" x="2685"/>
        <item m="1" x="1195"/>
        <item m="1" x="1611"/>
        <item m="1" x="1511"/>
        <item m="1" x="2134"/>
        <item m="1" x="1253"/>
        <item m="1" x="883"/>
        <item m="1" x="1496"/>
        <item m="1" x="3045"/>
        <item m="1" x="1789"/>
        <item m="1" x="1116"/>
        <item m="1" x="1487"/>
        <item m="1" x="1519"/>
        <item m="1" x="343"/>
        <item m="1" x="1093"/>
        <item m="1" x="1368"/>
        <item m="1" x="2935"/>
        <item m="1" x="2113"/>
        <item m="1" x="88"/>
        <item m="1" x="449"/>
        <item m="1" x="871"/>
        <item m="1" x="2659"/>
        <item m="1" x="619"/>
        <item m="1" x="1028"/>
        <item m="1" x="507"/>
        <item m="1" x="773"/>
        <item m="1" x="604"/>
        <item m="1" x="1584"/>
        <item m="1" x="2461"/>
        <item m="1" x="2910"/>
        <item m="1" x="2848"/>
        <item m="1" x="1417"/>
        <item m="1" x="1266"/>
        <item m="1" x="3108"/>
        <item m="1" x="1005"/>
        <item m="1" x="2452"/>
        <item m="1" x="2172"/>
        <item m="1" x="929"/>
        <item m="1" x="1473"/>
        <item m="1" x="1852"/>
        <item m="1" x="1065"/>
        <item m="1" x="1397"/>
        <item m="1" x="1429"/>
        <item m="1" x="2956"/>
        <item m="1" x="2994"/>
        <item m="1" x="2311"/>
        <item m="1" x="911"/>
        <item m="1" x="337"/>
        <item m="1" x="477"/>
        <item m="1" x="844"/>
        <item m="1" x="2608"/>
        <item m="1" x="2912"/>
        <item m="1" x="2231"/>
        <item m="1" x="2164"/>
        <item m="1" x="2204"/>
        <item m="1" x="2025"/>
        <item m="1" x="951"/>
        <item m="1" x="1381"/>
        <item m="1" x="1688"/>
        <item m="1" x="1390"/>
        <item m="1" x="2333"/>
        <item m="1" x="2354"/>
        <item m="1" x="520"/>
        <item m="1" x="306"/>
        <item m="1" x="2551"/>
        <item m="1" x="1595"/>
        <item m="1" x="2459"/>
        <item m="1" x="2194"/>
        <item m="1" x="2493"/>
        <item m="1" x="557"/>
        <item m="1" x="57"/>
        <item m="1" x="738"/>
        <item m="1" x="1826"/>
        <item m="1" x="2938"/>
        <item m="1" x="1237"/>
        <item m="1" x="2183"/>
        <item m="1" x="752"/>
        <item m="1" x="754"/>
        <item m="1" x="763"/>
        <item m="1" x="850"/>
        <item m="1" x="2002"/>
        <item m="1" x="1909"/>
        <item m="1" x="1644"/>
        <item m="1" x="279"/>
        <item m="1" x="362"/>
        <item m="1" x="1377"/>
        <item m="1" x="2821"/>
        <item m="1" x="21"/>
        <item m="1" x="2472"/>
        <item m="1" x="390"/>
        <item m="1" x="2018"/>
        <item m="1" x="1545"/>
        <item m="1" x="855"/>
        <item m="1" x="2312"/>
        <item m="1" x="2318"/>
        <item m="1" x="600"/>
        <item m="1" x="731"/>
        <item m="1" x="1934"/>
        <item m="1" x="1749"/>
        <item m="1" x="1145"/>
        <item m="1" x="2340"/>
        <item m="1" x="1399"/>
        <item m="1" x="2858"/>
        <item m="1" x="1804"/>
        <item m="1" x="623"/>
        <item m="1" x="187"/>
        <item m="1" x="1412"/>
        <item m="1" x="1855"/>
        <item m="1" x="61"/>
        <item m="1" x="1419"/>
        <item m="1" x="1060"/>
        <item m="1" x="73"/>
        <item m="1" x="1360"/>
        <item m="1" x="305"/>
        <item m="1" x="405"/>
        <item m="1" x="874"/>
        <item m="1" x="847"/>
        <item m="1" x="1355"/>
        <item m="1" x="1998"/>
        <item m="1" x="2001"/>
        <item m="1" x="2006"/>
        <item m="1" x="1211"/>
        <item m="1" x="1850"/>
        <item m="1" x="915"/>
        <item m="1" x="1461"/>
        <item m="1" x="2477"/>
        <item m="1" x="269"/>
        <item m="1" x="781"/>
        <item m="1" x="783"/>
        <item m="1" x="448"/>
        <item m="1" x="1932"/>
        <item m="1" x="1792"/>
        <item m="1" x="2165"/>
        <item m="1" x="963"/>
        <item m="1" x="1991"/>
        <item m="1" x="381"/>
        <item m="1" x="247"/>
        <item m="1" x="1508"/>
        <item m="1" x="1196"/>
        <item m="1" x="842"/>
        <item m="1" x="2874"/>
        <item m="1" x="1659"/>
        <item m="1" x="1491"/>
        <item m="1" x="319"/>
        <item m="1" x="1976"/>
        <item m="1" x="876"/>
        <item m="1" x="51"/>
        <item m="1" x="75"/>
        <item m="1" x="2054"/>
        <item m="1" x="715"/>
        <item m="1" x="565"/>
        <item m="1" x="71"/>
        <item m="1" x="1800"/>
        <item m="1" x="675"/>
        <item m="1" x="2495"/>
        <item m="1" x="1797"/>
        <item m="1" x="2416"/>
        <item m="1" x="2417"/>
        <item m="1" x="154"/>
        <item m="1" x="2373"/>
        <item m="1" x="2939"/>
        <item m="1" x="2566"/>
        <item m="1" x="1773"/>
        <item m="1" x="2298"/>
        <item m="1" x="2864"/>
        <item m="1" x="2721"/>
        <item m="1" x="1581"/>
        <item m="1" x="509"/>
        <item m="1" x="1488"/>
        <item m="1" x="949"/>
        <item m="1" x="579"/>
        <item m="1" x="70"/>
        <item m="1" x="3021"/>
        <item m="1" x="916"/>
        <item m="1" x="1579"/>
        <item m="1" x="1862"/>
        <item m="1" x="1870"/>
        <item m="1" x="2005"/>
        <item m="1" x="843"/>
        <item m="1" x="656"/>
        <item m="1" x="1275"/>
        <item m="1" x="740"/>
        <item m="1" x="143"/>
        <item m="1" x="13"/>
        <item m="1" x="1811"/>
        <item m="1" x="66"/>
        <item m="1" x="1650"/>
        <item m="1" x="1079"/>
        <item m="1" x="1300"/>
        <item m="1" x="2584"/>
        <item m="1" x="1794"/>
        <item m="1" x="753"/>
        <item m="1" x="1775"/>
        <item m="1" x="283"/>
        <item m="1" x="1895"/>
        <item m="1" x="155"/>
        <item m="1" x="702"/>
        <item m="1" x="1369"/>
        <item m="1" x="2428"/>
        <item m="1" x="456"/>
        <item m="1" x="1596"/>
        <item m="1" x="1414"/>
        <item m="1" x="2707"/>
        <item m="1" x="1364"/>
        <item m="1" x="223"/>
        <item m="1" x="369"/>
        <item m="1" x="887"/>
        <item m="1" x="1554"/>
        <item m="1" x="2612"/>
        <item m="1" x="645"/>
        <item m="1" x="2272"/>
        <item m="1" x="2834"/>
        <item m="1" x="1408"/>
        <item m="1" x="2565"/>
        <item m="1" x="3107"/>
        <item m="1" x="1024"/>
        <item m="1" x="2919"/>
        <item m="1" x="725"/>
        <item m="1" x="1242"/>
        <item m="1" x="1141"/>
        <item m="1" x="872"/>
        <item m="1" x="423"/>
        <item m="1" x="2590"/>
        <item m="1" x="1763"/>
        <item m="1" x="3077"/>
        <item m="1" x="1715"/>
        <item m="1" x="1730"/>
        <item m="1" x="2967"/>
        <item m="1" x="215"/>
        <item m="1" x="1092"/>
        <item m="1" x="869"/>
        <item m="1" x="474"/>
        <item m="1" x="3104"/>
        <item m="1" x="398"/>
        <item m="1" x="1238"/>
        <item m="1" x="49"/>
        <item m="1" x="2112"/>
        <item m="1" x="633"/>
        <item m="1" x="379"/>
        <item m="1" x="2958"/>
        <item m="1" x="1206"/>
        <item m="1" x="1413"/>
        <item m="1" x="1982"/>
        <item m="1" x="399"/>
        <item m="1" x="1757"/>
        <item m="1" x="1777"/>
        <item m="1" x="2847"/>
        <item m="1" x="2560"/>
        <item m="1" x="2335"/>
        <item m="1" x="342"/>
        <item m="1" x="478"/>
        <item m="1" x="1951"/>
        <item m="1" x="397"/>
        <item m="1" x="2840"/>
        <item m="1" x="1166"/>
        <item m="1" x="2986"/>
        <item m="1" x="1070"/>
        <item m="1" x="2429"/>
        <item m="1" x="1000"/>
        <item m="1" x="1685"/>
        <item m="1" x="3036"/>
        <item m="1" x="2152"/>
        <item m="1" x="482"/>
        <item m="1" x="1314"/>
        <item m="1" x="114"/>
        <item m="1" x="3122"/>
        <item m="1" x="2115"/>
        <item m="1" x="2890"/>
        <item m="1" x="618"/>
        <item m="1" x="2246"/>
        <item m="1" x="1089"/>
        <item m="1" x="2100"/>
        <item m="1" x="1276"/>
        <item m="1" x="1678"/>
        <item m="1" x="237"/>
        <item m="1" x="1250"/>
        <item m="1" x="771"/>
        <item m="1" x="1805"/>
        <item m="1" x="1899"/>
        <item m="1" x="2920"/>
        <item m="1" x="2305"/>
        <item m="1" x="60"/>
        <item m="1" x="2905"/>
        <item m="1" x="1900"/>
        <item m="1" x="1880"/>
        <item m="1" x="1187"/>
        <item m="1" x="616"/>
        <item m="1" x="2850"/>
        <item m="1" x="2960"/>
        <item m="1" x="632"/>
        <item m="1" x="2949"/>
        <item m="1" x="2431"/>
        <item m="1" x="310"/>
        <item m="1" x="198"/>
        <item m="1" x="2374"/>
        <item m="1" x="3063"/>
        <item m="1" x="1995"/>
        <item m="1" x="2254"/>
        <item m="1" x="178"/>
        <item m="1" x="1858"/>
        <item m="1" x="420"/>
        <item m="1" x="384"/>
        <item m="1" x="1231"/>
        <item m="1" x="977"/>
        <item m="1" x="2545"/>
        <item m="1" x="2838"/>
        <item m="1" x="766"/>
        <item m="1" x="515"/>
        <item m="1" x="681"/>
        <item m="1" x="3002"/>
        <item m="1" x="892"/>
        <item m="1" x="1877"/>
        <item m="1" x="990"/>
        <item m="1" x="599"/>
        <item m="1" x="935"/>
        <item m="1" x="2570"/>
        <item m="1" x="454"/>
        <item m="1" x="674"/>
        <item m="1" x="630"/>
        <item m="1" x="1469"/>
        <item m="1" x="1929"/>
        <item m="1" x="643"/>
        <item m="1" x="1243"/>
        <item m="1" x="2669"/>
        <item m="1" x="131"/>
        <item m="1" x="1356"/>
        <item m="1" x="2325"/>
        <item m="1" x="2347"/>
        <item m="1" x="2715"/>
        <item m="1" x="1272"/>
        <item m="1" x="3050"/>
        <item m="1" x="2050"/>
        <item m="1" x="2728"/>
        <item m="1" x="774"/>
        <item m="1" x="52"/>
        <item m="1" x="2680"/>
        <item m="1" x="2674"/>
        <item m="1" x="563"/>
        <item m="1" x="486"/>
        <item m="1" x="2563"/>
        <item m="1" x="912"/>
        <item m="1" x="2841"/>
        <item m="1" x="1947"/>
        <item m="1" x="1064"/>
        <item m="1" x="2982"/>
        <item m="1" x="1586"/>
        <item m="1" x="686"/>
        <item m="1" x="1344"/>
        <item m="1" x="2684"/>
        <item m="1" x="2583"/>
        <item m="1" x="41"/>
        <item m="1" x="2155"/>
        <item m="1" x="2044"/>
        <item m="1" x="2394"/>
        <item m="1" x="1104"/>
        <item m="1" x="1943"/>
        <item m="1" x="1509"/>
        <item m="1" x="2182"/>
        <item m="1" x="2988"/>
        <item m="1" x="1365"/>
        <item m="1" x="2483"/>
        <item m="1" x="1729"/>
        <item m="1" x="2594"/>
        <item m="1" x="841"/>
        <item m="1" x="1828"/>
        <item m="1" x="1642"/>
        <item m="1" x="2139"/>
        <item m="1" x="2387"/>
        <item m="1" x="2741"/>
        <item m="1" x="2860"/>
        <item m="1" x="2329"/>
        <item m="1" x="2247"/>
        <item m="1" x="444"/>
        <item m="1" x="2327"/>
        <item m="1" x="1970"/>
        <item m="1" x="162"/>
        <item m="1" x="2222"/>
        <item m="1" x="785"/>
        <item m="1" x="1467"/>
        <item m="1" x="1284"/>
        <item m="1" x="1323"/>
        <item m="1" x="2484"/>
        <item m="1" x="365"/>
        <item m="1" x="1671"/>
        <item m="1" x="679"/>
        <item m="1" x="2487"/>
        <item m="1" x="531"/>
        <item m="1" x="780"/>
        <item m="1" x="2742"/>
        <item m="1" x="2397"/>
        <item m="1" x="2746"/>
        <item m="1" x="2765"/>
        <item m="1" x="121"/>
        <item m="1" x="2793"/>
        <item m="1" x="2226"/>
        <item m="1" x="3064"/>
        <item m="1" x="2602"/>
        <item m="1" x="1894"/>
        <item m="1" x="1985"/>
        <item m="1" x="669"/>
        <item m="1" x="1229"/>
        <item m="1" x="1106"/>
        <item m="1" x="1916"/>
        <item m="1" x="1657"/>
        <item m="1" x="1109"/>
        <item m="1" x="1181"/>
        <item m="1" x="571"/>
        <item m="1" x="2844"/>
        <item m="1" x="1764"/>
        <item m="1" x="82"/>
        <item m="1" x="2162"/>
        <item m="1" x="166"/>
        <item m="1" x="124"/>
        <item m="1" x="1708"/>
        <item m="1" x="1484"/>
        <item m="1" x="1753"/>
        <item m="1" x="2432"/>
        <item m="1" x="941"/>
        <item m="1" x="2094"/>
        <item m="1" x="1126"/>
        <item m="1" x="2644"/>
        <item m="1" x="1294"/>
        <item m="1" x="2064"/>
        <item m="1" x="44"/>
        <item m="1" x="3110"/>
        <item m="1" x="517"/>
        <item m="1" x="1188"/>
        <item m="1" x="1435"/>
        <item m="1" x="1598"/>
        <item m="1" x="2077"/>
        <item m="1" x="1438"/>
        <item m="1" x="1144"/>
        <item m="1" x="627"/>
        <item m="1" x="1318"/>
        <item m="1" x="1011"/>
        <item m="1" x="1163"/>
        <item m="1" x="759"/>
        <item m="1" x="1169"/>
        <item m="1" x="1736"/>
        <item m="1" x="1624"/>
        <item m="1" x="1741"/>
        <item m="1" x="1694"/>
        <item m="1" x="1821"/>
        <item m="1" x="1135"/>
        <item m="1" x="1265"/>
        <item m="1" x="1071"/>
        <item m="1" x="1209"/>
        <item m="1" x="1635"/>
        <item m="1" x="908"/>
        <item m="1" x="291"/>
        <item m="1" x="2066"/>
        <item m="1" x="1977"/>
        <item m="1" x="3037"/>
        <item m="1" x="2200"/>
        <item m="1" x="1218"/>
        <item m="1" x="404"/>
        <item m="1" x="262"/>
        <item m="1" x="2297"/>
        <item m="1" x="585"/>
        <item m="1" x="1061"/>
        <item m="1" x="697"/>
        <item m="1" x="2791"/>
        <item m="1" x="2436"/>
        <item m="1" x="1240"/>
        <item m="1" x="1213"/>
        <item m="1" x="2433"/>
        <item m="1" x="346"/>
        <item m="1" x="1376"/>
        <item m="1" x="3105"/>
        <item m="1" x="1971"/>
        <item m="1" x="2766"/>
        <item m="1" x="110"/>
        <item m="1" x="1830"/>
        <item m="1" x="457"/>
        <item m="1" x="156"/>
        <item m="1" x="246"/>
        <item m="1" x="806"/>
        <item m="1" x="591"/>
        <item m="1" x="743"/>
        <item m="1" x="1090"/>
        <item m="1" x="360"/>
        <item m="1" x="2995"/>
        <item m="1" x="1282"/>
        <item m="1" x="1501"/>
        <item m="1" x="2382"/>
        <item m="1" x="2240"/>
        <item m="1" x="63"/>
        <item m="1" x="2763"/>
        <item m="1" x="2293"/>
        <item m="1" x="3129"/>
        <item m="1" x="2460"/>
        <item m="1" x="2511"/>
        <item m="1" x="1040"/>
        <item m="1" x="1161"/>
        <item m="1" x="1075"/>
        <item m="1" x="1342"/>
        <item m="1" x="1459"/>
        <item m="1" x="493"/>
        <item m="1" x="277"/>
        <item m="1" x="1592"/>
        <item m="1" x="1863"/>
        <item m="1" x="772"/>
        <item m="1" x="1754"/>
        <item m="1" x="1791"/>
        <item m="1" x="2302"/>
        <item m="1" x="2221"/>
        <item m="1" x="1888"/>
        <item m="1" x="2360"/>
        <item m="1" x="2388"/>
        <item m="1" x="1627"/>
        <item m="1" x="804"/>
        <item m="1" x="1938"/>
        <item m="1" x="918"/>
        <item m="1" x="767"/>
        <item m="1" x="1094"/>
        <item m="1" x="2528"/>
        <item m="1" x="2434"/>
        <item m="1" x="2681"/>
        <item m="1" x="950"/>
        <item m="1" x="1340"/>
        <item m="1" x="144"/>
        <item m="1" x="2529"/>
        <item m="1" x="119"/>
        <item m="1" x="1950"/>
        <item m="1" x="1468"/>
        <item m="1" x="1590"/>
        <item m="1" x="23"/>
        <item m="1" x="672"/>
        <item m="1" x="1123"/>
        <item m="1" x="682"/>
        <item m="1" x="800"/>
        <item m="1" x="1305"/>
        <item m="1" x="1734"/>
        <item m="1" x="1911"/>
        <item m="1" x="1637"/>
        <item m="1" x="2618"/>
        <item m="1" x="383"/>
        <item m="1" x="597"/>
        <item m="1" x="1203"/>
        <item m="1" x="2672"/>
        <item m="1" x="570"/>
        <item m="1" x="356"/>
        <item m="1" x="526"/>
        <item m="1" x="2655"/>
        <item m="1" x="1873"/>
        <item m="1" x="2393"/>
        <item m="1" x="1591"/>
        <item m="1" x="2065"/>
        <item m="1" x="1781"/>
        <item m="1" x="62"/>
        <item m="1" x="133"/>
        <item m="1" x="92"/>
        <item m="1" x="668"/>
        <item m="1" x="1059"/>
        <item m="1" x="1133"/>
        <item m="1" x="921"/>
        <item m="1" x="1172"/>
        <item m="1" x="2027"/>
        <item m="1" x="1212"/>
        <item m="1" x="2414"/>
        <item m="1" x="2439"/>
        <item m="1" x="2724"/>
        <item m="1" x="503"/>
        <item m="1" x="742"/>
        <item m="1" x="533"/>
        <item m="1" x="435"/>
        <item m="1" x="2527"/>
        <item m="1" x="189"/>
        <item m="1" x="1703"/>
        <item m="1" x="919"/>
        <item m="1" x="644"/>
        <item m="1" x="2078"/>
        <item m="1" x="224"/>
        <item m="1" x="2331"/>
        <item m="1" x="475"/>
        <item m="1" x="2126"/>
        <item m="1" x="3113"/>
        <item m="1" x="2120"/>
        <item m="1" x="2881"/>
        <item m="1" x="472"/>
        <item m="1" x="2141"/>
        <item m="1" x="622"/>
        <item m="1" x="2893"/>
        <item m="1" x="1507"/>
        <item m="1" x="1702"/>
        <item m="1" x="2621"/>
        <item m="1" x="2508"/>
        <item m="1" x="2540"/>
        <item m="1" x="1654"/>
        <item m="1" x="455"/>
        <item m="1" x="2286"/>
        <item m="1" x="3022"/>
        <item m="1" x="2188"/>
        <item m="1" x="2798"/>
        <item m="1" x="1441"/>
        <item m="1" x="1004"/>
        <item m="1" x="1860"/>
        <item m="1" x="231"/>
        <item m="1" x="996"/>
        <item m="1" x="1972"/>
        <item m="1" x="1856"/>
        <item m="1" x="1540"/>
        <item m="1" x="2877"/>
        <item m="1" x="2630"/>
        <item m="1" x="249"/>
        <item m="1" x="2456"/>
        <item m="1" x="1321"/>
        <item m="1" x="1940"/>
        <item m="1" x="1148"/>
        <item m="1" x="1228"/>
        <item m="1" x="148"/>
        <item m="1" x="1984"/>
        <item m="1" x="837"/>
        <item m="1" x="1039"/>
        <item m="1" x="2457"/>
        <item m="1" x="2284"/>
        <item m="1" x="775"/>
        <item m="1" x="505"/>
        <item m="1" x="539"/>
        <item m="1" x="2510"/>
        <item m="1" x="2662"/>
        <item m="1" x="2389"/>
        <item m="1" x="2889"/>
        <item m="1" x="3001"/>
        <item m="1" x="2114"/>
        <item m="1" x="1380"/>
        <item m="1" x="2918"/>
        <item m="1" x="2710"/>
        <item m="1" x="2589"/>
        <item m="1" x="1782"/>
        <item m="1" x="1908"/>
        <item m="1" x="1286"/>
        <item m="1" x="74"/>
        <item m="1" x="2541"/>
        <item m="1" x="1332"/>
        <item m="1" x="3117"/>
        <item m="1" x="1655"/>
        <item m="1" x="2095"/>
        <item m="1" x="707"/>
        <item m="1" x="1864"/>
        <item m="1" x="2740"/>
        <item m="1" x="2350"/>
        <item m="1" x="641"/>
        <item m="1" x="2348"/>
        <item m="1" x="2356"/>
        <item m="1" x="750"/>
        <item m="1" x="723"/>
        <item m="1" x="1966"/>
        <item m="1" x="14"/>
        <item m="1" x="355"/>
        <item m="1" x="629"/>
        <item m="1" x="1834"/>
        <item m="1" x="1279"/>
        <item m="1" x="2738"/>
        <item m="1" x="1602"/>
        <item m="1" x="2625"/>
        <item m="1" x="1875"/>
        <item m="1" x="1462"/>
        <item m="1" x="2992"/>
        <item m="1" x="2145"/>
        <item m="1" x="2299"/>
        <item m="1" x="1128"/>
        <item m="1" x="2377"/>
        <item m="1" x="1683"/>
        <item m="1" x="2474"/>
        <item m="1" x="1790"/>
        <item m="1" x="1739"/>
        <item m="1" x="217"/>
        <item m="1" x="1327"/>
        <item m="1" x="376"/>
        <item m="1" x="458"/>
        <item m="1" x="1168"/>
        <item m="1" x="2383"/>
        <item m="1" x="2809"/>
        <item m="1" x="2811"/>
        <item m="1" x="2781"/>
        <item m="1" x="2690"/>
        <item m="1" x="1525"/>
        <item m="1" x="1178"/>
        <item m="1" x="944"/>
        <item m="1" x="1315"/>
        <item m="1" x="1653"/>
        <item m="1" x="2470"/>
        <item m="1" x="194"/>
        <item m="1" x="1281"/>
        <item m="1" x="2875"/>
        <item m="1" x="2471"/>
        <item m="1" x="1726"/>
        <item m="1" x="351"/>
        <item m="1" x="2925"/>
        <item m="1" x="975"/>
        <item m="1" x="2214"/>
        <item m="1" x="1445"/>
        <item m="1" x="2896"/>
        <item m="1" x="3120"/>
        <item m="1" x="1137"/>
        <item m="1" x="828"/>
        <item m="1" x="336"/>
        <item m="1" x="1594"/>
        <item m="1" x="1185"/>
        <item m="1" x="2404"/>
        <item m="1" x="2820"/>
        <item m="1" x="1799"/>
        <item m="1" x="464"/>
        <item m="1" x="540"/>
        <item m="1" x="1083"/>
        <item m="1" x="1901"/>
        <item m="1" x="2216"/>
        <item m="1" x="1818"/>
        <item m="1" x="2567"/>
        <item m="1" x="3102"/>
        <item m="1" x="2309"/>
        <item m="1" x="2093"/>
        <item m="1" x="1002"/>
        <item m="1" x="903"/>
        <item m="1" x="997"/>
        <item m="1" x="2269"/>
        <item m="1" x="690"/>
        <item m="1" x="1867"/>
        <item m="1" x="1248"/>
        <item m="1" x="2235"/>
        <item m="1" x="219"/>
        <item m="1" x="3039"/>
        <item m="1" x="2177"/>
        <item m="1" x="128"/>
        <item m="1" x="1622"/>
        <item m="1" x="1556"/>
        <item m="1" x="1371"/>
        <item m="1" x="2808"/>
        <item m="1" x="2718"/>
        <item m="1" x="451"/>
        <item m="1" x="2700"/>
        <item m="1" x="2334"/>
        <item m="1" x="153"/>
        <item m="1" x="2735"/>
        <item m="1" x="2096"/>
        <item m="1" x="1095"/>
        <item m="1" x="2211"/>
        <item m="1" x="1656"/>
        <item m="1" x="999"/>
        <item m="1" x="1302"/>
        <item m="1" x="463"/>
        <item m="1" x="1942"/>
        <item m="1" x="2208"/>
        <item m="1" x="2143"/>
        <item m="1" x="361"/>
        <item m="1" x="450"/>
        <item m="1" x="1020"/>
        <item m="1" x="2108"/>
        <item m="1" x="97"/>
        <item m="1" x="2814"/>
        <item m="1" x="574"/>
        <item m="1" x="2476"/>
        <item m="1" x="3054"/>
        <item m="1" x="1326"/>
        <item m="1" x="1482"/>
        <item m="1" x="385"/>
        <item m="1" x="2287"/>
        <item m="1" x="3081"/>
        <item m="1" x="1701"/>
        <item m="1" x="2745"/>
        <item m="1" x="2315"/>
        <item m="1" x="1038"/>
        <item m="1" x="902"/>
        <item m="1" x="542"/>
        <item m="1" x="1310"/>
        <item m="1" x="642"/>
        <item m="1" x="427"/>
        <item m="1" x="2121"/>
        <item m="1" x="1748"/>
        <item m="1" x="2176"/>
        <item m="1" x="991"/>
        <item m="1" x="1127"/>
        <item m="1" x="2359"/>
        <item m="1" x="36"/>
        <item m="1" x="2637"/>
        <item m="1" x="1844"/>
        <item m="1" x="415"/>
        <item m="1" x="1609"/>
        <item m="1" x="3067"/>
        <item m="1" x="3072"/>
        <item m="1" x="2402"/>
        <item m="1" x="290"/>
        <item m="1" x="2339"/>
        <item m="1" x="1220"/>
        <item m="1" x="1744"/>
        <item m="1" x="1329"/>
        <item m="1" x="2574"/>
        <item m="1" x="700"/>
        <item m="1" x="2687"/>
        <item m="1" x="2558"/>
        <item m="1" x="846"/>
        <item m="1" x="658"/>
        <item m="1" x="3018"/>
        <item m="1" x="2084"/>
        <item m="1" x="2205"/>
        <item m="1" x="2867"/>
        <item m="1" x="2954"/>
        <item m="1" x="3093"/>
        <item m="1" x="1174"/>
        <item m="1" x="1845"/>
        <item m="1" x="2102"/>
        <item m="1" x="2744"/>
        <item m="1" x="1780"/>
        <item m="1" x="1892"/>
        <item m="1" x="829"/>
        <item m="1" x="564"/>
        <item m="1" x="1883"/>
        <item m="1" x="371"/>
        <item m="1" x="1503"/>
        <item m="1" x="1113"/>
        <item m="1" x="513"/>
        <item m="1" x="2712"/>
        <item m="1" x="129"/>
        <item m="1" x="2424"/>
        <item m="1" x="1589"/>
        <item m="1" x="720"/>
        <item m="1" x="453"/>
        <item x="3"/>
        <item m="1" x="2926"/>
        <item m="1" x="2196"/>
        <item m="1" x="2057"/>
        <item m="1" x="236"/>
        <item m="1" x="2600"/>
        <item m="1" x="1048"/>
        <item m="1" x="1394"/>
        <item m="1" x="2981"/>
        <item m="1" x="138"/>
        <item m="1" x="1068"/>
        <item m="1" x="2734"/>
        <item m="1" x="2150"/>
        <item m="1" x="2895"/>
        <item m="1" x="807"/>
        <item m="1" x="1159"/>
        <item m="1" x="2609"/>
        <item m="1" x="1876"/>
        <item m="1" x="3062"/>
        <item m="1" x="1416"/>
        <item m="1" x="1121"/>
        <item m="1" x="1210"/>
        <item m="1" x="79"/>
        <item m="1" x="1664"/>
        <item m="1" x="1731"/>
        <item m="1" x="1015"/>
        <item m="1" x="204"/>
        <item m="1" x="374"/>
        <item m="1" x="822"/>
        <item m="1" x="893"/>
        <item m="1" x="2882"/>
        <item m="1" x="2884"/>
        <item m="1" x="3025"/>
        <item m="1" x="567"/>
        <item m="1" x="284"/>
        <item m="1" x="2378"/>
        <item m="1" x="2901"/>
        <item m="1" x="1361"/>
        <item m="1" x="1280"/>
        <item m="1" x="2258"/>
        <item m="1" x="1691"/>
        <item m="1" x="1889"/>
        <item m="1" x="2215"/>
        <item m="1" x="512"/>
        <item m="1" x="803"/>
        <item m="1" x="2957"/>
        <item m="1" x="459"/>
        <item m="1" x="91"/>
        <item m="1" x="2427"/>
        <item m="1" x="1050"/>
        <item m="1" x="391"/>
        <item m="1" x="1617"/>
        <item m="1" x="2829"/>
        <item m="1" x="646"/>
        <item m="1" x="324"/>
        <item m="1" x="120"/>
        <item m="1" x="602"/>
        <item m="1" x="1612"/>
        <item m="1" x="701"/>
        <item m="1" x="1740"/>
        <item m="1" x="2303"/>
        <item m="1" x="2003"/>
        <item m="1" x="2604"/>
        <item m="1" x="1502"/>
        <item m="1" x="1766"/>
        <item m="1" x="1802"/>
        <item m="1" x="2022"/>
        <item m="1" x="2161"/>
        <item m="1" x="125"/>
        <item m="1" x="299"/>
        <item m="1" x="906"/>
        <item m="1" x="3083"/>
        <item m="1" x="1432"/>
        <item m="1" x="795"/>
        <item m="1" x="1837"/>
        <item m="1" x="203"/>
        <item m="1" x="2805"/>
        <item m="1" x="2250"/>
        <item m="1" x="344"/>
        <item m="1" x="1964"/>
        <item m="1" x="1077"/>
        <item m="1" x="2198"/>
        <item m="1" x="1312"/>
        <item m="1" x="2242"/>
        <item m="1" x="1621"/>
        <item m="1" x="2571"/>
        <item m="1" x="673"/>
        <item m="1" x="2345"/>
        <item m="1" x="2278"/>
        <item m="1" x="1997"/>
        <item m="1" x="1298"/>
        <item m="1" x="170"/>
        <item m="1" x="1353"/>
        <item m="1" x="1778"/>
        <item m="1" x="2579"/>
        <item m="1" x="2536"/>
        <item m="1" x="294"/>
        <item m="1" x="2627"/>
        <item m="1" x="422"/>
        <item m="1" x="2289"/>
        <item m="1" x="42"/>
        <item m="1" x="2399"/>
        <item m="1" x="172"/>
        <item m="1" x="1221"/>
        <item m="1" x="489"/>
        <item m="1" x="1865"/>
        <item m="1" x="1215"/>
        <item m="1" x="810"/>
        <item m="1" x="2887"/>
        <item m="1" x="1232"/>
        <item m="1" x="1665"/>
        <item m="1" x="522"/>
        <item m="1" x="333"/>
        <item m="1" x="1437"/>
        <item m="1" x="598"/>
        <item m="1" x="976"/>
        <item m="1" x="1418"/>
        <item m="1" x="1563"/>
        <item m="1" x="1884"/>
        <item m="1" x="2859"/>
        <item m="1" x="252"/>
        <item m="1" x="1902"/>
        <item m="1" x="2105"/>
        <item m="1" x="47"/>
        <item m="1" x="1559"/>
        <item m="1" x="380"/>
        <item m="1" x="894"/>
        <item m="1" x="1552"/>
        <item m="1" x="2090"/>
        <item m="1" x="24"/>
        <item m="1" x="2085"/>
        <item m="1" x="1957"/>
        <item m="1" x="859"/>
        <item m="1" x="1917"/>
        <item m="1" x="1529"/>
        <item m="1" x="799"/>
        <item m="1" x="2916"/>
        <item m="1" x="1183"/>
        <item m="1" x="1033"/>
        <item m="1" x="139"/>
        <item m="1" x="1706"/>
        <item m="1" x="900"/>
        <item m="1" x="886"/>
        <item m="1" x="2070"/>
        <item m="1" x="292"/>
        <item m="1" x="1132"/>
        <item m="1" x="1143"/>
        <item m="1" x="1153"/>
        <item m="1" x="1165"/>
        <item m="1" x="1173"/>
        <item m="1" x="2448"/>
        <item m="1" x="2420"/>
        <item m="1" x="1610"/>
        <item m="1" x="1490"/>
        <item m="1" x="1724"/>
        <item m="1" x="2816"/>
        <item m="1" x="1527"/>
        <item m="1" x="1035"/>
        <item m="1" x="2557"/>
        <item m="1" x="880"/>
        <item m="1" x="2218"/>
        <item m="1" x="2052"/>
        <item m="1" x="289"/>
        <item m="1" x="765"/>
        <item m="1" x="2185"/>
        <item m="1" x="2945"/>
        <item m="1" x="1712"/>
        <item m="1" x="326"/>
        <item m="1" x="1194"/>
        <item m="1" x="712"/>
        <item m="1" x="1359"/>
        <item m="1" x="1396"/>
        <item m="1" x="1582"/>
        <item m="1" x="815"/>
        <item m="1" x="595"/>
        <item m="1" x="1848"/>
        <item m="1" x="1378"/>
        <item m="1" x="1120"/>
        <item m="1" x="862"/>
        <item m="1" x="730"/>
        <item m="1" x="2522"/>
        <item m="1" x="2980"/>
        <item m="1" x="594"/>
        <item m="1" x="3055"/>
        <item m="1" x="3015"/>
        <item m="1" x="1158"/>
        <item m="1" x="590"/>
        <item m="1" x="1931"/>
        <item m="1" x="2865"/>
        <item m="1" x="1601"/>
        <item m="1" x="885"/>
        <item m="1" x="1032"/>
        <item m="1" x="1707"/>
        <item m="1" x="2914"/>
        <item m="1" x="937"/>
        <item m="1" x="699"/>
        <item m="1" x="1714"/>
        <item m="1" x="861"/>
        <item m="1" x="1696"/>
        <item m="1" x="2701"/>
        <item m="1" x="268"/>
        <item m="1" x="1987"/>
        <item m="1" x="1926"/>
        <item m="1" x="1085"/>
        <item m="1" x="562"/>
        <item m="1" x="2180"/>
        <item m="1" x="877"/>
        <item m="1" x="1149"/>
        <item m="1" x="2103"/>
        <item m="1" x="2053"/>
        <item m="1" x="2446"/>
        <item m="1" x="1686"/>
        <item m="1" x="1309"/>
        <item m="1" x="1330"/>
        <item m="1" x="382"/>
        <item m="1" x="363"/>
        <item m="1" x="2074"/>
        <item m="1" x="1689"/>
        <item m="1" x="2683"/>
        <item m="1" x="1350"/>
        <item m="1" x="1351"/>
        <item m="1" x="2771"/>
        <item m="1" x="1866"/>
        <item m="1" x="1629"/>
        <item m="1" x="2396"/>
        <item m="1" x="40"/>
        <item m="1" x="1410"/>
        <item m="1" x="2187"/>
        <item m="1" x="1978"/>
        <item m="1" x="1301"/>
        <item m="1" x="2951"/>
        <item m="1" x="2789"/>
        <item m="1" x="2202"/>
        <item m="1" x="3053"/>
        <item m="1" x="282"/>
        <item m="1" x="256"/>
        <item m="1" x="2067"/>
        <item m="1" x="499"/>
        <item m="1" x="2692"/>
        <item m="1" x="441"/>
        <item m="1" x="634"/>
        <item m="1" x="1088"/>
        <item m="1" x="1042"/>
        <item m="1" x="2761"/>
        <item m="1" x="2146"/>
        <item m="1" x="1084"/>
        <item m="1" x="16"/>
        <item m="1" x="3094"/>
        <item m="1" x="2423"/>
        <item m="1" x="1494"/>
        <item m="1" x="2917"/>
        <item m="1" x="1147"/>
        <item m="1" x="2629"/>
        <item m="1" x="2174"/>
        <item m="1" x="2234"/>
        <item m="1" x="3058"/>
        <item m="1" x="1969"/>
        <item m="1" x="2430"/>
        <item m="1" x="840"/>
        <item m="1" x="853"/>
        <item m="1" x="536"/>
        <item m="1" x="2786"/>
        <item m="1" x="2384"/>
        <item m="1" x="314"/>
        <item m="1" x="1270"/>
        <item m="1" x="483"/>
        <item m="1" x="2661"/>
        <item m="1" x="1939"/>
        <item m="1" x="974"/>
        <item m="1" x="2463"/>
        <item m="1" x="2806"/>
        <item m="1" x="2229"/>
        <item m="1" x="710"/>
        <item m="1" x="111"/>
        <item m="1" x="2824"/>
        <item m="1" x="1317"/>
        <item m="1" x="2542"/>
        <item m="1" x="1806"/>
        <item m="1" x="1384"/>
        <item m="1" x="2714"/>
        <item m="1" x="106"/>
        <item m="1" x="2046"/>
        <item m="1" x="1803"/>
        <item m="1" x="2855"/>
        <item m="1" x="762"/>
        <item m="1" x="2179"/>
        <item m="1" x="68"/>
        <item m="1" x="938"/>
        <item m="1" x="159"/>
        <item m="1" x="2480"/>
        <item m="1" x="524"/>
        <item m="1" x="2381"/>
        <item m="1" x="1400"/>
        <item m="1" x="988"/>
        <item m="1" x="1925"/>
        <item m="1" x="1072"/>
        <item m="1" x="2639"/>
        <item m="1" x="1588"/>
        <item m="1" x="2964"/>
        <item m="1" x="713"/>
        <item m="1" x="1225"/>
        <item m="1" x="1861"/>
        <item m="1" x="931"/>
        <item m="1" x="1770"/>
        <item m="1" x="2163"/>
        <item m="1" x="733"/>
        <item m="1" x="1680"/>
        <item m="1" x="2804"/>
        <item m="1" x="1190"/>
        <item m="1" x="613"/>
        <item m="1" x="2144"/>
        <item m="1" x="3126"/>
        <item m="1" x="1307"/>
        <item m="1" x="1217"/>
        <item m="1" x="134"/>
        <item m="1" x="2455"/>
        <item m="1" x="1538"/>
        <item m="1" x="1014"/>
        <item m="1" x="2499"/>
        <item m="1" x="2097"/>
        <item m="1" x="605"/>
        <item m="1" x="2337"/>
        <item m="1" x="200"/>
        <item m="1" x="401"/>
        <item m="1" x="1081"/>
        <item m="1" x="728"/>
        <item m="1" x="789"/>
        <item m="1" x="2976"/>
        <item m="1" x="519"/>
        <item m="1" x="286"/>
        <item m="1" x="739"/>
        <item m="1" x="784"/>
        <item m="1" x="2554"/>
        <item m="1" x="606"/>
        <item m="1" x="244"/>
        <item m="1" x="1646"/>
        <item m="1" x="2756"/>
        <item m="1" x="983"/>
        <item m="1" x="2694"/>
        <item m="1" x="2802"/>
        <item m="1" x="2615"/>
        <item m="1" x="2048"/>
        <item m="1" x="2453"/>
        <item m="1" x="2729"/>
        <item m="1" x="1434"/>
        <item m="1" x="748"/>
        <item m="1" x="909"/>
        <item m="1" x="2171"/>
        <item m="1" x="2195"/>
        <item m="1" x="2344"/>
        <item m="1" x="1422"/>
        <item m="1" x="2927"/>
        <item m="1" x="1291"/>
        <item m="1" x="2942"/>
        <item m="1" x="1047"/>
        <item m="1" x="2438"/>
        <item m="1" x="3033"/>
        <item m="1" x="2620"/>
        <item m="1" x="2029"/>
        <item m="1" x="516"/>
        <item m="1" x="760"/>
        <item m="1" x="1632"/>
        <item m="1" x="3118"/>
        <item m="1" x="666"/>
        <item m="1" x="2262"/>
        <item m="1" x="2839"/>
        <item m="1" x="2857"/>
        <item m="1" x="1699"/>
        <item m="1" x="2555"/>
        <item m="1" x="1186"/>
        <item m="1" x="1259"/>
        <item m="1" x="696"/>
        <item m="1" x="2217"/>
        <item m="1" x="601"/>
        <item m="1" x="1306"/>
        <item m="1" x="328"/>
        <item m="1" x="59"/>
        <item m="1" x="1197"/>
        <item m="1" x="2492"/>
        <item m="1" x="770"/>
        <item m="1" x="1953"/>
        <item m="1" x="2288"/>
        <item m="1" x="2997"/>
        <item m="1" x="1037"/>
        <item m="1" x="293"/>
        <item m="1" x="2425"/>
        <item m="1" x="3080"/>
        <item m="1" x="2159"/>
        <item m="1" x="2653"/>
        <item m="1" x="1513"/>
        <item m="1" x="302"/>
        <item m="1" x="2749"/>
        <item m="1" x="2012"/>
        <item m="1" x="2244"/>
        <item m="1" x="827"/>
        <item m="1" x="2651"/>
        <item m="1" x="1227"/>
        <item m="1" x="1720"/>
        <item m="1" x="410"/>
        <item m="1" x="1606"/>
        <item m="1" x="243"/>
        <item m="1" x="2413"/>
        <item m="1" x="273"/>
        <item m="1" x="927"/>
        <item m="1" x="2626"/>
        <item m="1" x="335"/>
        <item m="1" x="1027"/>
        <item m="1" x="2826"/>
        <item m="1" x="2795"/>
        <item m="1" x="620"/>
        <item m="1" x="1723"/>
        <item m="1" x="1747"/>
        <item m="1" x="1914"/>
        <item m="1" x="218"/>
        <item m="1" x="864"/>
        <item m="1" x="2444"/>
        <item m="1" x="98"/>
        <item m="1" x="2458"/>
        <item m="1" x="583"/>
        <item m="1" x="2792"/>
        <item m="1" x="1175"/>
        <item m="1" x="1271"/>
        <item m="1" x="31"/>
        <item m="1" x="1138"/>
        <item m="1" x="1996"/>
        <item m="1" x="45"/>
        <item m="1" x="1277"/>
        <item m="1" x="1548"/>
        <item m="1" x="1549"/>
        <item m="1" x="195"/>
        <item m="1" x="946"/>
        <item m="1" x="925"/>
        <item m="1" x="965"/>
        <item m="1" x="2900"/>
        <item m="1" x="2486"/>
        <item m="1" x="494"/>
        <item x="1"/>
        <item m="1" x="1010"/>
        <item m="1" x="1328"/>
        <item m="1" x="1558"/>
        <item m="1" x="1374"/>
        <item m="1" x="2313"/>
        <item m="1" x="485"/>
        <item m="1" x="1255"/>
        <item m="1" x="2469"/>
        <item m="1" x="2764"/>
        <item m="1" x="1593"/>
        <item m="1" x="1324"/>
        <item m="1" x="768"/>
        <item m="1" x="2047"/>
        <item m="1" x="338"/>
        <item m="1" x="424"/>
        <item m="1" x="225"/>
        <item m="1" x="2573"/>
        <item m="1" x="1615"/>
        <item m="1" x="2110"/>
        <item m="1" x="2371"/>
        <item m="1" x="2368"/>
        <item m="1" x="2972"/>
        <item m="1" x="1570"/>
        <item m="1" x="250"/>
        <item m="1" x="2069"/>
        <item m="1" x="1273"/>
        <item m="1" x="2553"/>
        <item m="1" x="142"/>
        <item m="1" x="1001"/>
        <item m="1" x="3028"/>
        <item m="1" x="954"/>
        <item m="1" x="1053"/>
        <item m="1" x="2611"/>
        <item m="1" x="2106"/>
        <item m="1" x="2379"/>
        <item m="1" x="1874"/>
        <item m="1" x="1604"/>
        <item m="1" x="2225"/>
        <item m="1" x="372"/>
        <item m="1" x="2585"/>
        <item m="1" x="2610"/>
        <item m="1" x="3087"/>
        <item m="1" x="190"/>
        <item m="1" x="1453"/>
        <item m="1" x="2189"/>
        <item m="1" x="1230"/>
        <item m="1" x="18"/>
        <item m="1" x="688"/>
        <item m="1" x="2251"/>
        <item m="1" x="1906"/>
        <item m="1" x="37"/>
        <item m="1" x="2965"/>
        <item m="1" x="1407"/>
        <item m="1" x="1054"/>
        <item m="1" x="135"/>
        <item m="1" x="1817"/>
        <item m="1" x="2098"/>
        <item m="1" x="2020"/>
        <item m="1" x="2697"/>
        <item m="1" x="2307"/>
        <item m="1" x="2915"/>
        <item m="1" x="2592"/>
        <item m="1" x="638"/>
        <item m="1" x="1180"/>
        <item m="1" x="2259"/>
        <item m="1" x="2932"/>
        <item m="1" x="1442"/>
        <item m="1" x="1541"/>
        <item m="1" x="2135"/>
        <item m="1" x="907"/>
        <item m="1" x="2316"/>
        <item m="1" x="2758"/>
        <item m="1" x="732"/>
        <item m="1" x="56"/>
        <item m="1" x="2933"/>
        <item m="1" x="1846"/>
        <item m="1" x="2045"/>
        <item m="1" x="1009"/>
        <item m="1" x="1988"/>
        <item m="1" x="1927"/>
        <item m="1" x="65"/>
        <item m="1" x="1008"/>
        <item m="1" x="1476"/>
        <item m="1" x="419"/>
        <item m="1" x="100"/>
        <item m="1" x="2500"/>
        <item m="1" x="1455"/>
        <item m="1" x="2843"/>
        <item m="1" x="1481"/>
        <item m="1" x="1333"/>
        <item m="1" x="1975"/>
        <item m="1" x="443"/>
        <item m="1" x="1443"/>
        <item m="1" x="1607"/>
        <item m="1" x="274"/>
        <item m="1" x="1958"/>
        <item m="1" x="442"/>
        <item m="1" x="2885"/>
        <item m="1" x="2061"/>
        <item m="1" x="437"/>
        <item m="1" x="208"/>
        <item m="1" x="3061"/>
        <item m="1" x="2398"/>
        <item m="1" x="2777"/>
        <item m="1" x="1869"/>
        <item m="1" x="181"/>
        <item m="1" x="939"/>
        <item m="1" x="2243"/>
        <item m="1" x="518"/>
        <item m="1" x="1433"/>
        <item m="1" x="962"/>
        <item m="1" x="323"/>
        <item m="1" x="1695"/>
        <item m="1" x="259"/>
        <item m="1" x="2747"/>
        <item m="1" x="3095"/>
        <item m="1" x="3012"/>
        <item m="1" x="1031"/>
        <item m="1" x="2631"/>
        <item m="1" x="1618"/>
        <item m="1" x="327"/>
        <item m="1" x="2517"/>
        <item m="1" x="2577"/>
        <item m="1" x="801"/>
        <item m="1" x="809"/>
        <item m="1" x="348"/>
        <item m="1" x="3047"/>
        <item m="1" x="2675"/>
        <item m="1" x="823"/>
        <item m="1" x="2034"/>
        <item m="1" x="1786"/>
        <item m="1" x="210"/>
        <item m="1" x="2969"/>
        <item m="1" x="1388"/>
        <item m="1" x="1626"/>
        <item m="1" x="2173"/>
        <item m="1" x="2203"/>
        <item m="1" x="543"/>
        <item m="1" x="2156"/>
        <item m="1" x="508"/>
        <item m="1" x="130"/>
        <item m="1" x="481"/>
        <item m="1" x="2123"/>
        <item m="1" x="2507"/>
        <item m="1" x="1382"/>
        <item m="1" x="821"/>
        <item m="1" x="3014"/>
        <item m="1" x="955"/>
        <item m="1" x="1955"/>
        <item m="1" x="1536"/>
        <item m="1" x="77"/>
        <item m="1" x="2158"/>
        <item m="1" x="3088"/>
        <item m="1" x="3042"/>
        <item m="1" x="1471"/>
        <item m="1" x="3119"/>
        <item m="1" x="1087"/>
        <item m="1" x="20"/>
        <item m="1" x="2759"/>
        <item m="1" x="2270"/>
        <item m="1" x="1682"/>
        <item m="1" x="3128"/>
        <item m="1" x="2310"/>
        <item m="1" x="1643"/>
        <item m="1" x="2716"/>
        <item m="1" x="2279"/>
        <item m="1" x="278"/>
        <item m="1" x="123"/>
        <item m="1" x="403"/>
        <item m="1" x="1924"/>
        <item m="1" x="115"/>
        <item m="1" x="1345"/>
        <item m="1" x="1565"/>
        <item m="1" x="109"/>
        <item m="1" x="349"/>
        <item m="1" x="1692"/>
        <item m="1" x="548"/>
        <item m="1" x="1796"/>
        <item m="1" x="2118"/>
        <item m="1" x="2953"/>
        <item m="1" x="2837"/>
        <item m="1" x="863"/>
        <item m="1" x="592"/>
        <item m="1" x="1745"/>
        <item m="1" x="703"/>
        <item m="1" x="132"/>
        <item m="1" x="1204"/>
        <item m="1" x="104"/>
        <item m="1" x="1346"/>
        <item m="1" x="358"/>
        <item m="1" x="1331"/>
        <item m="1" x="979"/>
        <item m="1" x="852"/>
        <item m="1" x="211"/>
        <item m="1" x="2731"/>
        <item m="1" x="2788"/>
        <item m="1" x="232"/>
        <item m="1" x="105"/>
        <item m="1" x="2688"/>
        <item m="1" x="1264"/>
        <item m="1" x="158"/>
        <item m="1" x="1288"/>
        <item m="1" x="572"/>
        <item m="1" x="2827"/>
        <item m="1" x="1897"/>
        <item m="1" x="264"/>
        <item m="1" x="544"/>
        <item m="1" x="3020"/>
        <item m="1" x="2357"/>
        <item m="1" x="1150"/>
        <item m="1" x="636"/>
        <item m="1" x="1918"/>
        <item m="1" x="387"/>
        <item m="1" x="1354"/>
        <item m="1" x="3052"/>
        <item m="1" x="469"/>
        <item m="1" x="116"/>
        <item m="1" x="2128"/>
        <item m="1" x="2569"/>
        <item m="1" x="287"/>
        <item m="1" x="2332"/>
        <item m="1" x="2676"/>
        <item m="1" x="1202"/>
        <item m="1" x="1631"/>
        <item m="1" x="1263"/>
        <item m="1" x="2773"/>
        <item m="1" x="2530"/>
        <item m="1" x="3038"/>
        <item m="1" x="1807"/>
        <item m="1" x="1573"/>
        <item m="1" x="1756"/>
        <item m="1" x="2051"/>
        <item m="1" x="555"/>
        <item m="1" x="2790"/>
        <item m="1" x="2552"/>
        <item m="1" x="3009"/>
        <item m="1" x="2547"/>
        <item m="1" x="2040"/>
        <item m="1" x="711"/>
        <item m="1" x="17"/>
        <item m="1" x="2598"/>
        <item m="1" x="2778"/>
        <item m="1" x="551"/>
        <item m="1" x="300"/>
        <item m="1" x="1184"/>
        <item m="1" x="3056"/>
        <item m="1" x="719"/>
        <item m="1" x="2537"/>
        <item m="1" x="347"/>
        <item m="1" x="2366"/>
        <item m="1" x="2830"/>
        <item m="1" x="1765"/>
        <item m="1" x="1700"/>
        <item m="1" x="1362"/>
        <item m="1" x="2870"/>
        <item m="1" x="160"/>
        <item m="1" x="873"/>
        <item m="1" x="1415"/>
        <item m="1" x="2754"/>
        <item m="1" x="3000"/>
        <item m="1" x="2693"/>
        <item m="1" x="2991"/>
        <item m="1" x="2013"/>
        <item m="1" x="2657"/>
        <item m="1" x="102"/>
        <item m="1" x="318"/>
        <item m="1" x="2538"/>
        <item m="1" x="3109"/>
        <item m="1" x="3024"/>
        <item m="1" x="460"/>
        <item m="1" x="2072"/>
        <item m="1" x="506"/>
        <item m="1" x="207"/>
        <item m="1" x="2823"/>
        <item m="1" x="2832"/>
        <item m="1" x="2292"/>
        <item m="1" x="2282"/>
        <item m="1" x="2385"/>
        <item m="1" x="2564"/>
        <item m="1" x="791"/>
        <item m="1" x="2209"/>
        <item m="1" x="2658"/>
        <item m="1" x="2026"/>
        <item m="1" x="1645"/>
        <item m="1" x="2509"/>
        <item m="1" x="1905"/>
        <item m="1" x="3035"/>
        <item m="1" x="1199"/>
        <item m="1" x="438"/>
        <item m="1" x="981"/>
        <item m="1" x="118"/>
        <item m="1" x="2641"/>
        <item m="1" x="248"/>
        <item m="1" x="989"/>
        <item m="1" x="2652"/>
        <item m="1" x="254"/>
        <item m="1" x="174"/>
        <item m="1" x="3111"/>
        <item m="1" x="2489"/>
        <item m="1" x="2007"/>
        <item m="1" x="1019"/>
        <item m="1" x="1675"/>
        <item m="1" x="1395"/>
        <item m="1" x="657"/>
        <item m="1" x="3076"/>
        <item m="1" x="940"/>
        <item m="1" x="2451"/>
        <item m="1" x="947"/>
        <item m="1" x="2645"/>
        <item m="1" x="1258"/>
        <item m="1" x="1890"/>
        <item m="1" x="1820"/>
        <item m="1" x="446"/>
        <item m="1" x="1247"/>
        <item m="1" x="3085"/>
        <item m="1" x="611"/>
        <item m="1" x="1157"/>
        <item m="1" x="1012"/>
        <item m="1" x="1224"/>
        <item m="1" x="1007"/>
        <item m="1" x="2922"/>
        <item m="1" x="2936"/>
        <item m="1" x="3051"/>
        <item m="1" x="2739"/>
        <item m="1" x="484"/>
        <item m="1" x="568"/>
        <item m="1" x="2024"/>
        <item m="1" x="1523"/>
        <item m="1" x="2169"/>
        <item m="1" x="867"/>
        <item m="1" x="2706"/>
        <item m="1" x="967"/>
        <item m="1" x="2019"/>
        <item m="1" x="2328"/>
        <item m="1" x="253"/>
        <item m="1" x="1663"/>
        <item m="1" x="2898"/>
        <item m="1" x="2750"/>
        <item m="1" x="1580"/>
        <item m="1" x="1398"/>
        <item m="1" x="662"/>
        <item m="1" x="1670"/>
        <item m="1" x="1192"/>
        <item m="1" x="1912"/>
        <item m="1" x="1029"/>
        <item m="1" x="2691"/>
        <item m="1" x="625"/>
        <item m="1" x="849"/>
        <item m="1" x="2267"/>
        <item m="1" x="3048"/>
        <item m="1" x="934"/>
        <item m="1" x="2703"/>
        <item m="1" x="1076"/>
        <item m="1" x="2119"/>
        <item m="1" x="2678"/>
        <item m="1" x="1200"/>
        <item m="1" x="933"/>
        <item m="1" x="1722"/>
        <item m="1" x="881"/>
        <item m="1" x="1101"/>
        <item m="1" x="2475"/>
        <item m="1" x="1717"/>
        <item m="1" x="1160"/>
        <item m="1" x="1403"/>
        <item m="1" x="1262"/>
        <item m="1" x="213"/>
        <item m="1" x="1935"/>
        <item m="1" x="2531"/>
        <item m="1" x="1767"/>
        <item m="1" x="2990"/>
        <item m="1" x="2201"/>
        <item m="1" x="2324"/>
        <item m="1" x="3071"/>
        <item m="1" x="185"/>
        <item m="1" x="1649"/>
        <item m="1" x="321"/>
        <item m="1" x="2036"/>
        <item m="1" x="3123"/>
        <item m="1" x="1849"/>
        <item m="1" x="1534"/>
        <item m="1" x="85"/>
        <item m="1" x="2062"/>
        <item m="1" x="406"/>
        <item m="1" x="152"/>
        <item x="4"/>
        <item m="1" x="558"/>
        <item m="1" x="2142"/>
        <item m="1" x="896"/>
        <item m="1" x="2504"/>
        <item m="1" x="617"/>
        <item m="1" x="664"/>
        <item m="1" x="1623"/>
        <item m="1" x="150"/>
        <item m="1" x="2891"/>
        <item m="1" x="1051"/>
        <item m="1" x="2364"/>
        <item m="1" x="412"/>
        <item m="1" x="1636"/>
        <item m="1" x="813"/>
        <item m="1" x="2550"/>
        <item m="1" x="3059"/>
        <item m="1" x="2909"/>
        <item m="1" x="445"/>
        <item m="1" x="2968"/>
        <item m="1" x="402"/>
        <item m="1" x="2016"/>
        <item m="1" x="504"/>
        <item m="1" x="2464"/>
        <item m="1" x="2660"/>
        <item m="1" x="2546"/>
        <item m="1" x="1825"/>
        <item m="1" x="1697"/>
        <item m="1" x="1930"/>
        <item m="1" x="2849"/>
        <item m="1" x="2595"/>
        <item m="1" x="1759"/>
        <item m="1" x="708"/>
        <item m="1" x="2698"/>
        <item m="1" x="2149"/>
        <item m="1" x="184"/>
        <item m="1" x="3073"/>
        <item m="1" x="2028"/>
        <item m="1" x="27"/>
        <item m="1" x="2966"/>
        <item m="1" x="621"/>
        <item m="1" x="366"/>
        <item m="1" x="1543"/>
        <item m="1" x="2872"/>
        <item m="1" x="1738"/>
        <item m="1" x="1475"/>
        <item m="1" x="2732"/>
        <item m="1" x="15"/>
        <item m="1" x="961"/>
        <item m="1" x="1096"/>
        <item m="1" x="1097"/>
        <item m="1" x="2787"/>
        <item m="1" x="1838"/>
        <item m="1" x="1568"/>
        <item m="1" x="1809"/>
        <item m="1" x="113"/>
        <item m="1" x="787"/>
        <item m="1" x="2478"/>
        <item m="1" x="220"/>
        <item m="1" x="2977"/>
        <item m="1" x="1514"/>
        <item m="1" x="1299"/>
        <item m="1" x="757"/>
        <item m="1" x="2081"/>
        <item m="1" x="1793"/>
        <item m="1" x="2386"/>
        <item m="1" x="3031"/>
        <item m="1" x="694"/>
        <item m="1" x="1103"/>
        <item m="1" x="3044"/>
        <item m="1" x="856"/>
        <item m="1" x="2921"/>
        <item m="1" x="2656"/>
        <item m="1" x="2760"/>
        <item m="1" x="1812"/>
        <item m="1" x="1520"/>
        <item m="1" x="353"/>
        <item m="1" x="1886"/>
        <item m="1" x="2730"/>
        <item m="1" x="511"/>
        <item m="1" x="2751"/>
        <item m="1" x="1022"/>
        <item m="1" x="1871"/>
        <item m="1" x="1100"/>
        <item m="1" x="430"/>
        <item m="1" x="818"/>
        <item m="1" x="199"/>
        <item m="1" x="749"/>
        <item m="1" x="1017"/>
        <item m="1" x="2613"/>
        <item m="1" x="2071"/>
        <item m="1" x="755"/>
        <item m="1" x="553"/>
        <item m="1" x="3008"/>
        <item m="1" x="409"/>
        <item m="1" x="304"/>
        <item m="1" x="2663"/>
        <item m="1" x="3011"/>
        <item m="1" x="2907"/>
        <item m="1" x="1155"/>
        <item m="1" x="2454"/>
        <item m="1" x="1043"/>
        <item m="1" x="1373"/>
        <item m="1" x="1774"/>
        <item m="1" x="197"/>
        <item m="1" x="22"/>
        <item m="1" x="1207"/>
        <item m="1" x="1428"/>
        <item m="1" x="270"/>
        <item m="1" x="2319"/>
        <item m="1" x="2167"/>
        <item m="1" x="345"/>
        <item m="1" x="257"/>
        <item m="1" x="1557"/>
        <item m="1" x="684"/>
        <item m="1" x="2717"/>
        <item m="1" x="1542"/>
        <item m="1" x="3086"/>
        <item m="1" x="2268"/>
        <item m="1" x="228"/>
        <item m="1" x="84"/>
        <item m="1" x="2277"/>
        <item m="1" x="2220"/>
        <item m="1" x="968"/>
        <item m="1" x="461"/>
        <item m="1" x="3127"/>
        <item m="1" x="48"/>
        <item m="1" x="2468"/>
        <item m="1" x="1550"/>
        <item m="1" x="313"/>
        <item m="1" x="285"/>
        <item m="1" x="2223"/>
        <item m="1" x="2317"/>
        <item m="1" x="816"/>
        <item m="1" x="2264"/>
        <item m="1" x="476"/>
        <item m="1" x="2989"/>
        <item m="1" x="2785"/>
        <item m="1" x="1069"/>
        <item m="1" x="2130"/>
        <item m="1" x="2466"/>
        <item m="1" x="1108"/>
        <item m="1" x="1808"/>
        <item m="1" x="149"/>
        <item m="1" x="2418"/>
        <item m="1" x="2726"/>
        <item m="1" x="901"/>
        <item m="1" x="370"/>
        <item m="1" x="777"/>
        <item m="1" x="2015"/>
        <item m="1" x="2720"/>
        <item m="1" x="2401"/>
        <item m="1" x="43"/>
        <item m="1" x="171"/>
        <item m="1" x="46"/>
        <item m="1" x="2559"/>
        <item m="1" x="2321"/>
        <item m="1" x="2614"/>
        <item m="1" x="2607"/>
        <item m="1" x="1176"/>
        <item m="1" x="2087"/>
        <item m="1" x="81"/>
        <item m="1" x="112"/>
        <item m="1" x="2276"/>
        <item m="1" x="2634"/>
        <item m="1" x="1251"/>
        <item m="1" x="2367"/>
        <item m="1" x="1737"/>
        <item m="1" x="537"/>
        <item x="5"/>
        <item x="6"/>
        <item x="7"/>
        <item x="8"/>
        <item m="1" x="2733"/>
        <item m="1" x="959"/>
        <item m="1" x="2801"/>
        <item x="9"/>
        <item x="10"/>
        <item x="0"/>
        <item x="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items count="4">
        <item x="0"/>
        <item m="1" x="3"/>
        <item m="1" x="1"/>
        <item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EncoderName" compact="0" outline="0" multipleItemSelectionAllowed="1" showAll="0" defaultSubtotal="0">
      <items count="15">
        <item m="1" x="14"/>
        <item m="1" x="10"/>
        <item m="1" x="12"/>
        <item m="1" x="3"/>
        <item m="1" x="9"/>
        <item m="1" x="2"/>
        <item m="1" x="6"/>
        <item m="1" x="4"/>
        <item m="1" x="1"/>
        <item m="1" x="8"/>
        <item m="1" x="7"/>
        <item m="1" x="11"/>
        <item m="1" x="5"/>
        <item m="1" x="13"/>
        <item x="0"/>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4"/>
  </rowFields>
  <rowItems count="11">
    <i>
      <x v="1188"/>
      <x v="3128"/>
    </i>
    <i>
      <x v="1289"/>
      <x v="2565"/>
    </i>
    <i>
      <x v="2606"/>
      <x v="3129"/>
    </i>
    <i>
      <x v="2815"/>
      <x v="2129"/>
    </i>
    <i>
      <x v="2972"/>
      <x v="2950"/>
    </i>
    <i>
      <x v="3113"/>
      <x v="3119"/>
    </i>
    <i>
      <x v="3114"/>
      <x v="3120"/>
    </i>
    <i>
      <x v="3115"/>
      <x v="3121"/>
    </i>
    <i>
      <x v="3116"/>
      <x v="3122"/>
    </i>
    <i>
      <x v="3120"/>
      <x v="3126"/>
    </i>
    <i>
      <x v="3121"/>
      <x v="3127"/>
    </i>
  </rowItems>
  <colFields count="1">
    <field x="-2"/>
  </colFields>
  <colItems count="2">
    <i>
      <x/>
    </i>
    <i i="1">
      <x v="1"/>
    </i>
  </colItems>
  <dataFields count="2">
    <dataField name="Sum of CostperPiece" fld="138" baseField="4" baseItem="114" numFmtId="39"/>
    <dataField name="Sum of pricePerPieceA" fld="32" baseField="4" baseItem="2785" numFmtId="39"/>
  </dataFields>
  <formats count="29">
    <format dxfId="54">
      <pivotArea type="all" dataOnly="0" outline="0" fieldPosition="0"/>
    </format>
    <format dxfId="53">
      <pivotArea type="all" dataOnly="0" outline="0" fieldPosition="0"/>
    </format>
    <format dxfId="52">
      <pivotArea field="7" type="button" dataOnly="0" labelOnly="1" outline="0"/>
    </format>
    <format dxfId="51">
      <pivotArea field="107" type="button" dataOnly="0" labelOnly="1" outline="0"/>
    </format>
    <format dxfId="50">
      <pivotArea type="origin" dataOnly="0" labelOnly="1" outline="0" fieldPosition="0"/>
    </format>
    <format dxfId="49">
      <pivotArea type="topRight" dataOnly="0" labelOnly="1" outline="0" fieldPosition="0"/>
    </format>
    <format dxfId="48">
      <pivotArea field="7" type="button" dataOnly="0" labelOnly="1" outline="0"/>
    </format>
    <format dxfId="47">
      <pivotArea field="107" type="button" dataOnly="0" labelOnly="1" outline="0"/>
    </format>
    <format dxfId="46">
      <pivotArea type="origin" dataOnly="0" labelOnly="1" outline="0" fieldPosition="0"/>
    </format>
    <format dxfId="45">
      <pivotArea type="topRight" dataOnly="0" labelOnly="1" outline="0" fieldPosition="0"/>
    </format>
    <format dxfId="44">
      <pivotArea outline="0" collapsedLevelsAreSubtotals="1" fieldPosition="0"/>
    </format>
    <format dxfId="43">
      <pivotArea type="topRight" dataOnly="0" labelOnly="1" outline="0" fieldPosition="0"/>
    </format>
    <format dxfId="42">
      <pivotArea type="topRight" dataOnly="0" labelOnly="1" outline="0" fieldPosition="0"/>
    </format>
    <format dxfId="41">
      <pivotArea field="107" type="button" dataOnly="0" labelOnly="1" outline="0"/>
    </format>
    <format dxfId="40">
      <pivotArea type="origin" dataOnly="0" labelOnly="1" outline="0" fieldPosition="0"/>
    </format>
    <format dxfId="39">
      <pivotArea dataOnly="0" labelOnly="1" grandRow="1" outline="0" fieldPosition="0"/>
    </format>
    <format dxfId="38">
      <pivotArea type="all" dataOnly="0" outline="0" fieldPosition="0"/>
    </format>
    <format dxfId="37">
      <pivotArea field="107" type="button" dataOnly="0" labelOnly="1" outline="0"/>
    </format>
    <format dxfId="36">
      <pivotArea field="107" type="button" dataOnly="0" labelOnly="1" outline="0"/>
    </format>
    <format dxfId="35">
      <pivotArea type="all" dataOnly="0" outline="0" fieldPosition="0"/>
    </format>
    <format dxfId="34">
      <pivotArea field="107" type="button" dataOnly="0" labelOnly="1" outline="0"/>
    </format>
    <format dxfId="33">
      <pivotArea field="107" type="button" dataOnly="0" labelOnly="1" outline="0"/>
    </format>
    <format dxfId="32">
      <pivotArea field="107" type="button" dataOnly="0" labelOnly="1" outline="0"/>
    </format>
    <format dxfId="31">
      <pivotArea field="107" type="button" dataOnly="0" labelOnly="1" outline="0"/>
    </format>
    <format dxfId="30">
      <pivotArea field="107" type="button" dataOnly="0" labelOnly="1" outline="0"/>
    </format>
    <format dxfId="29">
      <pivotArea type="all" dataOnly="0" outline="0" fieldPosition="0"/>
    </format>
    <format dxfId="28">
      <pivotArea type="all" dataOnly="0" outline="0" fieldPosition="0"/>
    </format>
    <format dxfId="27">
      <pivotArea outline="0" fieldPosition="0">
        <references count="1">
          <reference field="4294967294" count="1">
            <x v="0"/>
          </reference>
        </references>
      </pivotArea>
    </format>
    <format dxfId="26">
      <pivotArea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F00-000006000000}" name="PivotTable1" cacheId="0" applyNumberFormats="0" applyBorderFormats="0" applyFontFormats="0" applyPatternFormats="0" applyAlignmentFormats="0" applyWidthHeightFormats="1" dataCaption="Values" updatedVersion="4" minRefreshableVersion="3" showDrill="0" rowGrandTotals="0" colGrandTotals="0" itemPrintTitles="1" createdVersion="4" indent="0" compact="0" compactData="0" gridDropZones="1" multipleFieldFilters="0" chartFormat="1">
  <location ref="A1:D6" firstHeaderRow="1" firstDataRow="2" firstDataCol="1"/>
  <pivotFields count="5">
    <pivotField axis="axisRow" compact="0" numFmtId="178" outline="0" showAll="0" sortType="ascending" defaultSubtotal="0">
      <items count="14">
        <item x="5"/>
        <item x="6"/>
        <item x="7"/>
        <item x="8"/>
        <item x="9"/>
        <item x="10"/>
        <item x="1"/>
        <item x="11"/>
        <item x="0"/>
        <item x="2"/>
        <item x="3"/>
        <item x="12"/>
        <item m="1" x="13"/>
        <item x="4"/>
      </items>
    </pivotField>
    <pivotField compact="0" outline="0" showAll="0" defaultSubtotal="0">
      <items count="3">
        <item x="0"/>
        <item h="1" x="2"/>
        <item h="1" x="1"/>
      </items>
      <extLst>
        <ext xmlns:x14="http://schemas.microsoft.com/office/spreadsheetml/2009/9/main" uri="{2946ED86-A175-432a-8AC1-64E0C546D7DE}">
          <x14:pivotField fillDownLabels="1"/>
        </ext>
      </extLst>
    </pivotField>
    <pivotField dataField="1" compact="0" numFmtId="177" outline="0" showAll="0" defaultSubtotal="0"/>
    <pivotField dataField="1" compact="0" numFmtId="7" outline="0" showAll="0"/>
    <pivotField dataField="1" compact="0" numFmtId="7" outline="0" showAll="0" defaultSubtotal="0"/>
  </pivotFields>
  <rowFields count="1">
    <field x="0"/>
  </rowFields>
  <rowItems count="4">
    <i>
      <x v="6"/>
    </i>
    <i>
      <x v="8"/>
    </i>
    <i>
      <x v="9"/>
    </i>
    <i>
      <x v="10"/>
    </i>
  </rowItems>
  <colFields count="1">
    <field x="-2"/>
  </colFields>
  <colItems count="3">
    <i>
      <x/>
    </i>
    <i i="1">
      <x v="1"/>
    </i>
    <i i="2">
      <x v="2"/>
    </i>
  </colItems>
  <dataFields count="3">
    <dataField name="Sum of FOREX" fld="3" baseField="0" baseItem="12" numFmtId="165"/>
    <dataField name="Sum of PER KG" fld="2" baseField="0" baseItem="12" numFmtId="165"/>
    <dataField name="Sum of PER KGPhp" fld="4" baseField="0" baseItem="6" numFmtId="165"/>
  </dataFields>
  <chartFormats count="4">
    <chartFormat chart="0" format="2" series="1">
      <pivotArea type="data" outline="0" fieldPosition="0"/>
    </chartFormat>
    <chartFormat chart="0" format="28" series="1">
      <pivotArea type="data" outline="0" fieldPosition="0">
        <references count="1">
          <reference field="4294967294" count="1" selected="0">
            <x v="0"/>
          </reference>
        </references>
      </pivotArea>
    </chartFormat>
    <chartFormat chart="0" format="29" series="1">
      <pivotArea type="data" outline="0" fieldPosition="0">
        <references count="1">
          <reference field="4294967294" count="1" selected="0">
            <x v="2"/>
          </reference>
        </references>
      </pivotArea>
    </chartFormat>
    <chartFormat chart="0" format="3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00000000-0013-0000-FFFF-FFFF01000000}" sourceName="TYPE">
  <pivotTables>
    <pivotTable tabId="49" name="PivotTable1"/>
  </pivotTables>
  <data>
    <tabular pivotCacheId="33">
      <items count="3">
        <i x="0" s="1"/>
        <i x="2"/>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0000000-0014-0000-FFFF-FFFF01000000}" cache="Slicer_TYPE" caption="TYPE" rowHeight="257175"/>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omments" Target="../comments1.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3" Type="http://schemas.openxmlformats.org/officeDocument/2006/relationships/ctrlProp" Target="../ctrlProps/ctrlProp53.xml"/><Relationship Id="rId18" Type="http://schemas.openxmlformats.org/officeDocument/2006/relationships/ctrlProp" Target="../ctrlProps/ctrlProp58.xml"/><Relationship Id="rId26" Type="http://schemas.openxmlformats.org/officeDocument/2006/relationships/ctrlProp" Target="../ctrlProps/ctrlProp66.xml"/><Relationship Id="rId39" Type="http://schemas.openxmlformats.org/officeDocument/2006/relationships/ctrlProp" Target="../ctrlProps/ctrlProp79.xml"/><Relationship Id="rId21" Type="http://schemas.openxmlformats.org/officeDocument/2006/relationships/ctrlProp" Target="../ctrlProps/ctrlProp61.xml"/><Relationship Id="rId34" Type="http://schemas.openxmlformats.org/officeDocument/2006/relationships/ctrlProp" Target="../ctrlProps/ctrlProp74.xml"/><Relationship Id="rId42" Type="http://schemas.openxmlformats.org/officeDocument/2006/relationships/ctrlProp" Target="../ctrlProps/ctrlProp82.xml"/><Relationship Id="rId7" Type="http://schemas.openxmlformats.org/officeDocument/2006/relationships/ctrlProp" Target="../ctrlProps/ctrlProp47.xml"/><Relationship Id="rId2" Type="http://schemas.openxmlformats.org/officeDocument/2006/relationships/drawing" Target="../drawings/drawing2.xml"/><Relationship Id="rId16" Type="http://schemas.openxmlformats.org/officeDocument/2006/relationships/ctrlProp" Target="../ctrlProps/ctrlProp56.xml"/><Relationship Id="rId29" Type="http://schemas.openxmlformats.org/officeDocument/2006/relationships/ctrlProp" Target="../ctrlProps/ctrlProp69.xml"/><Relationship Id="rId1" Type="http://schemas.openxmlformats.org/officeDocument/2006/relationships/printerSettings" Target="../printerSettings/printerSettings4.bin"/><Relationship Id="rId6" Type="http://schemas.openxmlformats.org/officeDocument/2006/relationships/ctrlProp" Target="../ctrlProps/ctrlProp46.xml"/><Relationship Id="rId11" Type="http://schemas.openxmlformats.org/officeDocument/2006/relationships/ctrlProp" Target="../ctrlProps/ctrlProp51.xml"/><Relationship Id="rId24" Type="http://schemas.openxmlformats.org/officeDocument/2006/relationships/ctrlProp" Target="../ctrlProps/ctrlProp64.xml"/><Relationship Id="rId32" Type="http://schemas.openxmlformats.org/officeDocument/2006/relationships/ctrlProp" Target="../ctrlProps/ctrlProp72.xml"/><Relationship Id="rId37" Type="http://schemas.openxmlformats.org/officeDocument/2006/relationships/ctrlProp" Target="../ctrlProps/ctrlProp77.xml"/><Relationship Id="rId40" Type="http://schemas.openxmlformats.org/officeDocument/2006/relationships/ctrlProp" Target="../ctrlProps/ctrlProp80.xml"/><Relationship Id="rId45" Type="http://schemas.openxmlformats.org/officeDocument/2006/relationships/ctrlProp" Target="../ctrlProps/ctrlProp85.xml"/><Relationship Id="rId5" Type="http://schemas.openxmlformats.org/officeDocument/2006/relationships/ctrlProp" Target="../ctrlProps/ctrlProp45.xml"/><Relationship Id="rId15" Type="http://schemas.openxmlformats.org/officeDocument/2006/relationships/ctrlProp" Target="../ctrlProps/ctrlProp55.xml"/><Relationship Id="rId23" Type="http://schemas.openxmlformats.org/officeDocument/2006/relationships/ctrlProp" Target="../ctrlProps/ctrlProp63.xml"/><Relationship Id="rId28" Type="http://schemas.openxmlformats.org/officeDocument/2006/relationships/ctrlProp" Target="../ctrlProps/ctrlProp68.xml"/><Relationship Id="rId36" Type="http://schemas.openxmlformats.org/officeDocument/2006/relationships/ctrlProp" Target="../ctrlProps/ctrlProp76.xml"/><Relationship Id="rId10" Type="http://schemas.openxmlformats.org/officeDocument/2006/relationships/ctrlProp" Target="../ctrlProps/ctrlProp50.xml"/><Relationship Id="rId19" Type="http://schemas.openxmlformats.org/officeDocument/2006/relationships/ctrlProp" Target="../ctrlProps/ctrlProp59.xml"/><Relationship Id="rId31" Type="http://schemas.openxmlformats.org/officeDocument/2006/relationships/ctrlProp" Target="../ctrlProps/ctrlProp71.xml"/><Relationship Id="rId44" Type="http://schemas.openxmlformats.org/officeDocument/2006/relationships/ctrlProp" Target="../ctrlProps/ctrlProp84.xml"/><Relationship Id="rId4" Type="http://schemas.openxmlformats.org/officeDocument/2006/relationships/ctrlProp" Target="../ctrlProps/ctrlProp44.xml"/><Relationship Id="rId9" Type="http://schemas.openxmlformats.org/officeDocument/2006/relationships/ctrlProp" Target="../ctrlProps/ctrlProp49.xml"/><Relationship Id="rId14" Type="http://schemas.openxmlformats.org/officeDocument/2006/relationships/ctrlProp" Target="../ctrlProps/ctrlProp54.xml"/><Relationship Id="rId22" Type="http://schemas.openxmlformats.org/officeDocument/2006/relationships/ctrlProp" Target="../ctrlProps/ctrlProp62.xml"/><Relationship Id="rId27" Type="http://schemas.openxmlformats.org/officeDocument/2006/relationships/ctrlProp" Target="../ctrlProps/ctrlProp67.xml"/><Relationship Id="rId30" Type="http://schemas.openxmlformats.org/officeDocument/2006/relationships/ctrlProp" Target="../ctrlProps/ctrlProp70.xml"/><Relationship Id="rId35" Type="http://schemas.openxmlformats.org/officeDocument/2006/relationships/ctrlProp" Target="../ctrlProps/ctrlProp75.xml"/><Relationship Id="rId43" Type="http://schemas.openxmlformats.org/officeDocument/2006/relationships/ctrlProp" Target="../ctrlProps/ctrlProp83.xml"/><Relationship Id="rId8" Type="http://schemas.openxmlformats.org/officeDocument/2006/relationships/ctrlProp" Target="../ctrlProps/ctrlProp48.xml"/><Relationship Id="rId3" Type="http://schemas.openxmlformats.org/officeDocument/2006/relationships/vmlDrawing" Target="../drawings/vmlDrawing3.vml"/><Relationship Id="rId12" Type="http://schemas.openxmlformats.org/officeDocument/2006/relationships/ctrlProp" Target="../ctrlProps/ctrlProp52.xml"/><Relationship Id="rId17" Type="http://schemas.openxmlformats.org/officeDocument/2006/relationships/ctrlProp" Target="../ctrlProps/ctrlProp57.xml"/><Relationship Id="rId25" Type="http://schemas.openxmlformats.org/officeDocument/2006/relationships/ctrlProp" Target="../ctrlProps/ctrlProp65.xml"/><Relationship Id="rId33" Type="http://schemas.openxmlformats.org/officeDocument/2006/relationships/ctrlProp" Target="../ctrlProps/ctrlProp73.xml"/><Relationship Id="rId38" Type="http://schemas.openxmlformats.org/officeDocument/2006/relationships/ctrlProp" Target="../ctrlProps/ctrlProp78.xml"/><Relationship Id="rId46" Type="http://schemas.openxmlformats.org/officeDocument/2006/relationships/ctrlProp" Target="../ctrlProps/ctrlProp86.xml"/><Relationship Id="rId20" Type="http://schemas.openxmlformats.org/officeDocument/2006/relationships/ctrlProp" Target="../ctrlProps/ctrlProp60.xml"/><Relationship Id="rId41" Type="http://schemas.openxmlformats.org/officeDocument/2006/relationships/ctrlProp" Target="../ctrlProps/ctrlProp81.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96.xml"/><Relationship Id="rId18" Type="http://schemas.openxmlformats.org/officeDocument/2006/relationships/ctrlProp" Target="../ctrlProps/ctrlProp101.xml"/><Relationship Id="rId26" Type="http://schemas.openxmlformats.org/officeDocument/2006/relationships/ctrlProp" Target="../ctrlProps/ctrlProp109.xml"/><Relationship Id="rId39" Type="http://schemas.openxmlformats.org/officeDocument/2006/relationships/ctrlProp" Target="../ctrlProps/ctrlProp122.xml"/><Relationship Id="rId21" Type="http://schemas.openxmlformats.org/officeDocument/2006/relationships/ctrlProp" Target="../ctrlProps/ctrlProp104.xml"/><Relationship Id="rId34" Type="http://schemas.openxmlformats.org/officeDocument/2006/relationships/ctrlProp" Target="../ctrlProps/ctrlProp117.xml"/><Relationship Id="rId42" Type="http://schemas.openxmlformats.org/officeDocument/2006/relationships/ctrlProp" Target="../ctrlProps/ctrlProp125.xml"/><Relationship Id="rId7" Type="http://schemas.openxmlformats.org/officeDocument/2006/relationships/ctrlProp" Target="../ctrlProps/ctrlProp90.xml"/><Relationship Id="rId2" Type="http://schemas.openxmlformats.org/officeDocument/2006/relationships/drawing" Target="../drawings/drawing3.xml"/><Relationship Id="rId16" Type="http://schemas.openxmlformats.org/officeDocument/2006/relationships/ctrlProp" Target="../ctrlProps/ctrlProp99.xml"/><Relationship Id="rId29" Type="http://schemas.openxmlformats.org/officeDocument/2006/relationships/ctrlProp" Target="../ctrlProps/ctrlProp112.xml"/><Relationship Id="rId1" Type="http://schemas.openxmlformats.org/officeDocument/2006/relationships/printerSettings" Target="../printerSettings/printerSettings5.bin"/><Relationship Id="rId6" Type="http://schemas.openxmlformats.org/officeDocument/2006/relationships/ctrlProp" Target="../ctrlProps/ctrlProp89.xml"/><Relationship Id="rId11" Type="http://schemas.openxmlformats.org/officeDocument/2006/relationships/ctrlProp" Target="../ctrlProps/ctrlProp94.xml"/><Relationship Id="rId24" Type="http://schemas.openxmlformats.org/officeDocument/2006/relationships/ctrlProp" Target="../ctrlProps/ctrlProp107.xml"/><Relationship Id="rId32" Type="http://schemas.openxmlformats.org/officeDocument/2006/relationships/ctrlProp" Target="../ctrlProps/ctrlProp115.xml"/><Relationship Id="rId37" Type="http://schemas.openxmlformats.org/officeDocument/2006/relationships/ctrlProp" Target="../ctrlProps/ctrlProp120.xml"/><Relationship Id="rId40" Type="http://schemas.openxmlformats.org/officeDocument/2006/relationships/ctrlProp" Target="../ctrlProps/ctrlProp123.xml"/><Relationship Id="rId45" Type="http://schemas.openxmlformats.org/officeDocument/2006/relationships/ctrlProp" Target="../ctrlProps/ctrlProp128.xml"/><Relationship Id="rId5" Type="http://schemas.openxmlformats.org/officeDocument/2006/relationships/ctrlProp" Target="../ctrlProps/ctrlProp88.xml"/><Relationship Id="rId15" Type="http://schemas.openxmlformats.org/officeDocument/2006/relationships/ctrlProp" Target="../ctrlProps/ctrlProp98.xml"/><Relationship Id="rId23" Type="http://schemas.openxmlformats.org/officeDocument/2006/relationships/ctrlProp" Target="../ctrlProps/ctrlProp106.xml"/><Relationship Id="rId28" Type="http://schemas.openxmlformats.org/officeDocument/2006/relationships/ctrlProp" Target="../ctrlProps/ctrlProp111.xml"/><Relationship Id="rId36" Type="http://schemas.openxmlformats.org/officeDocument/2006/relationships/ctrlProp" Target="../ctrlProps/ctrlProp119.xml"/><Relationship Id="rId10" Type="http://schemas.openxmlformats.org/officeDocument/2006/relationships/ctrlProp" Target="../ctrlProps/ctrlProp93.xml"/><Relationship Id="rId19" Type="http://schemas.openxmlformats.org/officeDocument/2006/relationships/ctrlProp" Target="../ctrlProps/ctrlProp102.xml"/><Relationship Id="rId31" Type="http://schemas.openxmlformats.org/officeDocument/2006/relationships/ctrlProp" Target="../ctrlProps/ctrlProp114.xml"/><Relationship Id="rId44" Type="http://schemas.openxmlformats.org/officeDocument/2006/relationships/ctrlProp" Target="../ctrlProps/ctrlProp127.xml"/><Relationship Id="rId4" Type="http://schemas.openxmlformats.org/officeDocument/2006/relationships/ctrlProp" Target="../ctrlProps/ctrlProp87.xml"/><Relationship Id="rId9" Type="http://schemas.openxmlformats.org/officeDocument/2006/relationships/ctrlProp" Target="../ctrlProps/ctrlProp92.xml"/><Relationship Id="rId14" Type="http://schemas.openxmlformats.org/officeDocument/2006/relationships/ctrlProp" Target="../ctrlProps/ctrlProp97.xml"/><Relationship Id="rId22" Type="http://schemas.openxmlformats.org/officeDocument/2006/relationships/ctrlProp" Target="../ctrlProps/ctrlProp105.xml"/><Relationship Id="rId27" Type="http://schemas.openxmlformats.org/officeDocument/2006/relationships/ctrlProp" Target="../ctrlProps/ctrlProp110.xml"/><Relationship Id="rId30" Type="http://schemas.openxmlformats.org/officeDocument/2006/relationships/ctrlProp" Target="../ctrlProps/ctrlProp113.xml"/><Relationship Id="rId35" Type="http://schemas.openxmlformats.org/officeDocument/2006/relationships/ctrlProp" Target="../ctrlProps/ctrlProp118.xml"/><Relationship Id="rId43" Type="http://schemas.openxmlformats.org/officeDocument/2006/relationships/ctrlProp" Target="../ctrlProps/ctrlProp126.xml"/><Relationship Id="rId8" Type="http://schemas.openxmlformats.org/officeDocument/2006/relationships/ctrlProp" Target="../ctrlProps/ctrlProp91.xml"/><Relationship Id="rId3" Type="http://schemas.openxmlformats.org/officeDocument/2006/relationships/vmlDrawing" Target="../drawings/vmlDrawing4.vml"/><Relationship Id="rId12" Type="http://schemas.openxmlformats.org/officeDocument/2006/relationships/ctrlProp" Target="../ctrlProps/ctrlProp95.xml"/><Relationship Id="rId17" Type="http://schemas.openxmlformats.org/officeDocument/2006/relationships/ctrlProp" Target="../ctrlProps/ctrlProp100.xml"/><Relationship Id="rId25" Type="http://schemas.openxmlformats.org/officeDocument/2006/relationships/ctrlProp" Target="../ctrlProps/ctrlProp108.xml"/><Relationship Id="rId33" Type="http://schemas.openxmlformats.org/officeDocument/2006/relationships/ctrlProp" Target="../ctrlProps/ctrlProp116.xml"/><Relationship Id="rId38" Type="http://schemas.openxmlformats.org/officeDocument/2006/relationships/ctrlProp" Target="../ctrlProps/ctrlProp121.xml"/><Relationship Id="rId46" Type="http://schemas.openxmlformats.org/officeDocument/2006/relationships/ctrlProp" Target="../ctrlProps/ctrlProp129.xml"/><Relationship Id="rId20" Type="http://schemas.openxmlformats.org/officeDocument/2006/relationships/ctrlProp" Target="../ctrlProps/ctrlProp103.xml"/><Relationship Id="rId41" Type="http://schemas.openxmlformats.org/officeDocument/2006/relationships/ctrlProp" Target="../ctrlProps/ctrlProp124.xml"/></Relationships>
</file>

<file path=xl/worksheets/_rels/sheet7.xml.rels><?xml version="1.0" encoding="UTF-8" standalone="yes"?>
<Relationships xmlns="http://schemas.openxmlformats.org/package/2006/relationships"><Relationship Id="rId13" Type="http://schemas.openxmlformats.org/officeDocument/2006/relationships/ctrlProp" Target="../ctrlProps/ctrlProp139.xml"/><Relationship Id="rId18" Type="http://schemas.openxmlformats.org/officeDocument/2006/relationships/ctrlProp" Target="../ctrlProps/ctrlProp144.xml"/><Relationship Id="rId26" Type="http://schemas.openxmlformats.org/officeDocument/2006/relationships/ctrlProp" Target="../ctrlProps/ctrlProp152.xml"/><Relationship Id="rId39" Type="http://schemas.openxmlformats.org/officeDocument/2006/relationships/ctrlProp" Target="../ctrlProps/ctrlProp165.xml"/><Relationship Id="rId21" Type="http://schemas.openxmlformats.org/officeDocument/2006/relationships/ctrlProp" Target="../ctrlProps/ctrlProp147.xml"/><Relationship Id="rId34" Type="http://schemas.openxmlformats.org/officeDocument/2006/relationships/ctrlProp" Target="../ctrlProps/ctrlProp160.xml"/><Relationship Id="rId42" Type="http://schemas.openxmlformats.org/officeDocument/2006/relationships/ctrlProp" Target="../ctrlProps/ctrlProp168.xml"/><Relationship Id="rId7" Type="http://schemas.openxmlformats.org/officeDocument/2006/relationships/ctrlProp" Target="../ctrlProps/ctrlProp133.xml"/><Relationship Id="rId2" Type="http://schemas.openxmlformats.org/officeDocument/2006/relationships/drawing" Target="../drawings/drawing4.xml"/><Relationship Id="rId16" Type="http://schemas.openxmlformats.org/officeDocument/2006/relationships/ctrlProp" Target="../ctrlProps/ctrlProp142.xml"/><Relationship Id="rId29" Type="http://schemas.openxmlformats.org/officeDocument/2006/relationships/ctrlProp" Target="../ctrlProps/ctrlProp155.xml"/><Relationship Id="rId1" Type="http://schemas.openxmlformats.org/officeDocument/2006/relationships/printerSettings" Target="../printerSettings/printerSettings6.bin"/><Relationship Id="rId6" Type="http://schemas.openxmlformats.org/officeDocument/2006/relationships/ctrlProp" Target="../ctrlProps/ctrlProp132.xml"/><Relationship Id="rId11" Type="http://schemas.openxmlformats.org/officeDocument/2006/relationships/ctrlProp" Target="../ctrlProps/ctrlProp137.xml"/><Relationship Id="rId24" Type="http://schemas.openxmlformats.org/officeDocument/2006/relationships/ctrlProp" Target="../ctrlProps/ctrlProp150.xml"/><Relationship Id="rId32" Type="http://schemas.openxmlformats.org/officeDocument/2006/relationships/ctrlProp" Target="../ctrlProps/ctrlProp158.xml"/><Relationship Id="rId37" Type="http://schemas.openxmlformats.org/officeDocument/2006/relationships/ctrlProp" Target="../ctrlProps/ctrlProp163.xml"/><Relationship Id="rId40" Type="http://schemas.openxmlformats.org/officeDocument/2006/relationships/ctrlProp" Target="../ctrlProps/ctrlProp166.xml"/><Relationship Id="rId45" Type="http://schemas.openxmlformats.org/officeDocument/2006/relationships/ctrlProp" Target="../ctrlProps/ctrlProp171.xml"/><Relationship Id="rId5" Type="http://schemas.openxmlformats.org/officeDocument/2006/relationships/ctrlProp" Target="../ctrlProps/ctrlProp131.xml"/><Relationship Id="rId15" Type="http://schemas.openxmlformats.org/officeDocument/2006/relationships/ctrlProp" Target="../ctrlProps/ctrlProp141.xml"/><Relationship Id="rId23" Type="http://schemas.openxmlformats.org/officeDocument/2006/relationships/ctrlProp" Target="../ctrlProps/ctrlProp149.xml"/><Relationship Id="rId28" Type="http://schemas.openxmlformats.org/officeDocument/2006/relationships/ctrlProp" Target="../ctrlProps/ctrlProp154.xml"/><Relationship Id="rId36" Type="http://schemas.openxmlformats.org/officeDocument/2006/relationships/ctrlProp" Target="../ctrlProps/ctrlProp162.xml"/><Relationship Id="rId10" Type="http://schemas.openxmlformats.org/officeDocument/2006/relationships/ctrlProp" Target="../ctrlProps/ctrlProp136.xml"/><Relationship Id="rId19" Type="http://schemas.openxmlformats.org/officeDocument/2006/relationships/ctrlProp" Target="../ctrlProps/ctrlProp145.xml"/><Relationship Id="rId31" Type="http://schemas.openxmlformats.org/officeDocument/2006/relationships/ctrlProp" Target="../ctrlProps/ctrlProp157.xml"/><Relationship Id="rId44" Type="http://schemas.openxmlformats.org/officeDocument/2006/relationships/ctrlProp" Target="../ctrlProps/ctrlProp170.xml"/><Relationship Id="rId4" Type="http://schemas.openxmlformats.org/officeDocument/2006/relationships/ctrlProp" Target="../ctrlProps/ctrlProp130.xml"/><Relationship Id="rId9" Type="http://schemas.openxmlformats.org/officeDocument/2006/relationships/ctrlProp" Target="../ctrlProps/ctrlProp135.xml"/><Relationship Id="rId14" Type="http://schemas.openxmlformats.org/officeDocument/2006/relationships/ctrlProp" Target="../ctrlProps/ctrlProp140.xml"/><Relationship Id="rId22" Type="http://schemas.openxmlformats.org/officeDocument/2006/relationships/ctrlProp" Target="../ctrlProps/ctrlProp148.xml"/><Relationship Id="rId27" Type="http://schemas.openxmlformats.org/officeDocument/2006/relationships/ctrlProp" Target="../ctrlProps/ctrlProp153.xml"/><Relationship Id="rId30" Type="http://schemas.openxmlformats.org/officeDocument/2006/relationships/ctrlProp" Target="../ctrlProps/ctrlProp156.xml"/><Relationship Id="rId35" Type="http://schemas.openxmlformats.org/officeDocument/2006/relationships/ctrlProp" Target="../ctrlProps/ctrlProp161.xml"/><Relationship Id="rId43" Type="http://schemas.openxmlformats.org/officeDocument/2006/relationships/ctrlProp" Target="../ctrlProps/ctrlProp169.xml"/><Relationship Id="rId8" Type="http://schemas.openxmlformats.org/officeDocument/2006/relationships/ctrlProp" Target="../ctrlProps/ctrlProp134.xml"/><Relationship Id="rId3" Type="http://schemas.openxmlformats.org/officeDocument/2006/relationships/vmlDrawing" Target="../drawings/vmlDrawing5.vml"/><Relationship Id="rId12" Type="http://schemas.openxmlformats.org/officeDocument/2006/relationships/ctrlProp" Target="../ctrlProps/ctrlProp138.xml"/><Relationship Id="rId17" Type="http://schemas.openxmlformats.org/officeDocument/2006/relationships/ctrlProp" Target="../ctrlProps/ctrlProp143.xml"/><Relationship Id="rId25" Type="http://schemas.openxmlformats.org/officeDocument/2006/relationships/ctrlProp" Target="../ctrlProps/ctrlProp151.xml"/><Relationship Id="rId33" Type="http://schemas.openxmlformats.org/officeDocument/2006/relationships/ctrlProp" Target="../ctrlProps/ctrlProp159.xml"/><Relationship Id="rId38" Type="http://schemas.openxmlformats.org/officeDocument/2006/relationships/ctrlProp" Target="../ctrlProps/ctrlProp164.xml"/><Relationship Id="rId46" Type="http://schemas.openxmlformats.org/officeDocument/2006/relationships/ctrlProp" Target="../ctrlProps/ctrlProp172.xml"/><Relationship Id="rId20" Type="http://schemas.openxmlformats.org/officeDocument/2006/relationships/ctrlProp" Target="../ctrlProps/ctrlProp146.xml"/><Relationship Id="rId41" Type="http://schemas.openxmlformats.org/officeDocument/2006/relationships/ctrlProp" Target="../ctrlProps/ctrlProp167.xml"/></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182.xml"/><Relationship Id="rId18" Type="http://schemas.openxmlformats.org/officeDocument/2006/relationships/ctrlProp" Target="../ctrlProps/ctrlProp187.xml"/><Relationship Id="rId26" Type="http://schemas.openxmlformats.org/officeDocument/2006/relationships/ctrlProp" Target="../ctrlProps/ctrlProp195.xml"/><Relationship Id="rId39" Type="http://schemas.openxmlformats.org/officeDocument/2006/relationships/ctrlProp" Target="../ctrlProps/ctrlProp208.xml"/><Relationship Id="rId21" Type="http://schemas.openxmlformats.org/officeDocument/2006/relationships/ctrlProp" Target="../ctrlProps/ctrlProp190.xml"/><Relationship Id="rId34" Type="http://schemas.openxmlformats.org/officeDocument/2006/relationships/ctrlProp" Target="../ctrlProps/ctrlProp203.xml"/><Relationship Id="rId42" Type="http://schemas.openxmlformats.org/officeDocument/2006/relationships/ctrlProp" Target="../ctrlProps/ctrlProp211.xml"/><Relationship Id="rId7" Type="http://schemas.openxmlformats.org/officeDocument/2006/relationships/ctrlProp" Target="../ctrlProps/ctrlProp176.xml"/><Relationship Id="rId2" Type="http://schemas.openxmlformats.org/officeDocument/2006/relationships/drawing" Target="../drawings/drawing5.xml"/><Relationship Id="rId16" Type="http://schemas.openxmlformats.org/officeDocument/2006/relationships/ctrlProp" Target="../ctrlProps/ctrlProp185.xml"/><Relationship Id="rId29" Type="http://schemas.openxmlformats.org/officeDocument/2006/relationships/ctrlProp" Target="../ctrlProps/ctrlProp198.xml"/><Relationship Id="rId1" Type="http://schemas.openxmlformats.org/officeDocument/2006/relationships/printerSettings" Target="../printerSettings/printerSettings7.bin"/><Relationship Id="rId6" Type="http://schemas.openxmlformats.org/officeDocument/2006/relationships/ctrlProp" Target="../ctrlProps/ctrlProp175.xml"/><Relationship Id="rId11" Type="http://schemas.openxmlformats.org/officeDocument/2006/relationships/ctrlProp" Target="../ctrlProps/ctrlProp180.xml"/><Relationship Id="rId24" Type="http://schemas.openxmlformats.org/officeDocument/2006/relationships/ctrlProp" Target="../ctrlProps/ctrlProp193.xml"/><Relationship Id="rId32" Type="http://schemas.openxmlformats.org/officeDocument/2006/relationships/ctrlProp" Target="../ctrlProps/ctrlProp201.xml"/><Relationship Id="rId37" Type="http://schemas.openxmlformats.org/officeDocument/2006/relationships/ctrlProp" Target="../ctrlProps/ctrlProp206.xml"/><Relationship Id="rId40" Type="http://schemas.openxmlformats.org/officeDocument/2006/relationships/ctrlProp" Target="../ctrlProps/ctrlProp209.xml"/><Relationship Id="rId45" Type="http://schemas.openxmlformats.org/officeDocument/2006/relationships/ctrlProp" Target="../ctrlProps/ctrlProp214.xml"/><Relationship Id="rId5" Type="http://schemas.openxmlformats.org/officeDocument/2006/relationships/ctrlProp" Target="../ctrlProps/ctrlProp174.xml"/><Relationship Id="rId15" Type="http://schemas.openxmlformats.org/officeDocument/2006/relationships/ctrlProp" Target="../ctrlProps/ctrlProp184.xml"/><Relationship Id="rId23" Type="http://schemas.openxmlformats.org/officeDocument/2006/relationships/ctrlProp" Target="../ctrlProps/ctrlProp192.xml"/><Relationship Id="rId28" Type="http://schemas.openxmlformats.org/officeDocument/2006/relationships/ctrlProp" Target="../ctrlProps/ctrlProp197.xml"/><Relationship Id="rId36" Type="http://schemas.openxmlformats.org/officeDocument/2006/relationships/ctrlProp" Target="../ctrlProps/ctrlProp205.xml"/><Relationship Id="rId10" Type="http://schemas.openxmlformats.org/officeDocument/2006/relationships/ctrlProp" Target="../ctrlProps/ctrlProp179.xml"/><Relationship Id="rId19" Type="http://schemas.openxmlformats.org/officeDocument/2006/relationships/ctrlProp" Target="../ctrlProps/ctrlProp188.xml"/><Relationship Id="rId31" Type="http://schemas.openxmlformats.org/officeDocument/2006/relationships/ctrlProp" Target="../ctrlProps/ctrlProp200.xml"/><Relationship Id="rId44" Type="http://schemas.openxmlformats.org/officeDocument/2006/relationships/ctrlProp" Target="../ctrlProps/ctrlProp213.xml"/><Relationship Id="rId4" Type="http://schemas.openxmlformats.org/officeDocument/2006/relationships/ctrlProp" Target="../ctrlProps/ctrlProp173.xml"/><Relationship Id="rId9" Type="http://schemas.openxmlformats.org/officeDocument/2006/relationships/ctrlProp" Target="../ctrlProps/ctrlProp178.xml"/><Relationship Id="rId14" Type="http://schemas.openxmlformats.org/officeDocument/2006/relationships/ctrlProp" Target="../ctrlProps/ctrlProp183.xml"/><Relationship Id="rId22" Type="http://schemas.openxmlformats.org/officeDocument/2006/relationships/ctrlProp" Target="../ctrlProps/ctrlProp191.xml"/><Relationship Id="rId27" Type="http://schemas.openxmlformats.org/officeDocument/2006/relationships/ctrlProp" Target="../ctrlProps/ctrlProp196.xml"/><Relationship Id="rId30" Type="http://schemas.openxmlformats.org/officeDocument/2006/relationships/ctrlProp" Target="../ctrlProps/ctrlProp199.xml"/><Relationship Id="rId35" Type="http://schemas.openxmlformats.org/officeDocument/2006/relationships/ctrlProp" Target="../ctrlProps/ctrlProp204.xml"/><Relationship Id="rId43" Type="http://schemas.openxmlformats.org/officeDocument/2006/relationships/ctrlProp" Target="../ctrlProps/ctrlProp212.xml"/><Relationship Id="rId8" Type="http://schemas.openxmlformats.org/officeDocument/2006/relationships/ctrlProp" Target="../ctrlProps/ctrlProp177.xml"/><Relationship Id="rId3" Type="http://schemas.openxmlformats.org/officeDocument/2006/relationships/vmlDrawing" Target="../drawings/vmlDrawing6.vml"/><Relationship Id="rId12" Type="http://schemas.openxmlformats.org/officeDocument/2006/relationships/ctrlProp" Target="../ctrlProps/ctrlProp181.xml"/><Relationship Id="rId17" Type="http://schemas.openxmlformats.org/officeDocument/2006/relationships/ctrlProp" Target="../ctrlProps/ctrlProp186.xml"/><Relationship Id="rId25" Type="http://schemas.openxmlformats.org/officeDocument/2006/relationships/ctrlProp" Target="../ctrlProps/ctrlProp194.xml"/><Relationship Id="rId33" Type="http://schemas.openxmlformats.org/officeDocument/2006/relationships/ctrlProp" Target="../ctrlProps/ctrlProp202.xml"/><Relationship Id="rId38" Type="http://schemas.openxmlformats.org/officeDocument/2006/relationships/ctrlProp" Target="../ctrlProps/ctrlProp207.xml"/><Relationship Id="rId46" Type="http://schemas.openxmlformats.org/officeDocument/2006/relationships/ctrlProp" Target="../ctrlProps/ctrlProp215.xml"/><Relationship Id="rId20" Type="http://schemas.openxmlformats.org/officeDocument/2006/relationships/ctrlProp" Target="../ctrlProps/ctrlProp189.xml"/><Relationship Id="rId41" Type="http://schemas.openxmlformats.org/officeDocument/2006/relationships/ctrlProp" Target="../ctrlProps/ctrlProp210.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13" Type="http://schemas.openxmlformats.org/officeDocument/2006/relationships/ctrlProp" Target="../ctrlProps/ctrlProp225.xml"/><Relationship Id="rId18" Type="http://schemas.openxmlformats.org/officeDocument/2006/relationships/ctrlProp" Target="../ctrlProps/ctrlProp230.xml"/><Relationship Id="rId26" Type="http://schemas.openxmlformats.org/officeDocument/2006/relationships/ctrlProp" Target="../ctrlProps/ctrlProp238.xml"/><Relationship Id="rId39" Type="http://schemas.openxmlformats.org/officeDocument/2006/relationships/ctrlProp" Target="../ctrlProps/ctrlProp251.xml"/><Relationship Id="rId21" Type="http://schemas.openxmlformats.org/officeDocument/2006/relationships/ctrlProp" Target="../ctrlProps/ctrlProp233.xml"/><Relationship Id="rId34" Type="http://schemas.openxmlformats.org/officeDocument/2006/relationships/ctrlProp" Target="../ctrlProps/ctrlProp246.xml"/><Relationship Id="rId42" Type="http://schemas.openxmlformats.org/officeDocument/2006/relationships/ctrlProp" Target="../ctrlProps/ctrlProp254.xml"/><Relationship Id="rId7" Type="http://schemas.openxmlformats.org/officeDocument/2006/relationships/ctrlProp" Target="../ctrlProps/ctrlProp219.xml"/><Relationship Id="rId2" Type="http://schemas.openxmlformats.org/officeDocument/2006/relationships/drawing" Target="../drawings/drawing6.xml"/><Relationship Id="rId16" Type="http://schemas.openxmlformats.org/officeDocument/2006/relationships/ctrlProp" Target="../ctrlProps/ctrlProp228.xml"/><Relationship Id="rId29" Type="http://schemas.openxmlformats.org/officeDocument/2006/relationships/ctrlProp" Target="../ctrlProps/ctrlProp241.xml"/><Relationship Id="rId1" Type="http://schemas.openxmlformats.org/officeDocument/2006/relationships/printerSettings" Target="../printerSettings/printerSettings11.bin"/><Relationship Id="rId6" Type="http://schemas.openxmlformats.org/officeDocument/2006/relationships/ctrlProp" Target="../ctrlProps/ctrlProp218.xml"/><Relationship Id="rId11" Type="http://schemas.openxmlformats.org/officeDocument/2006/relationships/ctrlProp" Target="../ctrlProps/ctrlProp223.xml"/><Relationship Id="rId24" Type="http://schemas.openxmlformats.org/officeDocument/2006/relationships/ctrlProp" Target="../ctrlProps/ctrlProp236.xml"/><Relationship Id="rId32" Type="http://schemas.openxmlformats.org/officeDocument/2006/relationships/ctrlProp" Target="../ctrlProps/ctrlProp244.xml"/><Relationship Id="rId37" Type="http://schemas.openxmlformats.org/officeDocument/2006/relationships/ctrlProp" Target="../ctrlProps/ctrlProp249.xml"/><Relationship Id="rId40" Type="http://schemas.openxmlformats.org/officeDocument/2006/relationships/ctrlProp" Target="../ctrlProps/ctrlProp252.xml"/><Relationship Id="rId45" Type="http://schemas.openxmlformats.org/officeDocument/2006/relationships/ctrlProp" Target="../ctrlProps/ctrlProp257.xml"/><Relationship Id="rId5" Type="http://schemas.openxmlformats.org/officeDocument/2006/relationships/ctrlProp" Target="../ctrlProps/ctrlProp217.xml"/><Relationship Id="rId15" Type="http://schemas.openxmlformats.org/officeDocument/2006/relationships/ctrlProp" Target="../ctrlProps/ctrlProp227.xml"/><Relationship Id="rId23" Type="http://schemas.openxmlformats.org/officeDocument/2006/relationships/ctrlProp" Target="../ctrlProps/ctrlProp235.xml"/><Relationship Id="rId28" Type="http://schemas.openxmlformats.org/officeDocument/2006/relationships/ctrlProp" Target="../ctrlProps/ctrlProp240.xml"/><Relationship Id="rId36" Type="http://schemas.openxmlformats.org/officeDocument/2006/relationships/ctrlProp" Target="../ctrlProps/ctrlProp248.xml"/><Relationship Id="rId10" Type="http://schemas.openxmlformats.org/officeDocument/2006/relationships/ctrlProp" Target="../ctrlProps/ctrlProp222.xml"/><Relationship Id="rId19" Type="http://schemas.openxmlformats.org/officeDocument/2006/relationships/ctrlProp" Target="../ctrlProps/ctrlProp231.xml"/><Relationship Id="rId31" Type="http://schemas.openxmlformats.org/officeDocument/2006/relationships/ctrlProp" Target="../ctrlProps/ctrlProp243.xml"/><Relationship Id="rId44" Type="http://schemas.openxmlformats.org/officeDocument/2006/relationships/ctrlProp" Target="../ctrlProps/ctrlProp256.xml"/><Relationship Id="rId4" Type="http://schemas.openxmlformats.org/officeDocument/2006/relationships/ctrlProp" Target="../ctrlProps/ctrlProp216.xml"/><Relationship Id="rId9" Type="http://schemas.openxmlformats.org/officeDocument/2006/relationships/ctrlProp" Target="../ctrlProps/ctrlProp221.xml"/><Relationship Id="rId14" Type="http://schemas.openxmlformats.org/officeDocument/2006/relationships/ctrlProp" Target="../ctrlProps/ctrlProp226.xml"/><Relationship Id="rId22" Type="http://schemas.openxmlformats.org/officeDocument/2006/relationships/ctrlProp" Target="../ctrlProps/ctrlProp234.xml"/><Relationship Id="rId27" Type="http://schemas.openxmlformats.org/officeDocument/2006/relationships/ctrlProp" Target="../ctrlProps/ctrlProp239.xml"/><Relationship Id="rId30" Type="http://schemas.openxmlformats.org/officeDocument/2006/relationships/ctrlProp" Target="../ctrlProps/ctrlProp242.xml"/><Relationship Id="rId35" Type="http://schemas.openxmlformats.org/officeDocument/2006/relationships/ctrlProp" Target="../ctrlProps/ctrlProp247.xml"/><Relationship Id="rId43" Type="http://schemas.openxmlformats.org/officeDocument/2006/relationships/ctrlProp" Target="../ctrlProps/ctrlProp255.xml"/><Relationship Id="rId8" Type="http://schemas.openxmlformats.org/officeDocument/2006/relationships/ctrlProp" Target="../ctrlProps/ctrlProp220.xml"/><Relationship Id="rId3" Type="http://schemas.openxmlformats.org/officeDocument/2006/relationships/vmlDrawing" Target="../drawings/vmlDrawing9.vml"/><Relationship Id="rId12" Type="http://schemas.openxmlformats.org/officeDocument/2006/relationships/ctrlProp" Target="../ctrlProps/ctrlProp224.xml"/><Relationship Id="rId17" Type="http://schemas.openxmlformats.org/officeDocument/2006/relationships/ctrlProp" Target="../ctrlProps/ctrlProp229.xml"/><Relationship Id="rId25" Type="http://schemas.openxmlformats.org/officeDocument/2006/relationships/ctrlProp" Target="../ctrlProps/ctrlProp237.xml"/><Relationship Id="rId33" Type="http://schemas.openxmlformats.org/officeDocument/2006/relationships/ctrlProp" Target="../ctrlProps/ctrlProp245.xml"/><Relationship Id="rId38" Type="http://schemas.openxmlformats.org/officeDocument/2006/relationships/ctrlProp" Target="../ctrlProps/ctrlProp250.xml"/><Relationship Id="rId20" Type="http://schemas.openxmlformats.org/officeDocument/2006/relationships/ctrlProp" Target="../ctrlProps/ctrlProp232.xml"/><Relationship Id="rId41" Type="http://schemas.openxmlformats.org/officeDocument/2006/relationships/ctrlProp" Target="../ctrlProps/ctrlProp25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3.bin"/><Relationship Id="rId1" Type="http://schemas.openxmlformats.org/officeDocument/2006/relationships/pivotTable" Target="../pivotTables/pivotTable7.xml"/><Relationship Id="rId4" Type="http://schemas.microsoft.com/office/2007/relationships/slicer" Target="../slicers/slicer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A69B-D4AE-4143-B31D-DE4FB221A97B}">
  <sheetPr>
    <tabColor theme="1"/>
    <pageSetUpPr fitToPage="1"/>
  </sheetPr>
  <dimension ref="A1:BL60"/>
  <sheetViews>
    <sheetView showGridLines="0" zoomScale="85" zoomScaleNormal="85" workbookViewId="0">
      <pane xSplit="7" ySplit="6" topLeftCell="AZ7" activePane="bottomRight" state="frozen"/>
      <selection pane="topRight" activeCell="F1" sqref="F1"/>
      <selection pane="bottomLeft" activeCell="A7" sqref="A7"/>
      <selection pane="bottomRight" activeCell="BH23" sqref="BH23:BI23"/>
    </sheetView>
  </sheetViews>
  <sheetFormatPr defaultColWidth="9.296875" defaultRowHeight="14.25" customHeight="1" outlineLevelCol="1" x14ac:dyDescent="0.2"/>
  <cols>
    <col min="1" max="1" width="2.09765625" hidden="1" customWidth="1" outlineLevel="1"/>
    <col min="2" max="2" width="17" style="229" hidden="1" customWidth="1" outlineLevel="1"/>
    <col min="3" max="3" width="8.09765625" style="229" hidden="1" customWidth="1" outlineLevel="1"/>
    <col min="4" max="4" width="7.796875" hidden="1" customWidth="1" outlineLevel="1"/>
    <col min="5" max="5" width="7.3984375" hidden="1" customWidth="1" outlineLevel="1"/>
    <col min="6" max="6" width="0.796875" hidden="1" customWidth="1" collapsed="1"/>
    <col min="7" max="7" width="37.796875" bestFit="1" customWidth="1"/>
    <col min="8" max="8" width="1.19921875" customWidth="1"/>
    <col min="9" max="14" width="9.296875" customWidth="1" outlineLevel="1"/>
    <col min="15" max="15" width="1.69921875" customWidth="1"/>
    <col min="16" max="17" width="9.296875" customWidth="1" outlineLevel="1"/>
    <col min="18" max="18" width="1.69921875" customWidth="1"/>
    <col min="19" max="20" width="9.296875" customWidth="1" outlineLevel="1"/>
    <col min="21" max="21" width="0.8984375" customWidth="1"/>
    <col min="22" max="22" width="14.09765625" customWidth="1"/>
    <col min="24" max="24" width="10.59765625" bestFit="1" customWidth="1"/>
    <col min="26" max="26" width="0.8984375" customWidth="1"/>
    <col min="27" max="27" width="20.09765625" customWidth="1"/>
    <col min="28" max="28" width="10.59765625" bestFit="1" customWidth="1"/>
    <col min="30" max="30" width="0.8984375" customWidth="1"/>
    <col min="31" max="31" width="14.796875" style="319" bestFit="1" customWidth="1"/>
    <col min="32" max="32" width="8.296875" style="319" bestFit="1" customWidth="1"/>
    <col min="33" max="33" width="11.69921875" style="319" bestFit="1" customWidth="1"/>
    <col min="34" max="34" width="42.296875" style="319" bestFit="1" customWidth="1"/>
    <col min="35" max="35" width="29.8984375" style="319" bestFit="1" customWidth="1"/>
    <col min="36" max="36" width="9.59765625" style="319" bestFit="1" customWidth="1"/>
    <col min="37" max="37" width="51.3984375" style="319" bestFit="1" customWidth="1"/>
    <col min="38" max="38" width="22.3984375" style="319" bestFit="1" customWidth="1"/>
    <col min="39" max="39" width="21.19921875" style="319" bestFit="1" customWidth="1"/>
    <col min="40" max="40" width="5.8984375" style="373" bestFit="1" customWidth="1"/>
    <col min="41" max="41" width="4.5" style="319" bestFit="1" customWidth="1"/>
    <col min="42" max="42" width="7.796875" style="319" bestFit="1" customWidth="1"/>
    <col min="43" max="43" width="14" style="321" bestFit="1" customWidth="1"/>
    <col min="44" max="45" width="11.8984375" style="319" bestFit="1" customWidth="1"/>
    <col min="46" max="46" width="15.69921875" style="337" bestFit="1" customWidth="1"/>
    <col min="47" max="47" width="13.19921875" style="319" bestFit="1" customWidth="1"/>
    <col min="48" max="48" width="7.3984375" style="319" bestFit="1" customWidth="1"/>
    <col min="49" max="49" width="14.69921875" style="340" bestFit="1" customWidth="1"/>
    <col min="50" max="50" width="13.3984375" style="340" bestFit="1" customWidth="1"/>
    <col min="51" max="51" width="11.8984375" style="344" bestFit="1" customWidth="1"/>
    <col min="52" max="52" width="15.796875" style="321" bestFit="1" customWidth="1"/>
    <col min="53" max="53" width="1.69921875" customWidth="1"/>
    <col min="54" max="54" width="10.296875" bestFit="1" customWidth="1"/>
    <col min="55" max="55" width="14.5" customWidth="1"/>
    <col min="56" max="56" width="13.19921875" customWidth="1"/>
    <col min="57" max="57" width="15.09765625" bestFit="1" customWidth="1"/>
    <col min="58" max="58" width="15" bestFit="1" customWidth="1"/>
    <col min="59" max="59" width="5.8984375" bestFit="1" customWidth="1"/>
    <col min="60" max="60" width="23.5" bestFit="1" customWidth="1"/>
    <col min="61" max="61" width="13.796875" bestFit="1" customWidth="1"/>
    <col min="62" max="62" width="11.296875" bestFit="1" customWidth="1"/>
    <col min="63" max="63" width="12.09765625" bestFit="1" customWidth="1"/>
    <col min="64" max="64" width="0.8984375" customWidth="1"/>
  </cols>
  <sheetData>
    <row r="1" spans="1:64" ht="45" customHeight="1" x14ac:dyDescent="0.2">
      <c r="A1" s="84"/>
      <c r="B1" s="226"/>
      <c r="C1" s="226"/>
      <c r="D1" s="84"/>
      <c r="E1" s="84"/>
      <c r="F1" s="84"/>
      <c r="G1" s="292" t="s">
        <v>0</v>
      </c>
      <c r="H1" s="84"/>
      <c r="I1" s="462"/>
      <c r="J1" s="463"/>
      <c r="K1" s="463"/>
      <c r="L1" s="463"/>
      <c r="M1" s="463"/>
      <c r="N1" s="464"/>
      <c r="O1" s="288"/>
      <c r="P1" s="410"/>
      <c r="Q1" s="411"/>
      <c r="R1" s="328"/>
      <c r="S1" s="410"/>
      <c r="T1" s="411"/>
      <c r="U1" s="84"/>
      <c r="Z1" s="84"/>
      <c r="AA1" s="412"/>
      <c r="AB1" s="412"/>
      <c r="AC1" s="412"/>
      <c r="AD1" s="84"/>
      <c r="AE1" s="412" t="s">
        <v>1</v>
      </c>
      <c r="AF1" s="412" t="s">
        <v>2</v>
      </c>
      <c r="AG1" s="412" t="s">
        <v>3</v>
      </c>
      <c r="AH1" s="412" t="s">
        <v>4</v>
      </c>
      <c r="AI1" s="412" t="s">
        <v>5</v>
      </c>
      <c r="AJ1" s="412" t="s">
        <v>6</v>
      </c>
      <c r="AK1" s="412" t="s">
        <v>7</v>
      </c>
      <c r="AL1" s="412" t="s">
        <v>8</v>
      </c>
      <c r="AM1" s="412" t="s">
        <v>9</v>
      </c>
      <c r="AN1" s="412" t="s">
        <v>10</v>
      </c>
      <c r="AO1" s="412"/>
      <c r="AP1" s="412" t="s">
        <v>11</v>
      </c>
      <c r="AQ1" s="413" t="s">
        <v>12</v>
      </c>
      <c r="AR1" s="413" t="s">
        <v>13</v>
      </c>
      <c r="AS1" s="413" t="s">
        <v>14</v>
      </c>
      <c r="AT1" s="406" t="s">
        <v>15</v>
      </c>
      <c r="AU1" s="406"/>
      <c r="AV1" s="406"/>
      <c r="AW1" s="406"/>
      <c r="AX1" s="406"/>
      <c r="AY1" s="406"/>
      <c r="AZ1" s="406"/>
      <c r="BA1" s="288"/>
      <c r="BB1" s="419"/>
      <c r="BC1" s="420"/>
      <c r="BD1" s="420"/>
      <c r="BE1" s="420"/>
      <c r="BF1" s="420"/>
      <c r="BG1" s="420"/>
      <c r="BH1" s="420"/>
      <c r="BI1" s="420"/>
      <c r="BJ1" s="420"/>
      <c r="BK1" s="421"/>
      <c r="BL1" s="84"/>
    </row>
    <row r="2" spans="1:64" ht="15" thickBot="1" x14ac:dyDescent="0.25">
      <c r="A2" s="84"/>
      <c r="B2" s="391" t="s">
        <v>16</v>
      </c>
      <c r="C2" s="391"/>
      <c r="D2" s="392"/>
      <c r="E2" s="84"/>
      <c r="F2" s="84"/>
      <c r="G2" s="397" t="s">
        <v>17</v>
      </c>
      <c r="H2" s="84"/>
      <c r="I2" s="400"/>
      <c r="J2" s="400"/>
      <c r="K2" s="400"/>
      <c r="L2" s="400"/>
      <c r="M2" s="400"/>
      <c r="N2" s="339"/>
      <c r="O2" s="131"/>
      <c r="P2" s="401"/>
      <c r="Q2" s="402"/>
      <c r="R2" s="402"/>
      <c r="S2" s="400"/>
      <c r="T2" s="400"/>
      <c r="U2" s="84"/>
      <c r="Z2" s="84"/>
      <c r="AA2" s="412"/>
      <c r="AB2" s="412"/>
      <c r="AC2" s="412"/>
      <c r="AD2" s="84"/>
      <c r="AE2" s="412"/>
      <c r="AF2" s="412"/>
      <c r="AG2" s="412"/>
      <c r="AH2" s="412"/>
      <c r="AI2" s="412"/>
      <c r="AJ2" s="412"/>
      <c r="AK2" s="412"/>
      <c r="AL2" s="412"/>
      <c r="AM2" s="412"/>
      <c r="AN2" s="412"/>
      <c r="AO2" s="412"/>
      <c r="AP2" s="412"/>
      <c r="AQ2" s="413"/>
      <c r="AR2" s="413"/>
      <c r="AS2" s="413"/>
      <c r="AT2" s="406"/>
      <c r="AU2" s="406"/>
      <c r="AV2" s="406"/>
      <c r="AW2" s="406"/>
      <c r="AX2" s="406"/>
      <c r="AY2" s="406"/>
      <c r="AZ2" s="406"/>
      <c r="BA2" s="84"/>
      <c r="BB2" s="4"/>
      <c r="BC2" s="4"/>
      <c r="BD2" s="4"/>
      <c r="BE2" s="4"/>
      <c r="BF2" s="4"/>
      <c r="BG2" s="4"/>
      <c r="BH2" s="4"/>
      <c r="BI2" s="4"/>
      <c r="BJ2" s="4"/>
      <c r="BK2" s="4"/>
      <c r="BL2" s="84"/>
    </row>
    <row r="3" spans="1:64" ht="15" customHeight="1" thickBot="1" x14ac:dyDescent="0.25">
      <c r="A3" s="84"/>
      <c r="B3" s="393"/>
      <c r="C3" s="393"/>
      <c r="D3" s="394"/>
      <c r="E3" s="84"/>
      <c r="F3" s="84"/>
      <c r="G3" s="398"/>
      <c r="H3" s="84"/>
      <c r="I3" s="408" t="s">
        <v>18</v>
      </c>
      <c r="J3" s="409"/>
      <c r="K3" s="409"/>
      <c r="L3" s="409"/>
      <c r="M3" s="409"/>
      <c r="N3" s="409"/>
      <c r="O3" s="131"/>
      <c r="P3" s="467" t="s">
        <v>19</v>
      </c>
      <c r="Q3" s="468"/>
      <c r="R3" s="468"/>
      <c r="S3" s="465" t="s">
        <v>20</v>
      </c>
      <c r="T3" s="466"/>
      <c r="U3" s="84"/>
      <c r="Z3" s="84"/>
      <c r="AA3" s="412"/>
      <c r="AB3" s="412"/>
      <c r="AC3" s="412"/>
      <c r="AD3" s="84"/>
      <c r="AE3" s="412"/>
      <c r="AF3" s="412"/>
      <c r="AG3" s="412"/>
      <c r="AH3" s="412"/>
      <c r="AI3" s="412"/>
      <c r="AJ3" s="412"/>
      <c r="AK3" s="412"/>
      <c r="AL3" s="412"/>
      <c r="AM3" s="412"/>
      <c r="AN3" s="412"/>
      <c r="AO3" s="412"/>
      <c r="AP3" s="412"/>
      <c r="AQ3" s="413"/>
      <c r="AR3" s="413"/>
      <c r="AS3" s="413"/>
      <c r="AT3" s="406"/>
      <c r="AU3" s="406"/>
      <c r="AV3" s="406"/>
      <c r="AW3" s="406"/>
      <c r="AX3" s="406"/>
      <c r="AY3" s="406"/>
      <c r="AZ3" s="406"/>
      <c r="BA3" s="84"/>
      <c r="BB3" s="422"/>
      <c r="BC3" s="423"/>
      <c r="BD3" s="423"/>
      <c r="BE3" s="423"/>
      <c r="BF3" s="424"/>
      <c r="BG3" s="382"/>
      <c r="BH3" s="422" t="s">
        <v>21</v>
      </c>
      <c r="BI3" s="423"/>
      <c r="BJ3" s="423"/>
      <c r="BK3" s="424"/>
      <c r="BL3" s="84"/>
    </row>
    <row r="4" spans="1:64" ht="15" customHeight="1" thickBot="1" x14ac:dyDescent="0.25">
      <c r="A4" s="84"/>
      <c r="B4" s="393"/>
      <c r="C4" s="393"/>
      <c r="D4" s="394"/>
      <c r="E4" s="84"/>
      <c r="F4" s="84"/>
      <c r="G4" s="399"/>
      <c r="H4" s="84"/>
      <c r="I4" s="408"/>
      <c r="J4" s="409"/>
      <c r="K4" s="409"/>
      <c r="L4" s="409"/>
      <c r="M4" s="409"/>
      <c r="N4" s="409"/>
      <c r="O4" s="131"/>
      <c r="P4" s="469"/>
      <c r="Q4" s="470"/>
      <c r="R4" s="470"/>
      <c r="S4" s="465"/>
      <c r="T4" s="466"/>
      <c r="U4" s="84"/>
      <c r="Z4" s="84"/>
      <c r="AA4" s="412"/>
      <c r="AB4" s="412"/>
      <c r="AC4" s="412"/>
      <c r="AD4" s="84"/>
      <c r="AE4" s="412"/>
      <c r="AF4" s="412"/>
      <c r="AG4" s="412"/>
      <c r="AH4" s="412"/>
      <c r="AI4" s="412"/>
      <c r="AJ4" s="412"/>
      <c r="AK4" s="412"/>
      <c r="AL4" s="412"/>
      <c r="AM4" s="412"/>
      <c r="AN4" s="412"/>
      <c r="AO4" s="412"/>
      <c r="AP4" s="412"/>
      <c r="AQ4" s="413"/>
      <c r="AR4" s="413"/>
      <c r="AS4" s="413"/>
      <c r="AT4" s="406"/>
      <c r="AU4" s="406"/>
      <c r="AV4" s="406"/>
      <c r="AW4" s="406"/>
      <c r="AX4" s="406"/>
      <c r="AY4" s="406"/>
      <c r="AZ4" s="406"/>
      <c r="BA4" s="84"/>
      <c r="BB4" s="15"/>
      <c r="BC4" s="403"/>
      <c r="BD4" s="404"/>
      <c r="BE4" s="404"/>
      <c r="BF4" s="405"/>
      <c r="BG4" s="382"/>
      <c r="BH4" s="66" t="s">
        <v>22</v>
      </c>
      <c r="BI4" s="67" t="s">
        <v>23</v>
      </c>
      <c r="BJ4" s="68" t="s">
        <v>24</v>
      </c>
      <c r="BK4" s="69" t="s">
        <v>25</v>
      </c>
      <c r="BL4" s="84"/>
    </row>
    <row r="5" spans="1:64" s="83" customFormat="1" ht="15" thickBot="1" x14ac:dyDescent="0.25">
      <c r="A5" s="84"/>
      <c r="B5" s="395"/>
      <c r="C5" s="395"/>
      <c r="D5" s="396"/>
      <c r="E5" s="84"/>
      <c r="F5" s="84"/>
      <c r="G5" s="242" t="s">
        <v>26</v>
      </c>
      <c r="H5" s="84"/>
      <c r="I5" s="105" t="s">
        <v>27</v>
      </c>
      <c r="J5" s="106">
        <v>36</v>
      </c>
      <c r="K5" s="105" t="s">
        <v>28</v>
      </c>
      <c r="L5" s="106">
        <v>24</v>
      </c>
      <c r="M5" s="105" t="s">
        <v>29</v>
      </c>
      <c r="N5" s="106">
        <v>12</v>
      </c>
      <c r="O5" s="131"/>
      <c r="P5" s="105" t="s">
        <v>30</v>
      </c>
      <c r="Q5" s="106">
        <v>12</v>
      </c>
      <c r="R5" s="131"/>
      <c r="S5" s="105" t="s">
        <v>30</v>
      </c>
      <c r="T5" s="106">
        <v>12</v>
      </c>
      <c r="U5" s="84"/>
      <c r="V5"/>
      <c r="W5"/>
      <c r="X5"/>
      <c r="Y5"/>
      <c r="Z5" s="84"/>
      <c r="AA5" s="412"/>
      <c r="AB5" s="412"/>
      <c r="AC5" s="412"/>
      <c r="AD5" s="84"/>
      <c r="AE5" s="412"/>
      <c r="AF5" s="412"/>
      <c r="AG5" s="412"/>
      <c r="AH5" s="412"/>
      <c r="AI5" s="412"/>
      <c r="AJ5" s="412"/>
      <c r="AK5" s="412"/>
      <c r="AL5" s="412"/>
      <c r="AM5" s="412"/>
      <c r="AN5" s="412"/>
      <c r="AO5" s="412"/>
      <c r="AP5" s="412"/>
      <c r="AQ5" s="413"/>
      <c r="AR5" s="413"/>
      <c r="AS5" s="413"/>
      <c r="AT5" s="407"/>
      <c r="AU5" s="407"/>
      <c r="AV5" s="407"/>
      <c r="AW5" s="407"/>
      <c r="AX5" s="407"/>
      <c r="AY5" s="407"/>
      <c r="AZ5" s="407"/>
      <c r="BA5" s="84"/>
      <c r="BB5" s="16"/>
      <c r="BC5" s="403"/>
      <c r="BD5" s="404"/>
      <c r="BE5" s="404"/>
      <c r="BF5" s="405"/>
      <c r="BG5" s="382"/>
      <c r="BH5" s="62" t="s">
        <v>31</v>
      </c>
      <c r="BI5" s="63">
        <f>BF21+BF37</f>
        <v>2026160</v>
      </c>
      <c r="BJ5" s="64">
        <f>BI5/BD15</f>
        <v>94.24</v>
      </c>
      <c r="BK5" s="65">
        <f>BI5/BF16</f>
        <v>82.928546286518824</v>
      </c>
      <c r="BL5" s="84"/>
    </row>
    <row r="6" spans="1:64" ht="15" thickBot="1" x14ac:dyDescent="0.25">
      <c r="A6" s="84"/>
      <c r="B6" s="227" t="s">
        <v>22</v>
      </c>
      <c r="C6" s="227" t="s">
        <v>2</v>
      </c>
      <c r="D6" s="159" t="s">
        <v>32</v>
      </c>
      <c r="E6" s="159" t="s">
        <v>33</v>
      </c>
      <c r="F6" s="84"/>
      <c r="G6" s="243" t="s">
        <v>34</v>
      </c>
      <c r="H6" s="84"/>
      <c r="I6" s="96">
        <v>36</v>
      </c>
      <c r="J6" s="97">
        <f>I6/I6</f>
        <v>1</v>
      </c>
      <c r="K6" s="96">
        <v>50</v>
      </c>
      <c r="L6" s="97">
        <f>K6/K6</f>
        <v>1</v>
      </c>
      <c r="M6" s="96">
        <v>95</v>
      </c>
      <c r="N6" s="97">
        <f>M6/M6</f>
        <v>1</v>
      </c>
      <c r="O6" s="131"/>
      <c r="P6" s="96">
        <v>105</v>
      </c>
      <c r="Q6" s="97">
        <f>P6/P6</f>
        <v>1</v>
      </c>
      <c r="R6" s="131"/>
      <c r="S6" s="96">
        <v>115</v>
      </c>
      <c r="T6" s="97">
        <f>S6/S6</f>
        <v>1</v>
      </c>
      <c r="U6" s="84"/>
      <c r="V6" s="415" t="s">
        <v>35</v>
      </c>
      <c r="W6" s="415"/>
      <c r="X6" s="415"/>
      <c r="Y6" s="415"/>
      <c r="AA6" s="412" t="s">
        <v>36</v>
      </c>
      <c r="AB6" s="412"/>
      <c r="AC6" s="412"/>
      <c r="AD6" s="412"/>
      <c r="AE6" s="415"/>
      <c r="AF6" s="415"/>
      <c r="AG6" s="415"/>
      <c r="AH6" s="415"/>
      <c r="AI6" s="415"/>
      <c r="AJ6" s="415"/>
      <c r="AK6" s="415"/>
      <c r="AL6" s="415"/>
      <c r="AM6" s="415"/>
      <c r="AN6" s="415"/>
      <c r="AO6" s="415"/>
      <c r="AP6" s="415"/>
      <c r="AQ6" s="414"/>
      <c r="AR6" s="414"/>
      <c r="AS6" s="414"/>
      <c r="AT6" s="336" t="s">
        <v>37</v>
      </c>
      <c r="AU6" s="320" t="s">
        <v>38</v>
      </c>
      <c r="AV6" s="320" t="s">
        <v>39</v>
      </c>
      <c r="AW6" s="340" t="s">
        <v>40</v>
      </c>
      <c r="AX6" s="341" t="s">
        <v>41</v>
      </c>
      <c r="AY6" s="342" t="s">
        <v>42</v>
      </c>
      <c r="AZ6" s="343" t="s">
        <v>43</v>
      </c>
      <c r="BA6" s="84"/>
      <c r="BB6" s="16"/>
      <c r="BC6" s="403"/>
      <c r="BD6" s="404"/>
      <c r="BE6" s="404"/>
      <c r="BF6" s="405"/>
      <c r="BG6" s="4"/>
      <c r="BH6" s="27" t="s">
        <v>44</v>
      </c>
      <c r="BI6" s="56">
        <f>BK34+BJ20</f>
        <v>320231.29000000004</v>
      </c>
      <c r="BJ6" s="10">
        <f>BI6/BD15</f>
        <v>14.894478604651164</v>
      </c>
      <c r="BK6" s="11">
        <f>BI6/BF16</f>
        <v>13.1067217569968</v>
      </c>
      <c r="BL6" s="84"/>
    </row>
    <row r="7" spans="1:64" ht="15" thickBot="1" x14ac:dyDescent="0.25">
      <c r="A7" s="84"/>
      <c r="B7" s="287" t="str">
        <f>'Pricing Trends'!R13</f>
        <v>RBD SOYA BEAN OIL</v>
      </c>
      <c r="C7" s="249">
        <f>'Pricing Trends'!S13</f>
        <v>45314</v>
      </c>
      <c r="D7" s="223">
        <f>'Pricing Trends'!U13</f>
        <v>69.078871899999996</v>
      </c>
      <c r="E7" s="220" t="b">
        <v>0</v>
      </c>
      <c r="F7" s="84"/>
      <c r="G7" s="245" t="s">
        <v>45</v>
      </c>
      <c r="H7" s="84"/>
      <c r="I7" s="265">
        <f>IFERROR(VLOOKUP($I$2&amp;$G7,Validation!$E:$O,4,FALSE),0)</f>
        <v>0</v>
      </c>
      <c r="J7" s="99">
        <f t="shared" ref="J7:J16" si="0">I7/I$6</f>
        <v>0</v>
      </c>
      <c r="K7" s="265">
        <f>IFERROR(VLOOKUP($I$2&amp;$G7,Validation!$E:$O,5,FALSE),0)</f>
        <v>0</v>
      </c>
      <c r="L7" s="99">
        <f t="shared" ref="L7:L16" si="1">K7/K$6</f>
        <v>0</v>
      </c>
      <c r="M7" s="265">
        <f>IFERROR(VLOOKUP($I$2&amp;$G7,Validation!$E:$O,6,FALSE),0)</f>
        <v>0</v>
      </c>
      <c r="N7" s="99">
        <f t="shared" ref="N7:N16" si="2">M7/M$6</f>
        <v>0</v>
      </c>
      <c r="O7" s="131"/>
      <c r="P7" s="265">
        <f>IFERROR(VLOOKUP($P$2&amp;$G7,Validation!$E:$O,6,FALSE),0)</f>
        <v>0</v>
      </c>
      <c r="Q7" s="99">
        <f t="shared" ref="Q7:Q16" si="3">P7/P$6</f>
        <v>0</v>
      </c>
      <c r="R7" s="131"/>
      <c r="S7" s="318">
        <f>Y15</f>
        <v>90.663300000000007</v>
      </c>
      <c r="T7" s="99">
        <f t="shared" ref="T7:T16" si="4">S7/S$6</f>
        <v>0.78837652173913053</v>
      </c>
      <c r="U7" s="84"/>
      <c r="V7" s="415" t="s">
        <v>46</v>
      </c>
      <c r="W7" s="415"/>
      <c r="X7" s="415"/>
      <c r="Y7" s="349">
        <f>SUM(Y8:Y13)</f>
        <v>81.661199999999994</v>
      </c>
      <c r="Z7" s="84"/>
      <c r="AA7" s="90" t="s">
        <v>47</v>
      </c>
      <c r="AB7" s="317">
        <f>AF33</f>
        <v>46158</v>
      </c>
      <c r="AC7" s="347">
        <f>AY33</f>
        <v>75.061598028863074</v>
      </c>
      <c r="AD7" s="84"/>
      <c r="AE7" s="319" t="s">
        <v>48</v>
      </c>
      <c r="AF7" s="322">
        <v>45901</v>
      </c>
      <c r="AG7" s="319" t="s">
        <v>49</v>
      </c>
      <c r="AH7" s="319" t="s">
        <v>50</v>
      </c>
      <c r="AK7" s="319" t="s">
        <v>51</v>
      </c>
      <c r="AN7" s="373">
        <v>1050</v>
      </c>
      <c r="AO7" s="319" t="s">
        <v>52</v>
      </c>
      <c r="AP7" s="319">
        <v>9.5</v>
      </c>
      <c r="AQ7" s="321">
        <f t="shared" ref="AQ7:AQ14" si="5">AP7*AN7</f>
        <v>9975</v>
      </c>
      <c r="AR7" s="323"/>
      <c r="BA7" s="84"/>
      <c r="BB7" s="16"/>
      <c r="BC7" s="459"/>
      <c r="BD7" s="460"/>
      <c r="BE7" s="16"/>
      <c r="BF7" s="50"/>
      <c r="BG7" s="4"/>
      <c r="BH7" s="22" t="s">
        <v>53</v>
      </c>
      <c r="BI7" s="57">
        <f>BI5+BI6</f>
        <v>2346391.29</v>
      </c>
      <c r="BJ7" s="12">
        <f>BI7/BD15</f>
        <v>109.13447860465116</v>
      </c>
      <c r="BK7" s="13">
        <f>BI7/BF16</f>
        <v>96.035268043515629</v>
      </c>
      <c r="BL7" s="84"/>
    </row>
    <row r="8" spans="1:64" ht="15" thickBot="1" x14ac:dyDescent="0.25">
      <c r="A8" s="84"/>
      <c r="B8" s="287" t="str">
        <f>'Pricing Trends'!R14</f>
        <v>RBD SOYA BEAN OIL</v>
      </c>
      <c r="C8" s="249">
        <f>'Pricing Trends'!S14</f>
        <v>45256</v>
      </c>
      <c r="D8" s="223">
        <f>'Pricing Trends'!U14</f>
        <v>68.754339999999999</v>
      </c>
      <c r="E8" s="220" t="b">
        <v>0</v>
      </c>
      <c r="F8" s="84"/>
      <c r="G8" s="245" t="s">
        <v>54</v>
      </c>
      <c r="H8" s="84"/>
      <c r="I8" s="265">
        <f>IFERROR(VLOOKUP($I$2&amp;$G8,Validation!$E:$O,4,FALSE),0)</f>
        <v>0</v>
      </c>
      <c r="J8" s="99">
        <f t="shared" si="0"/>
        <v>0</v>
      </c>
      <c r="K8" s="265">
        <f>IFERROR(VLOOKUP($I$2&amp;$G8,Validation!$E:$O,5,FALSE),0)</f>
        <v>0</v>
      </c>
      <c r="L8" s="99">
        <f t="shared" si="1"/>
        <v>0</v>
      </c>
      <c r="M8" s="265">
        <f>IFERROR(VLOOKUP($I$2&amp;$G8,Validation!$E:$O,6,FALSE),0)</f>
        <v>0</v>
      </c>
      <c r="N8" s="99">
        <f t="shared" si="2"/>
        <v>0</v>
      </c>
      <c r="O8" s="131"/>
      <c r="P8" s="265">
        <f>IFERROR(VLOOKUP($P$2&amp;$G8,Validation!$E:$O,6,FALSE),0)</f>
        <v>0</v>
      </c>
      <c r="Q8" s="99">
        <f t="shared" si="3"/>
        <v>0</v>
      </c>
      <c r="R8" s="131"/>
      <c r="S8" s="265">
        <f>IFERROR(VLOOKUP($S$2&amp;$G8,Validation!$E:$O,6,FALSE),0)</f>
        <v>0</v>
      </c>
      <c r="T8" s="99">
        <f t="shared" si="4"/>
        <v>0</v>
      </c>
      <c r="U8" s="84"/>
      <c r="V8" s="353" t="s">
        <v>47</v>
      </c>
      <c r="W8" s="354">
        <f>$AC$7</f>
        <v>75.061598028863074</v>
      </c>
      <c r="X8" s="355">
        <v>0</v>
      </c>
      <c r="Y8" s="267">
        <f>W8*X8</f>
        <v>0</v>
      </c>
      <c r="Z8" s="84"/>
      <c r="AA8" s="90" t="s">
        <v>55</v>
      </c>
      <c r="AB8" s="317">
        <f>AF12</f>
        <v>46093</v>
      </c>
      <c r="AC8" s="347">
        <f>AY12</f>
        <v>81.661199999999994</v>
      </c>
      <c r="AD8" s="84"/>
      <c r="AE8" s="319" t="s">
        <v>48</v>
      </c>
      <c r="AF8" s="322">
        <v>45901</v>
      </c>
      <c r="AG8" s="319" t="s">
        <v>49</v>
      </c>
      <c r="AH8" s="319" t="s">
        <v>50</v>
      </c>
      <c r="AK8" s="319" t="s">
        <v>56</v>
      </c>
      <c r="AN8" s="373">
        <v>300</v>
      </c>
      <c r="AO8" s="319" t="s">
        <v>52</v>
      </c>
      <c r="AP8" s="319">
        <v>9.5</v>
      </c>
      <c r="AQ8" s="321">
        <f t="shared" si="5"/>
        <v>2850</v>
      </c>
      <c r="AR8" s="323"/>
      <c r="BA8" s="84"/>
      <c r="BB8" s="17"/>
      <c r="BC8" s="403"/>
      <c r="BD8" s="404"/>
      <c r="BE8" s="404"/>
      <c r="BF8" s="405"/>
      <c r="BG8" s="4"/>
      <c r="BH8" s="60" t="s">
        <v>57</v>
      </c>
      <c r="BI8" s="58">
        <f>BI7-BJ20</f>
        <v>2157411.08</v>
      </c>
      <c r="BJ8" s="59">
        <f>BI8/BD15</f>
        <v>100.34470139534884</v>
      </c>
      <c r="BK8" s="61">
        <f>BI8/BF16</f>
        <v>88.300511611535399</v>
      </c>
      <c r="BL8" s="84"/>
    </row>
    <row r="9" spans="1:64" ht="15" thickBot="1" x14ac:dyDescent="0.25">
      <c r="A9" s="84"/>
      <c r="B9" s="287" t="str">
        <f>'Pricing Trends'!R15</f>
        <v>RBD SOYA BEAN OIL</v>
      </c>
      <c r="C9" s="249">
        <f>'Pricing Trends'!S15</f>
        <v>45132</v>
      </c>
      <c r="D9" s="223">
        <f>'Pricing Trends'!U15</f>
        <v>64.592929999999996</v>
      </c>
      <c r="E9" s="220" t="b">
        <v>0</v>
      </c>
      <c r="F9" s="84"/>
      <c r="G9" s="245" t="s">
        <v>58</v>
      </c>
      <c r="H9" s="84"/>
      <c r="I9" s="318">
        <f>M9*(350/1000)</f>
        <v>28.581419999999994</v>
      </c>
      <c r="J9" s="99">
        <f t="shared" si="0"/>
        <v>0.79392833333333312</v>
      </c>
      <c r="K9" s="318">
        <f>M9/2</f>
        <v>40.830599999999997</v>
      </c>
      <c r="L9" s="99">
        <f t="shared" si="1"/>
        <v>0.81661199999999989</v>
      </c>
      <c r="M9" s="318">
        <f>Y7</f>
        <v>81.661199999999994</v>
      </c>
      <c r="N9" s="99">
        <f t="shared" si="2"/>
        <v>0.85959157894736837</v>
      </c>
      <c r="O9" s="131"/>
      <c r="P9" s="265">
        <f>IFERROR(VLOOKUP($P$2&amp;$G9,Validation!$E:$O,6,FALSE),0)</f>
        <v>0</v>
      </c>
      <c r="Q9" s="99">
        <f t="shared" si="3"/>
        <v>0</v>
      </c>
      <c r="R9" s="131"/>
      <c r="S9" s="265">
        <f>IFERROR(VLOOKUP($S$2&amp;$G9,Validation!$E:$O,6,FALSE),0)</f>
        <v>0</v>
      </c>
      <c r="T9" s="99">
        <f t="shared" si="4"/>
        <v>0</v>
      </c>
      <c r="U9" s="84"/>
      <c r="V9" s="353" t="s">
        <v>55</v>
      </c>
      <c r="W9" s="354">
        <f>$AC$8</f>
        <v>81.661199999999994</v>
      </c>
      <c r="X9" s="355">
        <v>1</v>
      </c>
      <c r="Y9" s="267">
        <f t="shared" ref="Y9:Y13" si="6">W9*X9</f>
        <v>81.661199999999994</v>
      </c>
      <c r="Z9" s="84"/>
      <c r="AA9" s="90" t="s">
        <v>59</v>
      </c>
      <c r="AC9" s="347">
        <v>0</v>
      </c>
      <c r="AD9" s="84"/>
      <c r="AE9" s="319" t="s">
        <v>48</v>
      </c>
      <c r="AF9" s="322">
        <v>45901</v>
      </c>
      <c r="AG9" s="319" t="s">
        <v>49</v>
      </c>
      <c r="AH9" s="319" t="s">
        <v>50</v>
      </c>
      <c r="AK9" s="319" t="s">
        <v>60</v>
      </c>
      <c r="AN9" s="373">
        <v>200</v>
      </c>
      <c r="AO9" s="319" t="s">
        <v>52</v>
      </c>
      <c r="AP9" s="319">
        <v>13.5</v>
      </c>
      <c r="AQ9" s="321">
        <f t="shared" si="5"/>
        <v>2700</v>
      </c>
      <c r="AR9" s="323"/>
      <c r="BA9" s="84"/>
      <c r="BB9" s="17"/>
      <c r="BC9" s="403"/>
      <c r="BD9" s="404"/>
      <c r="BE9" s="404"/>
      <c r="BF9" s="405"/>
      <c r="BG9" s="4"/>
      <c r="BH9" s="70" t="s">
        <v>61</v>
      </c>
      <c r="BI9" s="89">
        <f>BF21+BJ20+BF37</f>
        <v>2215140.21</v>
      </c>
      <c r="BJ9" s="334">
        <f>BI9/BD15</f>
        <v>103.02977720930232</v>
      </c>
      <c r="BK9" s="335">
        <f>BI9/BF16</f>
        <v>90.66330271849904</v>
      </c>
      <c r="BL9" s="84"/>
    </row>
    <row r="10" spans="1:64" ht="15" thickBot="1" x14ac:dyDescent="0.25">
      <c r="A10" s="84"/>
      <c r="B10" s="287" t="str">
        <f>'Pricing Trends'!R16</f>
        <v>RBD SOYA BEAN OIL</v>
      </c>
      <c r="C10" s="249">
        <f>'Pricing Trends'!S16</f>
        <v>44961</v>
      </c>
      <c r="D10" s="223">
        <f>'Pricing Trends'!U16</f>
        <v>81.901482099999996</v>
      </c>
      <c r="E10" s="220" t="b">
        <v>0</v>
      </c>
      <c r="F10" s="84"/>
      <c r="G10" s="245" t="s">
        <v>62</v>
      </c>
      <c r="H10" s="84"/>
      <c r="I10" s="265">
        <f>IFERROR(VLOOKUP($I$2&amp;$G10,Validation!$E:$O,4,FALSE),0)</f>
        <v>0</v>
      </c>
      <c r="J10" s="99">
        <f t="shared" si="0"/>
        <v>0</v>
      </c>
      <c r="K10" s="265">
        <f>IFERROR(VLOOKUP($I$2&amp;$G10,Validation!$E:$O,5,FALSE),0)</f>
        <v>0</v>
      </c>
      <c r="L10" s="99">
        <f t="shared" si="1"/>
        <v>0</v>
      </c>
      <c r="M10" s="265">
        <f>IFERROR(VLOOKUP($I$2&amp;$G10,Validation!$E:$O,6,FALSE),0)</f>
        <v>0</v>
      </c>
      <c r="N10" s="99">
        <f t="shared" si="2"/>
        <v>0</v>
      </c>
      <c r="O10" s="131"/>
      <c r="P10" s="318">
        <f>Y23</f>
        <v>84.389099999999999</v>
      </c>
      <c r="Q10" s="99">
        <f t="shared" si="3"/>
        <v>0.80370571428571425</v>
      </c>
      <c r="R10" s="131"/>
      <c r="S10" s="265">
        <f>IFERROR(VLOOKUP($S$2&amp;$G10,Validation!$E:$O,6,FALSE),0)</f>
        <v>0</v>
      </c>
      <c r="T10" s="99">
        <f t="shared" si="4"/>
        <v>0</v>
      </c>
      <c r="U10" s="84"/>
      <c r="V10" s="356" t="s">
        <v>59</v>
      </c>
      <c r="W10" s="357">
        <f>$AC$9</f>
        <v>0</v>
      </c>
      <c r="X10" s="358">
        <v>0</v>
      </c>
      <c r="Y10" s="267">
        <f t="shared" si="6"/>
        <v>0</v>
      </c>
      <c r="Z10" s="84"/>
      <c r="AA10" s="90" t="s">
        <v>63</v>
      </c>
      <c r="AB10" s="317">
        <f>AF13</f>
        <v>46093</v>
      </c>
      <c r="AC10" s="347">
        <f>AY13</f>
        <v>90.663300000000007</v>
      </c>
      <c r="AD10" s="84"/>
      <c r="AE10" s="319" t="s">
        <v>48</v>
      </c>
      <c r="AF10" s="322">
        <v>45960</v>
      </c>
      <c r="AG10" s="319" t="s">
        <v>64</v>
      </c>
      <c r="AH10" s="319" t="s">
        <v>65</v>
      </c>
      <c r="AK10" s="319" t="s">
        <v>66</v>
      </c>
      <c r="AN10" s="373">
        <v>1800</v>
      </c>
      <c r="AO10" s="319" t="s">
        <v>52</v>
      </c>
      <c r="AP10" s="319">
        <v>13.05</v>
      </c>
      <c r="AQ10" s="321">
        <f t="shared" si="5"/>
        <v>23490</v>
      </c>
      <c r="AR10" s="323"/>
      <c r="BA10" s="84"/>
      <c r="BB10" s="4"/>
      <c r="BC10" s="4"/>
      <c r="BD10" s="4"/>
      <c r="BE10" s="4"/>
      <c r="BF10" s="4"/>
      <c r="BG10" s="4"/>
      <c r="BH10" s="5"/>
      <c r="BI10" s="5"/>
      <c r="BJ10" s="5"/>
      <c r="BK10" s="5"/>
      <c r="BL10" s="84"/>
    </row>
    <row r="11" spans="1:64" ht="18.75" thickBot="1" x14ac:dyDescent="0.25">
      <c r="A11" s="84"/>
      <c r="B11" s="287">
        <f>'Pricing Trends'!R17</f>
        <v>0</v>
      </c>
      <c r="C11" s="249">
        <f>'Pricing Trends'!S17</f>
        <v>0</v>
      </c>
      <c r="D11" s="223">
        <f>'Pricing Trends'!U17</f>
        <v>0</v>
      </c>
      <c r="E11" s="220" t="b">
        <v>0</v>
      </c>
      <c r="F11" s="84"/>
      <c r="G11" s="245" t="s">
        <v>67</v>
      </c>
      <c r="H11" s="84"/>
      <c r="I11" s="265">
        <f>IFERROR(VLOOKUP($I$2&amp;$G11,Validation!$E:$O,4,FALSE),0)</f>
        <v>0</v>
      </c>
      <c r="J11" s="99">
        <f t="shared" si="0"/>
        <v>0</v>
      </c>
      <c r="K11" s="265">
        <f>IFERROR(VLOOKUP($I$2&amp;$G11,Validation!$E:$O,5,FALSE),0)</f>
        <v>0</v>
      </c>
      <c r="L11" s="99">
        <f t="shared" si="1"/>
        <v>0</v>
      </c>
      <c r="M11" s="265">
        <f>IFERROR(VLOOKUP($I$2&amp;$G11,Validation!$E:$O,6,FALSE),0)</f>
        <v>0</v>
      </c>
      <c r="N11" s="99">
        <f t="shared" si="2"/>
        <v>0</v>
      </c>
      <c r="O11" s="131"/>
      <c r="P11" s="265">
        <f>IFERROR(VLOOKUP($P$2&amp;$G11,Validation!$E:$O,6,FALSE),0)</f>
        <v>0</v>
      </c>
      <c r="Q11" s="99">
        <f t="shared" si="3"/>
        <v>0</v>
      </c>
      <c r="R11" s="131"/>
      <c r="S11" s="265">
        <f>IFERROR(VLOOKUP($S$2&amp;$G11,Validation!$E:$O,6,FALSE),0)</f>
        <v>0</v>
      </c>
      <c r="T11" s="99">
        <f t="shared" si="4"/>
        <v>0</v>
      </c>
      <c r="U11" s="84"/>
      <c r="V11" s="356" t="s">
        <v>63</v>
      </c>
      <c r="W11" s="357">
        <f>$AC$10</f>
        <v>90.663300000000007</v>
      </c>
      <c r="X11" s="358">
        <v>0</v>
      </c>
      <c r="Y11" s="267">
        <f t="shared" si="6"/>
        <v>0</v>
      </c>
      <c r="Z11" s="84"/>
      <c r="AA11" s="90" t="s">
        <v>68</v>
      </c>
      <c r="AC11" s="347">
        <v>0</v>
      </c>
      <c r="AD11" s="84"/>
      <c r="AE11" s="319" t="s">
        <v>48</v>
      </c>
      <c r="AF11" s="329">
        <v>45964</v>
      </c>
      <c r="AG11" s="330" t="s">
        <v>69</v>
      </c>
      <c r="AH11" s="319" t="s">
        <v>70</v>
      </c>
      <c r="AK11" s="319" t="s">
        <v>62</v>
      </c>
      <c r="AN11" s="373">
        <v>21.5</v>
      </c>
      <c r="AO11" s="319" t="s">
        <v>71</v>
      </c>
      <c r="AP11" s="319">
        <v>1405</v>
      </c>
      <c r="AQ11" s="321">
        <f t="shared" si="5"/>
        <v>30207.5</v>
      </c>
      <c r="AR11" s="324">
        <f>AN11*1000</f>
        <v>21500</v>
      </c>
      <c r="AS11" s="319">
        <f>AQ11/AR11</f>
        <v>1.405</v>
      </c>
      <c r="AT11" s="337">
        <v>1.405</v>
      </c>
      <c r="AU11" s="326">
        <v>24433</v>
      </c>
      <c r="AV11" s="319">
        <v>62</v>
      </c>
      <c r="AW11" s="340">
        <v>2061845.21</v>
      </c>
      <c r="AX11" s="340">
        <v>95.899799999999999</v>
      </c>
      <c r="AY11" s="344">
        <v>84.389099999999999</v>
      </c>
      <c r="BA11" s="84"/>
      <c r="BB11" s="416" t="s">
        <v>72</v>
      </c>
      <c r="BC11" s="417"/>
      <c r="BD11" s="417"/>
      <c r="BE11" s="417"/>
      <c r="BF11" s="417"/>
      <c r="BG11" s="417"/>
      <c r="BH11" s="417"/>
      <c r="BI11" s="417"/>
      <c r="BJ11" s="417"/>
      <c r="BK11" s="418"/>
      <c r="BL11" s="84"/>
    </row>
    <row r="12" spans="1:64" x14ac:dyDescent="0.2">
      <c r="A12" s="84"/>
      <c r="B12" s="287" t="str">
        <f>'Pricing Trends'!R18</f>
        <v>RBD COCONUT OIL</v>
      </c>
      <c r="C12" s="249">
        <f>'Pricing Trends'!S18</f>
        <v>45468</v>
      </c>
      <c r="D12" s="223">
        <f>'Pricing Trends'!U18</f>
        <v>64.678485570000007</v>
      </c>
      <c r="E12" s="220" t="b">
        <v>0</v>
      </c>
      <c r="F12" s="84"/>
      <c r="G12" s="245" t="s">
        <v>73</v>
      </c>
      <c r="H12" s="84"/>
      <c r="I12" s="98">
        <f>IFERROR(VLOOKUP("350ML LABEL PALM",'Pricing Trends'!$K:$N,4,FALSE),0)</f>
        <v>0.3</v>
      </c>
      <c r="J12" s="99">
        <f t="shared" si="0"/>
        <v>8.3333333333333332E-3</v>
      </c>
      <c r="K12" s="98">
        <f>IFERROR(VLOOKUP("500ML LABEL PALM",'Pricing Trends'!$K:$N,4,FALSE),0)</f>
        <v>0.45</v>
      </c>
      <c r="L12" s="99">
        <f t="shared" si="1"/>
        <v>9.0000000000000011E-3</v>
      </c>
      <c r="M12" s="98">
        <f>IFERROR(VLOOKUP("1LITER LABEL PALM",'Pricing Trends'!$K:$N,4,FALSE),0)</f>
        <v>0.55000000000000004</v>
      </c>
      <c r="N12" s="99">
        <f t="shared" si="2"/>
        <v>5.7894736842105266E-3</v>
      </c>
      <c r="O12" s="131"/>
      <c r="P12" s="98">
        <f>IFERROR(VLOOKUP("1LITER LABEL CANOLEIN",'Pricing Trends'!$K:$N,4,FALSE),0)</f>
        <v>0.72</v>
      </c>
      <c r="Q12" s="99">
        <f t="shared" si="3"/>
        <v>6.8571428571428568E-3</v>
      </c>
      <c r="R12" s="131"/>
      <c r="S12" s="98">
        <f>IFERROR(VLOOKUP("1LITER LABEL SOYA",'Pricing Trends'!$K:$N,4,FALSE),0)</f>
        <v>0.72</v>
      </c>
      <c r="T12" s="99">
        <f t="shared" si="4"/>
        <v>6.2608695652173908E-3</v>
      </c>
      <c r="U12" s="84"/>
      <c r="V12" s="357" t="s">
        <v>68</v>
      </c>
      <c r="W12" s="357">
        <f>$AC$11</f>
        <v>0</v>
      </c>
      <c r="X12" s="358">
        <v>0</v>
      </c>
      <c r="Y12" s="267">
        <f t="shared" si="6"/>
        <v>0</v>
      </c>
      <c r="Z12" s="84"/>
      <c r="AA12" s="90" t="s">
        <v>74</v>
      </c>
      <c r="AB12" s="317">
        <f>AF11</f>
        <v>45964</v>
      </c>
      <c r="AC12" s="347">
        <f>AY11</f>
        <v>84.389099999999999</v>
      </c>
      <c r="AD12" s="84"/>
      <c r="AE12" s="319" t="s">
        <v>48</v>
      </c>
      <c r="AF12" s="329">
        <v>46093</v>
      </c>
      <c r="AG12" s="330" t="s">
        <v>75</v>
      </c>
      <c r="AH12" s="319" t="s">
        <v>70</v>
      </c>
      <c r="AK12" s="319" t="s">
        <v>76</v>
      </c>
      <c r="AN12" s="373">
        <v>21.5</v>
      </c>
      <c r="AO12" s="319" t="s">
        <v>71</v>
      </c>
      <c r="AP12" s="319">
        <v>1355</v>
      </c>
      <c r="AQ12" s="321">
        <f t="shared" si="5"/>
        <v>29132.5</v>
      </c>
      <c r="AR12" s="324">
        <f>AN12*1000</f>
        <v>21500</v>
      </c>
      <c r="AS12" s="319">
        <f>AQ12/AR12</f>
        <v>1.355</v>
      </c>
      <c r="AT12" s="337">
        <v>1.355</v>
      </c>
      <c r="AU12" s="325">
        <v>24433</v>
      </c>
      <c r="AV12" s="319">
        <v>62</v>
      </c>
      <c r="AW12" s="340">
        <v>1995195.21</v>
      </c>
      <c r="AX12" s="340">
        <v>92.799800000000005</v>
      </c>
      <c r="AY12" s="344">
        <v>81.661199999999994</v>
      </c>
      <c r="BA12" s="84"/>
      <c r="BB12" s="4"/>
      <c r="BC12" s="4"/>
      <c r="BD12" s="4"/>
      <c r="BE12" s="4"/>
      <c r="BF12" s="4"/>
      <c r="BG12" s="4"/>
      <c r="BH12" s="5"/>
      <c r="BI12" s="5"/>
      <c r="BJ12" s="5"/>
      <c r="BK12" s="5"/>
      <c r="BL12" s="84"/>
    </row>
    <row r="13" spans="1:64" ht="15" thickBot="1" x14ac:dyDescent="0.25">
      <c r="A13" s="84"/>
      <c r="B13" s="287" t="str">
        <f>'Pricing Trends'!R19</f>
        <v>RBD COCONUT OIL</v>
      </c>
      <c r="C13" s="249">
        <f>'Pricing Trends'!S19</f>
        <v>45222</v>
      </c>
      <c r="D13" s="223">
        <f>'Pricing Trends'!U19</f>
        <v>51.478299999999997</v>
      </c>
      <c r="E13" s="220" t="b">
        <v>0</v>
      </c>
      <c r="F13" s="84"/>
      <c r="G13" s="245" t="s">
        <v>77</v>
      </c>
      <c r="H13" s="84"/>
      <c r="I13" s="318">
        <f>AC18</f>
        <v>3.95</v>
      </c>
      <c r="J13" s="99">
        <f t="shared" si="0"/>
        <v>0.10972222222222222</v>
      </c>
      <c r="K13" s="98">
        <f>IFERROR(VLOOKUP("500ML BOTTLE PALM [SWAK]",'Pricing Trends'!$A:$D,4,FALSE),0)</f>
        <v>3.65</v>
      </c>
      <c r="L13" s="99">
        <f t="shared" si="1"/>
        <v>7.2999999999999995E-2</v>
      </c>
      <c r="M13" s="318">
        <f>AC20</f>
        <v>7.9</v>
      </c>
      <c r="N13" s="99">
        <f t="shared" si="2"/>
        <v>8.3157894736842111E-2</v>
      </c>
      <c r="O13" s="131"/>
      <c r="P13" s="318">
        <f>AC20</f>
        <v>7.9</v>
      </c>
      <c r="Q13" s="99">
        <f t="shared" si="3"/>
        <v>7.5238095238095243E-2</v>
      </c>
      <c r="R13" s="131"/>
      <c r="S13" s="318">
        <f>AC20</f>
        <v>7.9</v>
      </c>
      <c r="T13" s="99">
        <f t="shared" si="4"/>
        <v>6.8695652173913047E-2</v>
      </c>
      <c r="U13" s="84"/>
      <c r="V13" s="356" t="s">
        <v>74</v>
      </c>
      <c r="W13" s="357">
        <f>$AC$12</f>
        <v>84.389099999999999</v>
      </c>
      <c r="X13" s="358">
        <v>0</v>
      </c>
      <c r="Y13" s="267">
        <f t="shared" si="6"/>
        <v>0</v>
      </c>
      <c r="Z13" s="84"/>
      <c r="AA13" s="80"/>
      <c r="AB13" s="80"/>
      <c r="AC13" s="352"/>
      <c r="AD13" s="84"/>
      <c r="AE13" s="319" t="s">
        <v>48</v>
      </c>
      <c r="AF13" s="329">
        <v>46093</v>
      </c>
      <c r="AG13" s="330" t="s">
        <v>78</v>
      </c>
      <c r="AH13" s="319" t="s">
        <v>70</v>
      </c>
      <c r="AK13" s="319" t="s">
        <v>79</v>
      </c>
      <c r="AN13" s="373">
        <v>21.5</v>
      </c>
      <c r="AO13" s="319" t="s">
        <v>71</v>
      </c>
      <c r="AP13" s="319">
        <v>1520</v>
      </c>
      <c r="AQ13" s="321">
        <f t="shared" si="5"/>
        <v>32680</v>
      </c>
      <c r="AR13" s="324">
        <f>AN13*1000</f>
        <v>21500</v>
      </c>
      <c r="AS13" s="319">
        <f>AQ13/AR13</f>
        <v>1.52</v>
      </c>
      <c r="AT13" s="337">
        <v>1.52</v>
      </c>
      <c r="AU13" s="325">
        <v>24433</v>
      </c>
      <c r="AV13" s="319">
        <v>62</v>
      </c>
      <c r="AW13" s="340">
        <v>2215140.21</v>
      </c>
      <c r="AX13" s="340">
        <v>103.02979999999999</v>
      </c>
      <c r="AY13" s="344">
        <v>90.663300000000007</v>
      </c>
      <c r="BA13" s="84"/>
      <c r="BB13" s="4"/>
      <c r="BC13" s="4"/>
      <c r="BD13" s="4"/>
      <c r="BE13" s="4"/>
      <c r="BF13" s="4"/>
      <c r="BG13" s="4"/>
      <c r="BH13" s="5"/>
      <c r="BI13" s="5"/>
      <c r="BJ13" s="5"/>
      <c r="BK13" s="5"/>
      <c r="BL13" s="84"/>
    </row>
    <row r="14" spans="1:64" x14ac:dyDescent="0.2">
      <c r="A14" s="84"/>
      <c r="B14" s="287" t="str">
        <f>'Pricing Trends'!R20</f>
        <v>RBD COCONUT OIL</v>
      </c>
      <c r="C14" s="249">
        <f>'Pricing Trends'!S20</f>
        <v>45133</v>
      </c>
      <c r="D14" s="223">
        <f>'Pricing Trends'!U20</f>
        <v>54.558999999999997</v>
      </c>
      <c r="E14" s="220" t="b">
        <v>0</v>
      </c>
      <c r="F14" s="84"/>
      <c r="G14" s="245" t="s">
        <v>80</v>
      </c>
      <c r="H14" s="84"/>
      <c r="I14" s="318">
        <f>AC14</f>
        <v>0.72222222222222221</v>
      </c>
      <c r="J14" s="99">
        <f t="shared" si="0"/>
        <v>2.0061728395061727E-2</v>
      </c>
      <c r="K14" s="318">
        <f>AC15</f>
        <v>0.87083333333333324</v>
      </c>
      <c r="L14" s="99">
        <f t="shared" si="1"/>
        <v>1.7416666666666664E-2</v>
      </c>
      <c r="M14" s="318">
        <f>AC16</f>
        <v>2.15</v>
      </c>
      <c r="N14" s="99">
        <f t="shared" si="2"/>
        <v>2.2631578947368419E-2</v>
      </c>
      <c r="O14" s="131"/>
      <c r="P14" s="318">
        <f>AC16</f>
        <v>2.15</v>
      </c>
      <c r="Q14" s="99">
        <f t="shared" si="3"/>
        <v>2.0476190476190474E-2</v>
      </c>
      <c r="R14" s="131"/>
      <c r="S14" s="318">
        <f>AC16</f>
        <v>2.15</v>
      </c>
      <c r="T14" s="99">
        <f t="shared" si="4"/>
        <v>1.8695652173913044E-2</v>
      </c>
      <c r="U14" s="84"/>
      <c r="V14" s="348"/>
      <c r="W14" s="350"/>
      <c r="X14" s="351"/>
      <c r="Y14" s="352"/>
      <c r="Z14" s="84"/>
      <c r="AA14" s="90" t="s">
        <v>81</v>
      </c>
      <c r="AB14" s="362">
        <f>AF36</f>
        <v>46180</v>
      </c>
      <c r="AC14" s="359">
        <f>AZ36</f>
        <v>0.72222222222222221</v>
      </c>
      <c r="AD14" s="84"/>
      <c r="AE14" s="319" t="s">
        <v>48</v>
      </c>
      <c r="AF14" s="322">
        <v>46119</v>
      </c>
      <c r="AG14" s="319" t="s">
        <v>82</v>
      </c>
      <c r="AH14" s="319" t="s">
        <v>83</v>
      </c>
      <c r="AK14" s="319" t="s">
        <v>84</v>
      </c>
      <c r="AN14" s="373">
        <v>28.4</v>
      </c>
      <c r="AO14" s="319" t="s">
        <v>71</v>
      </c>
      <c r="AP14" s="319">
        <v>450</v>
      </c>
      <c r="AQ14" s="321">
        <f t="shared" si="5"/>
        <v>12780</v>
      </c>
      <c r="AR14" s="323"/>
      <c r="BA14" s="84"/>
      <c r="BB14" s="449" t="s">
        <v>85</v>
      </c>
      <c r="BC14" s="450"/>
      <c r="BD14" s="450"/>
      <c r="BE14" s="450"/>
      <c r="BF14" s="451"/>
      <c r="BG14" s="4"/>
      <c r="BH14" s="425" t="s">
        <v>86</v>
      </c>
      <c r="BI14" s="426"/>
      <c r="BJ14" s="426"/>
      <c r="BK14" s="427"/>
      <c r="BL14" s="84"/>
    </row>
    <row r="15" spans="1:64" x14ac:dyDescent="0.2">
      <c r="A15" s="84"/>
      <c r="B15" s="287" t="str">
        <f>'Pricing Trends'!R21</f>
        <v>RBD COCONUT OIL</v>
      </c>
      <c r="C15" s="249">
        <f>'Pricing Trends'!S21</f>
        <v>44965</v>
      </c>
      <c r="D15" s="223">
        <f>'Pricing Trends'!U21</f>
        <v>52.798299999999998</v>
      </c>
      <c r="E15" s="220" t="b">
        <v>0</v>
      </c>
      <c r="F15" s="84"/>
      <c r="G15" s="245" t="s">
        <v>87</v>
      </c>
      <c r="H15" s="84"/>
      <c r="I15" s="98">
        <f>((IFERROR(VLOOKUP($G$15,'Pricing Trends'!$W:$Z,4,FALSE),0)/10000)*200)/J5</f>
        <v>1.3888888888888888E-2</v>
      </c>
      <c r="J15" s="99">
        <f t="shared" si="0"/>
        <v>3.8580246913580245E-4</v>
      </c>
      <c r="K15" s="98">
        <f>((IFERROR(VLOOKUP($G$15,'Pricing Trends'!$W:$Z,4,FALSE),0)/10000)*200)/L5</f>
        <v>2.0833333333333332E-2</v>
      </c>
      <c r="L15" s="99">
        <f t="shared" si="1"/>
        <v>4.1666666666666664E-4</v>
      </c>
      <c r="M15" s="98">
        <f>((IFERROR(VLOOKUP($G$15,'Pricing Trends'!$W:$Z,4,FALSE),0)/10000)*200)/N5</f>
        <v>4.1666666666666664E-2</v>
      </c>
      <c r="N15" s="99">
        <f t="shared" si="2"/>
        <v>4.3859649122807013E-4</v>
      </c>
      <c r="O15" s="131"/>
      <c r="P15" s="98">
        <f>((IFERROR(VLOOKUP($G$15,'Pricing Trends'!$W:$Z,4,FALSE),0)/10000)*200)/Q5</f>
        <v>4.1666666666666664E-2</v>
      </c>
      <c r="Q15" s="99">
        <f t="shared" si="3"/>
        <v>3.9682539682539683E-4</v>
      </c>
      <c r="R15" s="131"/>
      <c r="S15" s="98">
        <f>((IFERROR(VLOOKUP($G$15,'Pricing Trends'!$W:$Z,4,FALSE),0)/10000)*200)/T5</f>
        <v>4.1666666666666664E-2</v>
      </c>
      <c r="T15" s="99">
        <f t="shared" si="4"/>
        <v>3.6231884057971015E-4</v>
      </c>
      <c r="U15" s="84"/>
      <c r="V15" s="415" t="s">
        <v>88</v>
      </c>
      <c r="W15" s="415"/>
      <c r="X15" s="415"/>
      <c r="Y15" s="349">
        <f>SUM(Y16:Y21)</f>
        <v>90.663300000000007</v>
      </c>
      <c r="Z15" s="84"/>
      <c r="AA15" s="90" t="s">
        <v>89</v>
      </c>
      <c r="AB15" s="362">
        <f>AF34</f>
        <v>46178</v>
      </c>
      <c r="AC15" s="359">
        <f>AZ34</f>
        <v>0.87083333333333324</v>
      </c>
      <c r="AD15" s="84"/>
      <c r="AE15" s="319" t="s">
        <v>90</v>
      </c>
      <c r="AF15" s="322">
        <v>46140</v>
      </c>
      <c r="AG15" t="s">
        <v>91</v>
      </c>
      <c r="AH15" s="319" t="s">
        <v>92</v>
      </c>
      <c r="AI15" s="319" t="s">
        <v>93</v>
      </c>
      <c r="AJ15" s="319" t="s">
        <v>94</v>
      </c>
      <c r="AK15" s="319" t="s">
        <v>95</v>
      </c>
      <c r="AL15" s="319" t="s">
        <v>96</v>
      </c>
      <c r="AM15" s="319" t="s">
        <v>97</v>
      </c>
      <c r="AN15" s="373">
        <v>10010</v>
      </c>
      <c r="AO15" s="319" t="s">
        <v>98</v>
      </c>
      <c r="AP15" s="319">
        <v>7.2</v>
      </c>
      <c r="AQ15" s="321">
        <f t="shared" ref="AQ15:AQ16" si="7">AN15*AP15</f>
        <v>72072</v>
      </c>
      <c r="AU15" s="320"/>
      <c r="AV15" s="320"/>
      <c r="BA15" s="84"/>
      <c r="BB15" s="31" t="s">
        <v>99</v>
      </c>
      <c r="BC15" s="30"/>
      <c r="BD15" s="33">
        <f>21.5*1000</f>
        <v>21500</v>
      </c>
      <c r="BE15" s="6" t="s">
        <v>100</v>
      </c>
      <c r="BF15" s="32">
        <f>BD16/BD15</f>
        <v>1.52</v>
      </c>
      <c r="BG15" s="4"/>
      <c r="BH15" s="428" t="s">
        <v>101</v>
      </c>
      <c r="BI15" s="429"/>
      <c r="BJ15" s="3" t="s">
        <v>102</v>
      </c>
      <c r="BK15" s="8">
        <f>BF34*0.12</f>
        <v>253684.78200000001</v>
      </c>
      <c r="BL15" s="84"/>
    </row>
    <row r="16" spans="1:64" x14ac:dyDescent="0.2">
      <c r="A16" s="84"/>
      <c r="B16" s="287">
        <f>'Pricing Trends'!R22</f>
        <v>0</v>
      </c>
      <c r="C16" s="249">
        <f>'Pricing Trends'!S22</f>
        <v>0</v>
      </c>
      <c r="D16" s="223">
        <f>'Pricing Trends'!U22</f>
        <v>0</v>
      </c>
      <c r="E16" s="220" t="b">
        <v>0</v>
      </c>
      <c r="F16" s="84"/>
      <c r="G16" s="245" t="s">
        <v>103</v>
      </c>
      <c r="H16" s="84"/>
      <c r="I16" s="98">
        <f>((45/3000)*7)</f>
        <v>0.105</v>
      </c>
      <c r="J16" s="99">
        <f t="shared" si="0"/>
        <v>2.9166666666666664E-3</v>
      </c>
      <c r="K16" s="98">
        <f>((45/3000)*7)</f>
        <v>0.105</v>
      </c>
      <c r="L16" s="99">
        <f t="shared" si="1"/>
        <v>2.0999999999999999E-3</v>
      </c>
      <c r="M16" s="98">
        <f>((45/3000)*12)</f>
        <v>0.18</v>
      </c>
      <c r="N16" s="99">
        <f t="shared" si="2"/>
        <v>1.8947368421052631E-3</v>
      </c>
      <c r="O16" s="131"/>
      <c r="P16" s="250"/>
      <c r="Q16" s="99">
        <f t="shared" si="3"/>
        <v>0</v>
      </c>
      <c r="R16" s="131"/>
      <c r="S16" s="252"/>
      <c r="T16" s="99">
        <f t="shared" si="4"/>
        <v>0</v>
      </c>
      <c r="U16" s="84"/>
      <c r="V16" s="356" t="s">
        <v>47</v>
      </c>
      <c r="W16" s="357">
        <f>$AC$7</f>
        <v>75.061598028863074</v>
      </c>
      <c r="X16" s="358">
        <v>0</v>
      </c>
      <c r="Y16" s="267">
        <f>W16*X16</f>
        <v>0</v>
      </c>
      <c r="Z16" s="84"/>
      <c r="AA16" s="90" t="s">
        <v>104</v>
      </c>
      <c r="AB16" s="317">
        <f>AF35</f>
        <v>46179</v>
      </c>
      <c r="AC16" s="359">
        <f>AZ35</f>
        <v>2.15</v>
      </c>
      <c r="AD16" s="84"/>
      <c r="AE16" s="319" t="s">
        <v>90</v>
      </c>
      <c r="AF16" s="322">
        <v>46140</v>
      </c>
      <c r="AG16" s="319" t="s">
        <v>105</v>
      </c>
      <c r="AH16" s="319" t="s">
        <v>92</v>
      </c>
      <c r="AI16" s="319" t="s">
        <v>93</v>
      </c>
      <c r="AJ16" s="319" t="s">
        <v>94</v>
      </c>
      <c r="AK16" s="319" t="s">
        <v>106</v>
      </c>
      <c r="AL16" s="319" t="s">
        <v>107</v>
      </c>
      <c r="AM16" s="319" t="s">
        <v>108</v>
      </c>
      <c r="AN16" s="373">
        <v>15120</v>
      </c>
      <c r="AO16" s="319" t="s">
        <v>98</v>
      </c>
      <c r="AP16" s="319">
        <v>3.1</v>
      </c>
      <c r="AQ16" s="321">
        <f t="shared" si="7"/>
        <v>46872</v>
      </c>
      <c r="AU16" s="320"/>
      <c r="AV16" s="320"/>
      <c r="BA16" s="84"/>
      <c r="BB16" s="31" t="s">
        <v>109</v>
      </c>
      <c r="BC16" s="30"/>
      <c r="BD16" s="34">
        <f>AQ13</f>
        <v>32680</v>
      </c>
      <c r="BE16" s="6" t="s">
        <v>110</v>
      </c>
      <c r="BF16" s="35">
        <f>BD15*1.1364</f>
        <v>24432.600000000002</v>
      </c>
      <c r="BG16" s="4"/>
      <c r="BH16" s="428" t="s">
        <v>111</v>
      </c>
      <c r="BI16" s="429"/>
      <c r="BJ16" s="241">
        <v>186569.21</v>
      </c>
      <c r="BK16" s="8">
        <f>BJ16-BK15</f>
        <v>-67115.572000000015</v>
      </c>
      <c r="BL16" s="84"/>
    </row>
    <row r="17" spans="1:64" ht="15" thickBot="1" x14ac:dyDescent="0.25">
      <c r="A17" s="84"/>
      <c r="B17" s="287" t="str">
        <f>'Pricing Trends'!R23</f>
        <v>RBD PALM OLEIN (FOREIGN)</v>
      </c>
      <c r="C17" s="249">
        <f>'Pricing Trends'!S23</f>
        <v>45547</v>
      </c>
      <c r="D17" s="223">
        <f>'Pricing Trends'!U23</f>
        <v>60.65316</v>
      </c>
      <c r="E17" s="220" t="b">
        <v>0</v>
      </c>
      <c r="F17" s="84"/>
      <c r="G17" s="246" t="s">
        <v>112</v>
      </c>
      <c r="H17" s="84"/>
      <c r="I17" s="197">
        <f>SUM(I7:I16)</f>
        <v>33.672531111111098</v>
      </c>
      <c r="J17" s="195">
        <f>I17/I6</f>
        <v>0.93534808641975276</v>
      </c>
      <c r="K17" s="197">
        <f>SUM(K7:K16)</f>
        <v>45.927266666666661</v>
      </c>
      <c r="L17" s="195">
        <f>K17/K6</f>
        <v>0.91854533333333321</v>
      </c>
      <c r="M17" s="197">
        <f>SUM(M7:M16)</f>
        <v>92.482866666666681</v>
      </c>
      <c r="N17" s="195">
        <f>M17/M6</f>
        <v>0.973503859649123</v>
      </c>
      <c r="O17" s="131"/>
      <c r="P17" s="197">
        <f>SUM(P7:P16)</f>
        <v>95.200766666666681</v>
      </c>
      <c r="Q17" s="195">
        <f>P17/P6</f>
        <v>0.9066739682539684</v>
      </c>
      <c r="R17" s="131"/>
      <c r="S17" s="197">
        <f>SUM(S7:S16)</f>
        <v>101.47496666666669</v>
      </c>
      <c r="T17" s="195">
        <f>S17/S6</f>
        <v>0.88239101449275381</v>
      </c>
      <c r="U17" s="84"/>
      <c r="V17" s="356" t="s">
        <v>55</v>
      </c>
      <c r="W17" s="357">
        <f>$AC$8</f>
        <v>81.661199999999994</v>
      </c>
      <c r="X17" s="358">
        <v>0</v>
      </c>
      <c r="Y17" s="267">
        <f t="shared" ref="Y17:Y21" si="8">W17*X17</f>
        <v>0</v>
      </c>
      <c r="Z17" s="84"/>
      <c r="AC17" s="267"/>
      <c r="AD17" s="84"/>
      <c r="AE17" s="319" t="s">
        <v>90</v>
      </c>
      <c r="AF17" s="322">
        <v>46140</v>
      </c>
      <c r="AG17" s="319" t="s">
        <v>113</v>
      </c>
      <c r="AI17" s="319" t="s">
        <v>93</v>
      </c>
      <c r="AJ17" s="319" t="s">
        <v>94</v>
      </c>
      <c r="AK17" s="319" t="s">
        <v>114</v>
      </c>
      <c r="AL17" s="319" t="s">
        <v>115</v>
      </c>
      <c r="AM17" s="319" t="s">
        <v>116</v>
      </c>
      <c r="AN17" s="373">
        <v>25130</v>
      </c>
      <c r="AO17" s="319" t="s">
        <v>98</v>
      </c>
      <c r="AP17" s="319">
        <v>0.7</v>
      </c>
      <c r="AQ17" s="321">
        <f>AP17*AN17</f>
        <v>17591</v>
      </c>
      <c r="AU17" s="320"/>
      <c r="AV17" s="320"/>
      <c r="AZ17" s="321">
        <f>AP17</f>
        <v>0.7</v>
      </c>
      <c r="BA17" s="84"/>
      <c r="BB17" s="430" t="s">
        <v>117</v>
      </c>
      <c r="BC17" s="431"/>
      <c r="BD17" s="431"/>
      <c r="BE17" s="432"/>
      <c r="BF17" s="29">
        <v>62</v>
      </c>
      <c r="BG17" s="4"/>
      <c r="BH17" s="428" t="s">
        <v>118</v>
      </c>
      <c r="BI17" s="429"/>
      <c r="BJ17" s="3" t="s">
        <v>102</v>
      </c>
      <c r="BK17" s="8">
        <v>2000</v>
      </c>
      <c r="BL17" s="84"/>
    </row>
    <row r="18" spans="1:64" ht="15" thickBot="1" x14ac:dyDescent="0.25">
      <c r="A18" s="84"/>
      <c r="B18" s="287" t="str">
        <f>'Pricing Trends'!R24</f>
        <v>RBD PALM OLEIN (FOREIGN)</v>
      </c>
      <c r="C18" s="249">
        <f>'Pricing Trends'!S24</f>
        <v>45517</v>
      </c>
      <c r="D18" s="223">
        <f>'Pricing Trends'!U24</f>
        <v>60.97</v>
      </c>
      <c r="E18" s="220" t="b">
        <v>0</v>
      </c>
      <c r="F18" s="84"/>
      <c r="G18" s="243" t="s">
        <v>119</v>
      </c>
      <c r="H18" s="84"/>
      <c r="I18" s="96">
        <f>I6-I17</f>
        <v>2.3274688888889017</v>
      </c>
      <c r="J18" s="97">
        <f>I18/I6</f>
        <v>6.4651913580247272E-2</v>
      </c>
      <c r="K18" s="96">
        <f>K6-K17</f>
        <v>4.0727333333333391</v>
      </c>
      <c r="L18" s="97">
        <f>K18/K6</f>
        <v>8.1454666666666786E-2</v>
      </c>
      <c r="M18" s="96">
        <f>M6-M17</f>
        <v>2.5171333333333195</v>
      </c>
      <c r="N18" s="97">
        <f>M18/M6</f>
        <v>2.6496140350877048E-2</v>
      </c>
      <c r="O18" s="131"/>
      <c r="P18" s="96">
        <f>P6-P17</f>
        <v>9.7992333333333193</v>
      </c>
      <c r="Q18" s="97">
        <f>P18/P6</f>
        <v>9.3326031746031615E-2</v>
      </c>
      <c r="R18" s="131"/>
      <c r="S18" s="96">
        <f>S6-S17</f>
        <v>13.525033333333312</v>
      </c>
      <c r="T18" s="97">
        <f>S18/S6</f>
        <v>0.11760898550724619</v>
      </c>
      <c r="U18" s="84"/>
      <c r="V18" s="353" t="s">
        <v>59</v>
      </c>
      <c r="W18" s="357">
        <f>$AC$9</f>
        <v>0</v>
      </c>
      <c r="X18" s="358">
        <v>0</v>
      </c>
      <c r="Y18" s="267">
        <f t="shared" si="8"/>
        <v>0</v>
      </c>
      <c r="Z18" s="84"/>
      <c r="AA18" s="90" t="s">
        <v>105</v>
      </c>
      <c r="AB18" s="317">
        <f>AF36</f>
        <v>46180</v>
      </c>
      <c r="AC18" s="359">
        <f>AZ26</f>
        <v>3.95</v>
      </c>
      <c r="AD18" s="84"/>
      <c r="AE18" s="319" t="s">
        <v>120</v>
      </c>
      <c r="AF18" s="322">
        <v>46140</v>
      </c>
      <c r="AG18" s="319" t="s">
        <v>91</v>
      </c>
      <c r="AH18" s="319" t="s">
        <v>121</v>
      </c>
      <c r="AK18" s="319" t="s">
        <v>122</v>
      </c>
      <c r="AN18" s="373">
        <v>10010</v>
      </c>
      <c r="AO18" s="319" t="s">
        <v>98</v>
      </c>
      <c r="AP18" s="319">
        <v>7.9</v>
      </c>
      <c r="AQ18" s="321">
        <f>AN18*AP18</f>
        <v>79079</v>
      </c>
      <c r="BA18" s="84"/>
      <c r="BB18" s="4"/>
      <c r="BC18" s="4"/>
      <c r="BD18" s="4"/>
      <c r="BE18" s="4"/>
      <c r="BF18" s="4"/>
      <c r="BG18" s="4"/>
      <c r="BH18" s="428" t="s">
        <v>123</v>
      </c>
      <c r="BI18" s="429"/>
      <c r="BJ18" s="3" t="s">
        <v>124</v>
      </c>
      <c r="BK18" s="8">
        <v>130</v>
      </c>
      <c r="BL18" s="84"/>
    </row>
    <row r="19" spans="1:64" s="74" customFormat="1" ht="15" thickBot="1" x14ac:dyDescent="0.25">
      <c r="A19" s="84"/>
      <c r="B19" s="287" t="str">
        <f>'Pricing Trends'!R25</f>
        <v>RBD PALM OLEIN (FOREIGN)</v>
      </c>
      <c r="C19" s="249">
        <f>'Pricing Trends'!S25</f>
        <v>45494</v>
      </c>
      <c r="D19" s="223">
        <f>'Pricing Trends'!U25</f>
        <v>60.496870000000001</v>
      </c>
      <c r="E19" s="220" t="b">
        <v>0</v>
      </c>
      <c r="F19" s="84"/>
      <c r="G19" s="246" t="s">
        <v>125</v>
      </c>
      <c r="H19" s="84"/>
      <c r="I19" s="197">
        <f>SUM(I20:I35)</f>
        <v>1.1308954623547409</v>
      </c>
      <c r="J19" s="195">
        <f>I19/I6</f>
        <v>3.1413762843187247E-2</v>
      </c>
      <c r="K19" s="197">
        <f>SUM(K20:K35)</f>
        <v>4.4376435176496312</v>
      </c>
      <c r="L19" s="195">
        <f>K19/K6</f>
        <v>8.8752870352992619E-2</v>
      </c>
      <c r="M19" s="197">
        <f>SUM(M20:M35)</f>
        <v>2.7025584638706892</v>
      </c>
      <c r="N19" s="195">
        <f>M19/M6</f>
        <v>2.844798383021778E-2</v>
      </c>
      <c r="O19" s="131"/>
      <c r="P19" s="197">
        <f>SUM(P20:P35)</f>
        <v>14.019372857142857</v>
      </c>
      <c r="Q19" s="195">
        <f>P19/P6</f>
        <v>0.13351783673469386</v>
      </c>
      <c r="R19" s="131"/>
      <c r="S19" s="197">
        <f>SUM(S20:S35)</f>
        <v>15.432275714285714</v>
      </c>
      <c r="T19" s="195">
        <f>S19/S6</f>
        <v>0.13419370186335403</v>
      </c>
      <c r="U19" s="84"/>
      <c r="V19" s="353" t="s">
        <v>63</v>
      </c>
      <c r="W19" s="357">
        <f>$AC$10</f>
        <v>90.663300000000007</v>
      </c>
      <c r="X19" s="358">
        <v>1</v>
      </c>
      <c r="Y19" s="267">
        <f t="shared" si="8"/>
        <v>90.663300000000007</v>
      </c>
      <c r="Z19" s="84"/>
      <c r="AA19" s="90" t="s">
        <v>126</v>
      </c>
      <c r="AB19"/>
      <c r="AC19" s="359">
        <v>0</v>
      </c>
      <c r="AD19" s="84"/>
      <c r="AE19" s="319" t="s">
        <v>120</v>
      </c>
      <c r="AF19" s="322">
        <v>46140</v>
      </c>
      <c r="AG19" s="319" t="s">
        <v>105</v>
      </c>
      <c r="AH19" s="319" t="s">
        <v>121</v>
      </c>
      <c r="AI19" s="319"/>
      <c r="AJ19" s="319"/>
      <c r="AK19" s="319" t="s">
        <v>127</v>
      </c>
      <c r="AL19" s="319"/>
      <c r="AM19" s="319"/>
      <c r="AN19" s="373">
        <v>15120</v>
      </c>
      <c r="AO19" s="319" t="s">
        <v>98</v>
      </c>
      <c r="AP19" s="319">
        <v>3.8</v>
      </c>
      <c r="AQ19" s="321">
        <f>AN19*AP19</f>
        <v>57456</v>
      </c>
      <c r="AR19" s="319"/>
      <c r="AS19" s="319"/>
      <c r="AT19" s="337"/>
      <c r="AU19" s="319"/>
      <c r="AV19" s="319"/>
      <c r="AW19" s="340"/>
      <c r="AX19" s="340"/>
      <c r="AY19" s="344"/>
      <c r="AZ19" s="321"/>
      <c r="BA19" s="84"/>
      <c r="BB19" s="433" t="s">
        <v>128</v>
      </c>
      <c r="BC19" s="434"/>
      <c r="BD19" s="434"/>
      <c r="BE19" s="434"/>
      <c r="BF19" s="435"/>
      <c r="BG19" s="4"/>
      <c r="BH19" s="428" t="s">
        <v>129</v>
      </c>
      <c r="BI19" s="429"/>
      <c r="BJ19" s="3" t="s">
        <v>124</v>
      </c>
      <c r="BK19" s="8">
        <v>281</v>
      </c>
      <c r="BL19" s="84"/>
    </row>
    <row r="20" spans="1:64" s="74" customFormat="1" ht="15" thickBot="1" x14ac:dyDescent="0.25">
      <c r="A20" s="84"/>
      <c r="B20" s="287" t="str">
        <f>'Pricing Trends'!R26</f>
        <v>RBD PALM OLEIN (FOREIGN)</v>
      </c>
      <c r="C20" s="249">
        <f>'Pricing Trends'!S26</f>
        <v>45314</v>
      </c>
      <c r="D20" s="223">
        <f>'Pricing Trends'!U26</f>
        <v>57.513559999999998</v>
      </c>
      <c r="E20" s="220" t="b">
        <v>0</v>
      </c>
      <c r="F20" s="84"/>
      <c r="G20" s="247" t="s">
        <v>130</v>
      </c>
      <c r="H20" s="84"/>
      <c r="I20" s="94">
        <v>0.2</v>
      </c>
      <c r="J20" s="99">
        <f t="shared" ref="J20:J35" si="9">I20/I$6</f>
        <v>5.5555555555555558E-3</v>
      </c>
      <c r="K20" s="94">
        <v>0.2</v>
      </c>
      <c r="L20" s="99">
        <f t="shared" ref="L20:L33" si="10">K20/K$6</f>
        <v>4.0000000000000001E-3</v>
      </c>
      <c r="M20" s="94">
        <v>0.2</v>
      </c>
      <c r="N20" s="99">
        <f t="shared" ref="N20:N21" si="11">M20/M$6</f>
        <v>2.1052631578947368E-3</v>
      </c>
      <c r="O20" s="131"/>
      <c r="P20" s="251"/>
      <c r="Q20" s="99">
        <f t="shared" ref="Q20:Q29" si="12">P20/P$6</f>
        <v>0</v>
      </c>
      <c r="R20" s="131"/>
      <c r="S20" s="251"/>
      <c r="T20" s="99"/>
      <c r="U20" s="84"/>
      <c r="V20" s="357" t="s">
        <v>68</v>
      </c>
      <c r="W20" s="357">
        <f>$AC$11</f>
        <v>0</v>
      </c>
      <c r="X20" s="358">
        <v>0</v>
      </c>
      <c r="Y20" s="267">
        <f t="shared" si="8"/>
        <v>0</v>
      </c>
      <c r="Z20" s="84"/>
      <c r="AA20" s="90" t="s">
        <v>91</v>
      </c>
      <c r="AB20" s="317">
        <f>AF32</f>
        <v>46151</v>
      </c>
      <c r="AC20" s="359">
        <f>AZ32</f>
        <v>7.9</v>
      </c>
      <c r="AD20" s="84"/>
      <c r="AE20" s="319" t="s">
        <v>90</v>
      </c>
      <c r="AF20" s="322">
        <v>46148</v>
      </c>
      <c r="AG20" s="319" t="s">
        <v>81</v>
      </c>
      <c r="AH20" s="319" t="s">
        <v>131</v>
      </c>
      <c r="AI20" s="319" t="s">
        <v>132</v>
      </c>
      <c r="AJ20" s="319">
        <v>552335</v>
      </c>
      <c r="AK20" s="319" t="s">
        <v>133</v>
      </c>
      <c r="AL20" s="319" t="s">
        <v>134</v>
      </c>
      <c r="AM20" s="319" t="s">
        <v>135</v>
      </c>
      <c r="AN20" s="373">
        <v>6225</v>
      </c>
      <c r="AO20" s="319" t="s">
        <v>98</v>
      </c>
      <c r="AP20" s="319">
        <v>26</v>
      </c>
      <c r="AQ20" s="321">
        <f>AN20*AP20</f>
        <v>161850</v>
      </c>
      <c r="AR20" s="319">
        <f>AQ20/1.12*0.12</f>
        <v>17341.071428571424</v>
      </c>
      <c r="AS20" s="319">
        <f>AQ20-AR20</f>
        <v>144508.92857142858</v>
      </c>
      <c r="AT20" s="337"/>
      <c r="AU20" s="319"/>
      <c r="AV20" s="319"/>
      <c r="AW20" s="340"/>
      <c r="AX20" s="340"/>
      <c r="AY20" s="344"/>
      <c r="AZ20" s="321">
        <f>AP20/36</f>
        <v>0.72222222222222221</v>
      </c>
      <c r="BA20" s="84"/>
      <c r="BB20" s="436" t="s">
        <v>136</v>
      </c>
      <c r="BC20" s="437"/>
      <c r="BD20" s="437"/>
      <c r="BE20" s="437"/>
      <c r="BF20" s="438"/>
      <c r="BG20" s="4"/>
      <c r="BH20" s="9" t="s">
        <v>137</v>
      </c>
      <c r="BI20" s="23"/>
      <c r="BJ20" s="439">
        <f>SUM(BK15:BK19)</f>
        <v>188980.21</v>
      </c>
      <c r="BK20" s="440"/>
      <c r="BL20" s="84"/>
    </row>
    <row r="21" spans="1:64" s="74" customFormat="1" ht="15" thickBot="1" x14ac:dyDescent="0.25">
      <c r="A21" s="84"/>
      <c r="B21" s="287" t="str">
        <f>'Pricing Trends'!R27</f>
        <v>RBD PALM OLEIN (FOREIGN)</v>
      </c>
      <c r="C21" s="249">
        <f>'Pricing Trends'!S27</f>
        <v>45248</v>
      </c>
      <c r="D21" s="223">
        <f>'Pricing Trends'!U27</f>
        <v>61.450510000000001</v>
      </c>
      <c r="E21" s="220" t="b">
        <v>0</v>
      </c>
      <c r="F21" s="84"/>
      <c r="G21" s="247" t="s">
        <v>138</v>
      </c>
      <c r="H21" s="84"/>
      <c r="I21" s="94">
        <f>0.4*0.35</f>
        <v>0.13999999999999999</v>
      </c>
      <c r="J21" s="99">
        <f t="shared" si="9"/>
        <v>3.8888888888888883E-3</v>
      </c>
      <c r="K21" s="94">
        <f>0.4*0.5</f>
        <v>0.2</v>
      </c>
      <c r="L21" s="99">
        <f t="shared" si="10"/>
        <v>4.0000000000000001E-3</v>
      </c>
      <c r="M21" s="94">
        <v>0.4</v>
      </c>
      <c r="N21" s="99">
        <f t="shared" si="11"/>
        <v>4.2105263157894736E-3</v>
      </c>
      <c r="O21" s="131"/>
      <c r="P21" s="94">
        <v>0.4</v>
      </c>
      <c r="Q21" s="99">
        <f t="shared" si="12"/>
        <v>3.8095238095238095E-3</v>
      </c>
      <c r="R21" s="131"/>
      <c r="S21" s="94">
        <v>0.4</v>
      </c>
      <c r="T21" s="99">
        <f t="shared" ref="T21:T29" si="13">S21/S$6</f>
        <v>3.4782608695652175E-3</v>
      </c>
      <c r="U21" s="84"/>
      <c r="V21" s="356" t="s">
        <v>74</v>
      </c>
      <c r="W21" s="357">
        <f>$AC$12</f>
        <v>84.389099999999999</v>
      </c>
      <c r="X21" s="358">
        <v>0</v>
      </c>
      <c r="Y21" s="267">
        <f t="shared" si="8"/>
        <v>0</v>
      </c>
      <c r="Z21" s="84"/>
      <c r="AA21" s="90" t="s">
        <v>139</v>
      </c>
      <c r="AB21" s="317"/>
      <c r="AC21" s="359">
        <f>AZ38</f>
        <v>4.0999999999999996</v>
      </c>
      <c r="AD21" s="84"/>
      <c r="AE21" s="319" t="s">
        <v>90</v>
      </c>
      <c r="AF21" s="322">
        <v>46148</v>
      </c>
      <c r="AG21" s="319" t="s">
        <v>89</v>
      </c>
      <c r="AH21" s="319" t="s">
        <v>131</v>
      </c>
      <c r="AI21" s="319" t="s">
        <v>132</v>
      </c>
      <c r="AJ21" s="319">
        <v>552333</v>
      </c>
      <c r="AK21" s="319" t="s">
        <v>133</v>
      </c>
      <c r="AL21" s="319" t="s">
        <v>140</v>
      </c>
      <c r="AM21" s="319" t="s">
        <v>141</v>
      </c>
      <c r="AN21" s="373">
        <v>2000</v>
      </c>
      <c r="AO21" s="319" t="s">
        <v>98</v>
      </c>
      <c r="AP21" s="319">
        <v>20.9</v>
      </c>
      <c r="AQ21" s="321">
        <f>AN21*AP21</f>
        <v>41800</v>
      </c>
      <c r="AR21" s="319">
        <f>AQ21/1.12*0.12</f>
        <v>4478.5714285714275</v>
      </c>
      <c r="AS21" s="319">
        <f>AQ21-AR21</f>
        <v>37321.428571428572</v>
      </c>
      <c r="AT21" s="337"/>
      <c r="AU21" s="319"/>
      <c r="AV21" s="319"/>
      <c r="AW21" s="340"/>
      <c r="AX21" s="340"/>
      <c r="AY21" s="344"/>
      <c r="AZ21" s="321">
        <f>AP21/24</f>
        <v>0.87083333333333324</v>
      </c>
      <c r="BA21" s="84"/>
      <c r="BB21" s="457" t="s">
        <v>142</v>
      </c>
      <c r="BC21" s="458"/>
      <c r="BD21" s="458"/>
      <c r="BE21" s="39" t="s">
        <v>102</v>
      </c>
      <c r="BF21" s="49">
        <f>BD16*BF17</f>
        <v>2026160</v>
      </c>
      <c r="BG21" s="4"/>
      <c r="BH21" s="4"/>
      <c r="BI21" s="4"/>
      <c r="BJ21" s="4"/>
      <c r="BK21" s="4"/>
      <c r="BL21" s="84"/>
    </row>
    <row r="22" spans="1:64" ht="15" thickBot="1" x14ac:dyDescent="0.25">
      <c r="A22" s="84"/>
      <c r="B22" s="287" t="str">
        <f>'Pricing Trends'!R28</f>
        <v>RBD PALM OLEIN (FOREIGN)</v>
      </c>
      <c r="C22" s="249">
        <f>'Pricing Trends'!S28</f>
        <v>45244</v>
      </c>
      <c r="D22" s="223">
        <f>'Pricing Trends'!U28</f>
        <v>63.352640000000001</v>
      </c>
      <c r="E22" s="220" t="b">
        <v>0</v>
      </c>
      <c r="F22" s="84"/>
      <c r="G22" s="247" t="s">
        <v>143</v>
      </c>
      <c r="H22" s="84"/>
      <c r="I22" s="94"/>
      <c r="J22" s="99"/>
      <c r="K22" s="94"/>
      <c r="L22" s="99"/>
      <c r="M22" s="94"/>
      <c r="N22" s="99"/>
      <c r="O22" s="131"/>
      <c r="P22" s="94"/>
      <c r="Q22" s="99"/>
      <c r="R22" s="131"/>
      <c r="S22" s="94"/>
      <c r="T22" s="99"/>
      <c r="U22" s="84"/>
      <c r="V22" s="348"/>
      <c r="W22" s="350"/>
      <c r="X22" s="351"/>
      <c r="Y22" s="352"/>
      <c r="Z22" s="84"/>
      <c r="AA22" s="90" t="s">
        <v>144</v>
      </c>
      <c r="AC22" s="359">
        <v>0</v>
      </c>
      <c r="AD22" s="84"/>
      <c r="AE22" s="319" t="s">
        <v>90</v>
      </c>
      <c r="AF22" s="322">
        <v>46149</v>
      </c>
      <c r="AG22" s="319" t="s">
        <v>104</v>
      </c>
      <c r="AH22" s="319" t="s">
        <v>131</v>
      </c>
      <c r="AI22" s="319" t="s">
        <v>132</v>
      </c>
      <c r="AJ22" s="319">
        <v>552334</v>
      </c>
      <c r="AK22" s="319" t="s">
        <v>145</v>
      </c>
      <c r="AL22" s="319" t="s">
        <v>146</v>
      </c>
      <c r="AM22" s="319" t="s">
        <v>147</v>
      </c>
      <c r="AN22" s="373">
        <v>7425</v>
      </c>
      <c r="AO22" s="319" t="s">
        <v>98</v>
      </c>
      <c r="AP22" s="319">
        <v>25.8</v>
      </c>
      <c r="AQ22" s="321">
        <f>AN22*AP22</f>
        <v>191565</v>
      </c>
      <c r="AR22" s="319">
        <f>AQ22/1.12*0.12</f>
        <v>20524.821428571424</v>
      </c>
      <c r="AS22" s="319">
        <f>AQ22-AR22</f>
        <v>171040.17857142858</v>
      </c>
      <c r="AZ22" s="321">
        <f>AP22/12</f>
        <v>2.15</v>
      </c>
      <c r="BA22" s="84"/>
      <c r="BB22" s="436" t="s">
        <v>148</v>
      </c>
      <c r="BC22" s="437"/>
      <c r="BD22" s="437"/>
      <c r="BE22" s="437"/>
      <c r="BF22" s="438"/>
      <c r="BG22" s="4"/>
      <c r="BH22" s="425" t="s">
        <v>149</v>
      </c>
      <c r="BI22" s="426"/>
      <c r="BJ22" s="426"/>
      <c r="BK22" s="427"/>
      <c r="BL22" s="84"/>
    </row>
    <row r="23" spans="1:64" s="212" customFormat="1" x14ac:dyDescent="0.2">
      <c r="A23" s="210"/>
      <c r="B23" s="287" t="str">
        <f>'Pricing Trends'!R29</f>
        <v>RBD PALM OLEIN (FOREIGN)</v>
      </c>
      <c r="C23" s="249">
        <f>'Pricing Trends'!S29</f>
        <v>45234</v>
      </c>
      <c r="D23" s="223">
        <f>'Pricing Trends'!U29</f>
        <v>56.635750000000002</v>
      </c>
      <c r="E23" s="220" t="b">
        <v>0</v>
      </c>
      <c r="F23" s="210"/>
      <c r="G23" s="247" t="s">
        <v>150</v>
      </c>
      <c r="H23" s="84"/>
      <c r="I23" s="94"/>
      <c r="J23" s="99"/>
      <c r="K23" s="94"/>
      <c r="L23" s="99"/>
      <c r="M23" s="94"/>
      <c r="N23" s="99"/>
      <c r="O23" s="131"/>
      <c r="P23" s="94"/>
      <c r="Q23" s="99"/>
      <c r="R23" s="131"/>
      <c r="S23" s="94"/>
      <c r="T23" s="99"/>
      <c r="U23" s="210"/>
      <c r="V23" s="415" t="s">
        <v>151</v>
      </c>
      <c r="W23" s="415"/>
      <c r="X23" s="415"/>
      <c r="Y23" s="349">
        <f>SUM(Y24:Y29)</f>
        <v>84.389099999999999</v>
      </c>
      <c r="Z23" s="84"/>
      <c r="AA23" s="90" t="s">
        <v>152</v>
      </c>
      <c r="AB23" s="313"/>
      <c r="AC23" s="359">
        <f>AZ37</f>
        <v>8.6</v>
      </c>
      <c r="AD23" s="84"/>
      <c r="AE23" s="319" t="s">
        <v>90</v>
      </c>
      <c r="AF23" s="322">
        <v>46150</v>
      </c>
      <c r="AG23" s="319" t="s">
        <v>105</v>
      </c>
      <c r="AH23" s="319"/>
      <c r="AI23" s="319" t="s">
        <v>93</v>
      </c>
      <c r="AJ23" s="319" t="s">
        <v>153</v>
      </c>
      <c r="AK23" s="319" t="s">
        <v>154</v>
      </c>
      <c r="AL23" s="319" t="s">
        <v>155</v>
      </c>
      <c r="AM23" s="319" t="s">
        <v>156</v>
      </c>
      <c r="AN23" s="373">
        <v>43890</v>
      </c>
      <c r="AO23" s="319" t="s">
        <v>98</v>
      </c>
      <c r="AP23" s="319">
        <v>3.25</v>
      </c>
      <c r="AQ23" s="321">
        <f>AP23*AN23</f>
        <v>142642.5</v>
      </c>
      <c r="AR23" s="319"/>
      <c r="AS23" s="319"/>
      <c r="AT23" s="337"/>
      <c r="AU23" s="319"/>
      <c r="AV23" s="319"/>
      <c r="AW23" s="340"/>
      <c r="AX23" s="340"/>
      <c r="AY23" s="344"/>
      <c r="AZ23" s="321">
        <f>AP23</f>
        <v>3.25</v>
      </c>
      <c r="BA23" s="210"/>
      <c r="BB23" s="40" t="s">
        <v>157</v>
      </c>
      <c r="BC23" s="41"/>
      <c r="BD23" s="41" t="s">
        <v>102</v>
      </c>
      <c r="BE23" s="42">
        <v>25029</v>
      </c>
      <c r="BF23" s="442">
        <f>SUM(BE23:BE24)</f>
        <v>73205</v>
      </c>
      <c r="BG23" s="4"/>
      <c r="BH23" s="428" t="s">
        <v>158</v>
      </c>
      <c r="BI23" s="429"/>
      <c r="BJ23" s="7" t="s">
        <v>159</v>
      </c>
      <c r="BK23" s="14">
        <v>42510</v>
      </c>
      <c r="BL23" s="210"/>
    </row>
    <row r="24" spans="1:64" ht="15" thickBot="1" x14ac:dyDescent="0.25">
      <c r="A24" s="84"/>
      <c r="B24" s="287">
        <f>'Pricing Trends'!R30</f>
        <v>0</v>
      </c>
      <c r="C24" s="249">
        <f>'Pricing Trends'!S30</f>
        <v>0</v>
      </c>
      <c r="D24" s="223">
        <f>'Pricing Trends'!U30</f>
        <v>0</v>
      </c>
      <c r="E24" s="220" t="b">
        <v>0</v>
      </c>
      <c r="F24" s="84"/>
      <c r="G24" s="247" t="s">
        <v>160</v>
      </c>
      <c r="H24" s="84"/>
      <c r="I24" s="94"/>
      <c r="J24" s="99">
        <f t="shared" ref="J24" si="14">I24/I$6</f>
        <v>0</v>
      </c>
      <c r="K24" s="94">
        <v>1</v>
      </c>
      <c r="L24" s="99"/>
      <c r="M24" s="94"/>
      <c r="N24" s="99">
        <f t="shared" ref="N24" si="15">M24/M$6</f>
        <v>0</v>
      </c>
      <c r="O24" s="131"/>
      <c r="P24" s="94">
        <v>1</v>
      </c>
      <c r="Q24" s="99">
        <f t="shared" ref="Q24" si="16">P24/P$6</f>
        <v>9.5238095238095247E-3</v>
      </c>
      <c r="R24" s="131"/>
      <c r="S24" s="94">
        <v>1</v>
      </c>
      <c r="T24" s="99">
        <f t="shared" ref="T24" si="17">S24/S$6</f>
        <v>8.6956521739130436E-3</v>
      </c>
      <c r="U24" s="84"/>
      <c r="V24" s="356" t="s">
        <v>47</v>
      </c>
      <c r="W24" s="357">
        <f>$AC$7</f>
        <v>75.061598028863074</v>
      </c>
      <c r="X24" s="358">
        <v>0</v>
      </c>
      <c r="Y24" s="267">
        <f>W24*X24</f>
        <v>0</v>
      </c>
      <c r="Z24" s="84"/>
      <c r="AD24" s="84"/>
      <c r="AE24" s="319" t="s">
        <v>90</v>
      </c>
      <c r="AF24" s="322">
        <v>46150</v>
      </c>
      <c r="AG24" s="319" t="s">
        <v>113</v>
      </c>
      <c r="AI24" s="319" t="s">
        <v>93</v>
      </c>
      <c r="AJ24" s="319" t="s">
        <v>153</v>
      </c>
      <c r="AK24" s="319" t="s">
        <v>114</v>
      </c>
      <c r="AL24" s="319" t="s">
        <v>161</v>
      </c>
      <c r="AM24" s="319" t="s">
        <v>116</v>
      </c>
      <c r="AN24" s="373">
        <v>43890</v>
      </c>
      <c r="AO24" s="319" t="s">
        <v>98</v>
      </c>
      <c r="AP24" s="319">
        <v>0.7</v>
      </c>
      <c r="AQ24" s="321">
        <f>AP24*AN24</f>
        <v>30722.999999999996</v>
      </c>
      <c r="AZ24" s="321">
        <f>AP24</f>
        <v>0.7</v>
      </c>
      <c r="BA24" s="84"/>
      <c r="BB24" s="43" t="s">
        <v>162</v>
      </c>
      <c r="BC24" s="36"/>
      <c r="BD24" s="41" t="s">
        <v>102</v>
      </c>
      <c r="BE24" s="44">
        <v>48176</v>
      </c>
      <c r="BF24" s="443"/>
      <c r="BG24" s="4"/>
      <c r="BH24" s="428" t="s">
        <v>163</v>
      </c>
      <c r="BI24" s="429"/>
      <c r="BJ24" s="7" t="s">
        <v>159</v>
      </c>
      <c r="BK24" s="14">
        <v>2846.23</v>
      </c>
      <c r="BL24" s="84"/>
    </row>
    <row r="25" spans="1:64" ht="15" hidden="1" thickBot="1" x14ac:dyDescent="0.25">
      <c r="A25" s="84"/>
      <c r="B25" s="287" t="str">
        <f>'Pricing Trends'!R31</f>
        <v>RBD CANOLA OIL</v>
      </c>
      <c r="C25" s="249">
        <f>'Pricing Trends'!S31</f>
        <v>45269</v>
      </c>
      <c r="D25" s="223">
        <f>'Pricing Trends'!U31</f>
        <v>73.180847</v>
      </c>
      <c r="E25" s="220" t="b">
        <v>0</v>
      </c>
      <c r="F25" s="84"/>
      <c r="G25" s="297" t="s">
        <v>164</v>
      </c>
      <c r="H25" s="84"/>
      <c r="I25" s="94"/>
      <c r="J25" s="99"/>
      <c r="K25" s="94"/>
      <c r="L25" s="99"/>
      <c r="M25" s="94"/>
      <c r="N25" s="99"/>
      <c r="O25" s="131"/>
      <c r="P25" s="94"/>
      <c r="Q25" s="99"/>
      <c r="R25" s="131"/>
      <c r="S25" s="94"/>
      <c r="T25" s="99"/>
      <c r="U25" s="84"/>
      <c r="V25" s="356" t="s">
        <v>55</v>
      </c>
      <c r="W25" s="357">
        <f>$AC$8</f>
        <v>81.661199999999994</v>
      </c>
      <c r="X25" s="358">
        <v>0</v>
      </c>
      <c r="Y25" s="267">
        <f t="shared" ref="Y25:Y29" si="18">W25*X25</f>
        <v>0</v>
      </c>
      <c r="Z25" s="84"/>
      <c r="AA25" s="90" t="s">
        <v>165</v>
      </c>
      <c r="AB25" t="s">
        <v>166</v>
      </c>
      <c r="AC25" s="267">
        <f>AZ40</f>
        <v>0.20255846387068854</v>
      </c>
      <c r="AD25" s="84"/>
      <c r="AE25" s="319" t="s">
        <v>90</v>
      </c>
      <c r="AF25" s="322">
        <v>46150</v>
      </c>
      <c r="AG25" s="319" t="s">
        <v>167</v>
      </c>
      <c r="AI25" s="319" t="s">
        <v>168</v>
      </c>
      <c r="AK25" s="319" t="s">
        <v>169</v>
      </c>
      <c r="AN25" s="373">
        <v>120</v>
      </c>
      <c r="AO25" s="319" t="s">
        <v>170</v>
      </c>
      <c r="AP25" s="319">
        <v>820.8</v>
      </c>
      <c r="AQ25" s="321">
        <f>AP25*AN25</f>
        <v>98496</v>
      </c>
      <c r="BA25" s="84"/>
      <c r="BB25" s="446" t="s">
        <v>171</v>
      </c>
      <c r="BC25" s="447"/>
      <c r="BD25" s="447"/>
      <c r="BE25" s="448"/>
      <c r="BF25" s="26">
        <f>SUM(BF21:BF23)</f>
        <v>2099365</v>
      </c>
      <c r="BG25" s="4"/>
      <c r="BH25" s="428" t="s">
        <v>172</v>
      </c>
      <c r="BI25" s="429"/>
      <c r="BJ25" s="7" t="s">
        <v>159</v>
      </c>
      <c r="BK25" s="8">
        <v>18000</v>
      </c>
      <c r="BL25" s="84"/>
    </row>
    <row r="26" spans="1:64" ht="15" thickBot="1" x14ac:dyDescent="0.25">
      <c r="A26" s="84"/>
      <c r="B26" s="287" t="str">
        <f>'Pricing Trends'!R32</f>
        <v>RBD CANOLA OIL</v>
      </c>
      <c r="C26" s="249">
        <f>'Pricing Trends'!S32</f>
        <v>45118</v>
      </c>
      <c r="D26" s="223">
        <f>'Pricing Trends'!U32</f>
        <v>80.463780999999997</v>
      </c>
      <c r="E26" s="220" t="b">
        <v>0</v>
      </c>
      <c r="F26" s="84"/>
      <c r="G26" s="297" t="s">
        <v>173</v>
      </c>
      <c r="H26" s="84"/>
      <c r="I26" s="94"/>
      <c r="J26" s="99"/>
      <c r="K26" s="94"/>
      <c r="L26" s="99"/>
      <c r="M26" s="94"/>
      <c r="N26" s="99"/>
      <c r="O26" s="131"/>
      <c r="P26" s="94"/>
      <c r="Q26" s="99"/>
      <c r="R26" s="131"/>
      <c r="S26" s="94"/>
      <c r="T26" s="99"/>
      <c r="U26" s="84"/>
      <c r="V26" s="356" t="s">
        <v>59</v>
      </c>
      <c r="W26" s="357">
        <f>$AC$9</f>
        <v>0</v>
      </c>
      <c r="X26" s="358">
        <v>0</v>
      </c>
      <c r="Y26" s="267">
        <f t="shared" si="18"/>
        <v>0</v>
      </c>
      <c r="Z26" s="84"/>
      <c r="AD26" s="84"/>
      <c r="AE26" s="319" t="s">
        <v>120</v>
      </c>
      <c r="AF26" s="329">
        <v>46150</v>
      </c>
      <c r="AG26" s="330" t="s">
        <v>105</v>
      </c>
      <c r="AH26" s="319" t="s">
        <v>121</v>
      </c>
      <c r="AK26" s="319" t="s">
        <v>127</v>
      </c>
      <c r="AN26" s="373">
        <v>43890</v>
      </c>
      <c r="AO26" s="319" t="s">
        <v>98</v>
      </c>
      <c r="AP26" s="319">
        <v>3.95</v>
      </c>
      <c r="AQ26" s="321">
        <f>AN26*AP26</f>
        <v>173365.5</v>
      </c>
      <c r="AZ26" s="321">
        <f>AP26</f>
        <v>3.95</v>
      </c>
      <c r="BA26" s="84"/>
      <c r="BB26" s="436" t="s">
        <v>174</v>
      </c>
      <c r="BC26" s="437"/>
      <c r="BD26" s="437"/>
      <c r="BE26" s="441"/>
      <c r="BF26" s="38"/>
      <c r="BG26" s="4"/>
      <c r="BH26" s="428" t="s">
        <v>175</v>
      </c>
      <c r="BI26" s="429"/>
      <c r="BJ26" s="3" t="s">
        <v>124</v>
      </c>
      <c r="BK26" s="8">
        <v>6000</v>
      </c>
      <c r="BL26" s="84"/>
    </row>
    <row r="27" spans="1:64" x14ac:dyDescent="0.2">
      <c r="A27" s="84"/>
      <c r="B27" s="287">
        <f>'Pricing Trends'!R33</f>
        <v>0</v>
      </c>
      <c r="C27" s="249">
        <f>'Pricing Trends'!S33</f>
        <v>0</v>
      </c>
      <c r="D27" s="223">
        <f>'Pricing Trends'!U33</f>
        <v>0</v>
      </c>
      <c r="E27" s="220" t="b">
        <v>0</v>
      </c>
      <c r="F27" s="84"/>
      <c r="G27" s="247" t="s">
        <v>176</v>
      </c>
      <c r="H27" s="84"/>
      <c r="I27" s="94">
        <f>I6*0.01</f>
        <v>0.36</v>
      </c>
      <c r="J27" s="99">
        <f t="shared" si="9"/>
        <v>0.01</v>
      </c>
      <c r="K27" s="94">
        <f>K6*0.01</f>
        <v>0.5</v>
      </c>
      <c r="L27" s="99">
        <f t="shared" si="10"/>
        <v>0.01</v>
      </c>
      <c r="M27" s="94">
        <f>M6*0.01</f>
        <v>0.95000000000000007</v>
      </c>
      <c r="N27" s="99">
        <f t="shared" ref="N27:N33" si="19">M27/M$6</f>
        <v>0.01</v>
      </c>
      <c r="O27" s="131"/>
      <c r="P27" s="94">
        <f>P6*0.01</f>
        <v>1.05</v>
      </c>
      <c r="Q27" s="99">
        <f t="shared" si="12"/>
        <v>0.01</v>
      </c>
      <c r="R27" s="131"/>
      <c r="S27" s="94">
        <f>S6*0.01</f>
        <v>1.1500000000000001</v>
      </c>
      <c r="T27" s="99">
        <f t="shared" si="13"/>
        <v>1.0000000000000002E-2</v>
      </c>
      <c r="U27" s="84"/>
      <c r="V27" s="356" t="s">
        <v>63</v>
      </c>
      <c r="W27" s="357">
        <f>$AC$10</f>
        <v>90.663300000000007</v>
      </c>
      <c r="X27" s="358">
        <v>0</v>
      </c>
      <c r="Y27" s="267">
        <f t="shared" si="18"/>
        <v>0</v>
      </c>
      <c r="Z27" s="84"/>
      <c r="AD27" s="84"/>
      <c r="AE27" s="319" t="s">
        <v>90</v>
      </c>
      <c r="AF27" s="322">
        <v>46151</v>
      </c>
      <c r="AG27" s="319" t="s">
        <v>91</v>
      </c>
      <c r="AI27" s="319" t="s">
        <v>93</v>
      </c>
      <c r="AJ27" s="319" t="s">
        <v>177</v>
      </c>
      <c r="AK27" s="319" t="s">
        <v>178</v>
      </c>
      <c r="AL27" s="319" t="s">
        <v>179</v>
      </c>
      <c r="AM27" s="319" t="s">
        <v>97</v>
      </c>
      <c r="AN27" s="373">
        <v>17380</v>
      </c>
      <c r="AO27" s="319" t="s">
        <v>98</v>
      </c>
      <c r="AP27" s="319">
        <v>7.2</v>
      </c>
      <c r="AQ27" s="321">
        <f>AP27*AN27</f>
        <v>125136</v>
      </c>
      <c r="AZ27" s="321">
        <f>AP27</f>
        <v>7.2</v>
      </c>
      <c r="BA27" s="84"/>
      <c r="BB27" s="45" t="s">
        <v>180</v>
      </c>
      <c r="BC27" s="46"/>
      <c r="BD27" s="21" t="s">
        <v>159</v>
      </c>
      <c r="BE27" s="37">
        <v>0</v>
      </c>
      <c r="BF27" s="454">
        <f>SUM(BE27:BE33)</f>
        <v>14674.849999999999</v>
      </c>
      <c r="BG27" s="4"/>
      <c r="BH27" s="428" t="s">
        <v>181</v>
      </c>
      <c r="BI27" s="429"/>
      <c r="BJ27" s="3" t="s">
        <v>124</v>
      </c>
      <c r="BK27" s="8">
        <v>2000</v>
      </c>
      <c r="BL27" s="84"/>
    </row>
    <row r="28" spans="1:64" x14ac:dyDescent="0.2">
      <c r="A28" s="84"/>
      <c r="B28" s="287">
        <f>'Pricing Trends'!R34</f>
        <v>0</v>
      </c>
      <c r="C28" s="249">
        <f>'Pricing Trends'!S34</f>
        <v>0</v>
      </c>
      <c r="D28" s="223">
        <f>'Pricing Trends'!U34</f>
        <v>0</v>
      </c>
      <c r="E28" s="220" t="b">
        <v>0</v>
      </c>
      <c r="F28" s="84"/>
      <c r="G28" s="247" t="s">
        <v>182</v>
      </c>
      <c r="H28" s="84"/>
      <c r="I28" s="94">
        <f>I6*0.01</f>
        <v>0.36</v>
      </c>
      <c r="J28" s="99">
        <f t="shared" si="9"/>
        <v>0.01</v>
      </c>
      <c r="K28" s="94">
        <f>K6*0.01</f>
        <v>0.5</v>
      </c>
      <c r="L28" s="99">
        <f t="shared" si="10"/>
        <v>0.01</v>
      </c>
      <c r="M28" s="94">
        <f>M6*0.01</f>
        <v>0.95000000000000007</v>
      </c>
      <c r="N28" s="99">
        <f t="shared" si="19"/>
        <v>0.01</v>
      </c>
      <c r="O28" s="131"/>
      <c r="P28" s="94">
        <f t="shared" ref="P28" si="20">P6*0.01</f>
        <v>1.05</v>
      </c>
      <c r="Q28" s="99">
        <f t="shared" si="12"/>
        <v>0.01</v>
      </c>
      <c r="R28" s="131"/>
      <c r="S28" s="94">
        <f t="shared" ref="S28" si="21">S6*0.01</f>
        <v>1.1500000000000001</v>
      </c>
      <c r="T28" s="99">
        <f t="shared" si="13"/>
        <v>1.0000000000000002E-2</v>
      </c>
      <c r="U28" s="84"/>
      <c r="V28" s="354" t="s">
        <v>68</v>
      </c>
      <c r="W28" s="357">
        <f>$AC$11</f>
        <v>0</v>
      </c>
      <c r="X28" s="358">
        <v>0</v>
      </c>
      <c r="Y28" s="267">
        <f t="shared" si="18"/>
        <v>0</v>
      </c>
      <c r="Z28" s="84"/>
      <c r="AA28" s="412" t="s">
        <v>183</v>
      </c>
      <c r="AB28" s="412"/>
      <c r="AC28" s="412"/>
      <c r="AD28" s="412"/>
      <c r="AE28" s="319" t="s">
        <v>90</v>
      </c>
      <c r="AF28" s="331">
        <v>46151</v>
      </c>
      <c r="AG28" s="332" t="s">
        <v>113</v>
      </c>
      <c r="AH28" s="332"/>
      <c r="AI28" s="332" t="s">
        <v>93</v>
      </c>
      <c r="AJ28" s="332" t="s">
        <v>177</v>
      </c>
      <c r="AK28" s="332" t="s">
        <v>114</v>
      </c>
      <c r="AL28" s="332" t="s">
        <v>184</v>
      </c>
      <c r="AM28" s="332" t="s">
        <v>116</v>
      </c>
      <c r="AN28" s="374">
        <v>17380</v>
      </c>
      <c r="AO28" s="332" t="s">
        <v>98</v>
      </c>
      <c r="AP28" s="332">
        <v>0.7</v>
      </c>
      <c r="AQ28" s="321">
        <f>AP28*AN28</f>
        <v>12166</v>
      </c>
      <c r="AR28" s="332"/>
      <c r="AS28" s="332"/>
      <c r="AT28" s="338"/>
      <c r="AU28" s="327"/>
      <c r="AV28" s="327"/>
      <c r="AW28" s="345"/>
      <c r="AX28" s="345"/>
      <c r="AY28" s="346"/>
      <c r="AZ28" s="321">
        <f>AP28</f>
        <v>0.7</v>
      </c>
      <c r="BA28" s="84"/>
      <c r="BB28" s="45" t="s">
        <v>185</v>
      </c>
      <c r="BC28" s="46"/>
      <c r="BD28" s="21" t="s">
        <v>159</v>
      </c>
      <c r="BE28" s="37">
        <v>0</v>
      </c>
      <c r="BF28" s="455"/>
      <c r="BG28" s="4"/>
      <c r="BH28" s="428" t="s">
        <v>186</v>
      </c>
      <c r="BI28" s="429"/>
      <c r="BJ28" s="3" t="s">
        <v>124</v>
      </c>
      <c r="BK28" s="8">
        <v>42000</v>
      </c>
      <c r="BL28" s="84"/>
    </row>
    <row r="29" spans="1:64" hidden="1" x14ac:dyDescent="0.2">
      <c r="A29" s="84"/>
      <c r="B29" s="287">
        <f>'Pricing Trends'!R35</f>
        <v>0</v>
      </c>
      <c r="C29" s="249">
        <f>'Pricing Trends'!S35</f>
        <v>0</v>
      </c>
      <c r="D29" s="223">
        <f>'Pricing Trends'!U35</f>
        <v>0</v>
      </c>
      <c r="E29" s="220" t="b">
        <v>0</v>
      </c>
      <c r="F29" s="84"/>
      <c r="G29" s="247" t="s">
        <v>187</v>
      </c>
      <c r="H29" s="84"/>
      <c r="I29" s="94"/>
      <c r="J29" s="99">
        <f t="shared" si="9"/>
        <v>0</v>
      </c>
      <c r="K29" s="94"/>
      <c r="L29" s="99">
        <f t="shared" si="10"/>
        <v>0</v>
      </c>
      <c r="M29" s="94"/>
      <c r="N29" s="99">
        <f t="shared" si="19"/>
        <v>0</v>
      </c>
      <c r="O29" s="131"/>
      <c r="P29" s="94">
        <f t="shared" ref="P29" si="22">P6*0.03</f>
        <v>3.15</v>
      </c>
      <c r="Q29" s="99">
        <f t="shared" si="12"/>
        <v>0.03</v>
      </c>
      <c r="R29" s="131"/>
      <c r="S29" s="94">
        <f t="shared" ref="S29" si="23">S6*0.03</f>
        <v>3.4499999999999997</v>
      </c>
      <c r="T29" s="99">
        <f t="shared" si="13"/>
        <v>0.03</v>
      </c>
      <c r="U29" s="84"/>
      <c r="V29" s="353" t="s">
        <v>74</v>
      </c>
      <c r="W29" s="357">
        <f>$AC$12</f>
        <v>84.389099999999999</v>
      </c>
      <c r="X29" s="358">
        <v>1</v>
      </c>
      <c r="Y29" s="267">
        <f t="shared" si="18"/>
        <v>84.389099999999999</v>
      </c>
      <c r="Z29" s="84"/>
      <c r="AD29" s="84"/>
      <c r="AE29" s="319" t="s">
        <v>90</v>
      </c>
      <c r="AF29" s="322">
        <v>46151</v>
      </c>
      <c r="AG29" s="319" t="s">
        <v>75</v>
      </c>
      <c r="AI29" s="319" t="s">
        <v>168</v>
      </c>
      <c r="AK29" s="319" t="s">
        <v>188</v>
      </c>
      <c r="AN29" s="373">
        <v>182</v>
      </c>
      <c r="AO29" s="319" t="s">
        <v>170</v>
      </c>
      <c r="AP29" s="319">
        <v>953.05</v>
      </c>
      <c r="AQ29" s="321">
        <f>AP29*AN29</f>
        <v>173455.1</v>
      </c>
      <c r="BA29" s="84"/>
      <c r="BB29" s="45" t="s">
        <v>189</v>
      </c>
      <c r="BC29" s="46"/>
      <c r="BD29" s="21" t="s">
        <v>102</v>
      </c>
      <c r="BE29" s="37">
        <v>6975.74</v>
      </c>
      <c r="BF29" s="455"/>
      <c r="BG29" s="4"/>
      <c r="BH29" s="428" t="s">
        <v>190</v>
      </c>
      <c r="BI29" s="429"/>
      <c r="BJ29" s="3" t="s">
        <v>124</v>
      </c>
      <c r="BK29" s="8">
        <v>1500</v>
      </c>
      <c r="BL29" s="84"/>
    </row>
    <row r="30" spans="1:64" hidden="1" x14ac:dyDescent="0.2">
      <c r="A30" s="84"/>
      <c r="B30" s="287">
        <f>'Pricing Trends'!R36</f>
        <v>0</v>
      </c>
      <c r="C30" s="249">
        <f>'Pricing Trends'!S36</f>
        <v>0</v>
      </c>
      <c r="D30" s="223">
        <f>'Pricing Trends'!U36</f>
        <v>0</v>
      </c>
      <c r="E30" s="220" t="b">
        <v>0</v>
      </c>
      <c r="F30" s="84"/>
      <c r="G30" s="247" t="s">
        <v>191</v>
      </c>
      <c r="H30" s="84" t="s">
        <v>192</v>
      </c>
      <c r="I30" s="377">
        <f>M30*(35/100)</f>
        <v>7.0895462354740979E-2</v>
      </c>
      <c r="J30" s="99">
        <f t="shared" si="9"/>
        <v>1.9693183987428051E-3</v>
      </c>
      <c r="K30" s="377">
        <f>M30*0.5</f>
        <v>0.10127923193534427</v>
      </c>
      <c r="L30" s="99">
        <f t="shared" si="10"/>
        <v>2.0255846387068855E-3</v>
      </c>
      <c r="M30" s="377">
        <f>AZ40</f>
        <v>0.20255846387068854</v>
      </c>
      <c r="N30" s="99">
        <f t="shared" si="19"/>
        <v>2.1321943565335635E-3</v>
      </c>
      <c r="O30" s="131"/>
      <c r="P30" s="94">
        <f>((IFERROR(VLOOKUP(P2&amp;$G$11,Validation!$E:$F,2,FALSE),0)*'Pick Up Cost'!$C$16)+(IFERROR(VLOOKUP(P2&amp;$G$8,Validation!$E:$F,2,FALSE),0)*'Pick Up Cost'!$C$16))</f>
        <v>0</v>
      </c>
      <c r="Q30" s="99">
        <f>P30/P$6</f>
        <v>0</v>
      </c>
      <c r="R30" s="131"/>
      <c r="S30" s="94">
        <f>((IFERROR(VLOOKUP(S2&amp;$G$11,Validation!$E:$F,2,FALSE),0)*'Pick Up Cost'!$C$16)+(IFERROR(VLOOKUP(S2&amp;$G$8,Validation!$E:$F,2,FALSE),0)*'Pick Up Cost'!$C$16))</f>
        <v>0</v>
      </c>
      <c r="T30" s="99">
        <f>S30/S$6</f>
        <v>0</v>
      </c>
      <c r="U30" s="84"/>
      <c r="Z30" s="84"/>
      <c r="AD30" s="84"/>
      <c r="AE30" s="319" t="s">
        <v>90</v>
      </c>
      <c r="AF30" s="322">
        <v>46151</v>
      </c>
      <c r="AG30" s="319" t="s">
        <v>75</v>
      </c>
      <c r="AI30" s="319" t="s">
        <v>168</v>
      </c>
      <c r="AK30" s="319" t="s">
        <v>193</v>
      </c>
      <c r="AN30" s="373">
        <v>191</v>
      </c>
      <c r="AO30" s="319" t="s">
        <v>170</v>
      </c>
      <c r="AP30" s="319">
        <v>1486.2</v>
      </c>
      <c r="AQ30" s="321">
        <f>AP30*AN30</f>
        <v>283864.2</v>
      </c>
      <c r="BA30" s="84"/>
      <c r="BB30" s="45" t="s">
        <v>194</v>
      </c>
      <c r="BC30" s="46"/>
      <c r="BD30" s="21" t="s">
        <v>159</v>
      </c>
      <c r="BE30" s="37">
        <v>581.66999999999996</v>
      </c>
      <c r="BF30" s="455"/>
      <c r="BG30" s="4"/>
      <c r="BH30" s="428" t="s">
        <v>195</v>
      </c>
      <c r="BI30" s="429"/>
      <c r="BJ30" s="3" t="s">
        <v>124</v>
      </c>
      <c r="BK30" s="8">
        <v>2000</v>
      </c>
      <c r="BL30" s="84"/>
    </row>
    <row r="31" spans="1:64" hidden="1" x14ac:dyDescent="0.2">
      <c r="A31" s="84"/>
      <c r="B31" s="287">
        <f>'Pricing Trends'!R37</f>
        <v>0</v>
      </c>
      <c r="C31" s="249">
        <f>'Pricing Trends'!S37</f>
        <v>0</v>
      </c>
      <c r="D31" s="223">
        <f>'Pricing Trends'!U37</f>
        <v>0</v>
      </c>
      <c r="E31" s="220" t="b">
        <v>0</v>
      </c>
      <c r="F31" s="84"/>
      <c r="G31" s="297" t="s">
        <v>196</v>
      </c>
      <c r="H31" s="84"/>
      <c r="I31" s="94">
        <f>M31*0.35</f>
        <v>0</v>
      </c>
      <c r="J31" s="99">
        <f t="shared" si="9"/>
        <v>0</v>
      </c>
      <c r="K31" s="94">
        <f>M31*0.5</f>
        <v>0</v>
      </c>
      <c r="L31" s="99">
        <f t="shared" si="10"/>
        <v>0</v>
      </c>
      <c r="M31" s="94"/>
      <c r="N31" s="99">
        <f t="shared" si="19"/>
        <v>0</v>
      </c>
      <c r="O31" s="131"/>
      <c r="P31" s="94">
        <f>((IFERROR(VLOOKUP(P2&amp;$G$7,Validation!$E:$F,2,FALSE),0)*'Shipping Cost'!$E$4)+(IFERROR(VLOOKUP(P2&amp;$G$9,Validation!$E:$F,2,FALSE),0)*'Shipping Cost'!$C$4)+(IFERROR(VLOOKUP(P2&amp;$G$10,Validation!$E:$F,2,FALSE),0)*'Shipping Cost'!$D$4))</f>
        <v>0</v>
      </c>
      <c r="Q31" s="99">
        <f>P31/P$6</f>
        <v>0</v>
      </c>
      <c r="R31" s="131"/>
      <c r="S31" s="94">
        <f>((IFERROR(VLOOKUP(S2&amp;$G$7,Validation!$E:$F,2,FALSE),0)*'Shipping Cost'!$E$4)+(IFERROR(VLOOKUP(S2&amp;$G$9,Validation!$E:$F,2,FALSE),0)*'Shipping Cost'!$C$4)+(IFERROR(VLOOKUP(S2&amp;$G$10,Validation!$E:$F,2,FALSE),0)*'Shipping Cost'!$D$4))</f>
        <v>0</v>
      </c>
      <c r="T31" s="99">
        <f>S31/S$6</f>
        <v>0</v>
      </c>
      <c r="U31" s="84"/>
      <c r="Z31" s="84"/>
      <c r="AD31" s="84"/>
      <c r="AE31" s="319" t="s">
        <v>90</v>
      </c>
      <c r="AF31" s="322">
        <v>46151</v>
      </c>
      <c r="AG31" s="319" t="s">
        <v>75</v>
      </c>
      <c r="AI31" s="319" t="s">
        <v>168</v>
      </c>
      <c r="AK31" s="319" t="s">
        <v>197</v>
      </c>
      <c r="AN31" s="373">
        <v>340</v>
      </c>
      <c r="AO31" s="319" t="s">
        <v>170</v>
      </c>
      <c r="AP31" s="319">
        <v>854.65</v>
      </c>
      <c r="AQ31" s="321">
        <f>AP31*AN31</f>
        <v>290581</v>
      </c>
      <c r="BA31" s="84"/>
      <c r="BB31" s="45" t="s">
        <v>198</v>
      </c>
      <c r="BC31" s="46"/>
      <c r="BD31" s="21" t="s">
        <v>159</v>
      </c>
      <c r="BE31" s="37">
        <v>5837.44</v>
      </c>
      <c r="BF31" s="455"/>
      <c r="BG31" s="4"/>
      <c r="BH31" s="428" t="s">
        <v>199</v>
      </c>
      <c r="BI31" s="429"/>
      <c r="BJ31" s="3" t="s">
        <v>124</v>
      </c>
      <c r="BK31" s="8">
        <v>1000</v>
      </c>
      <c r="BL31" s="84"/>
    </row>
    <row r="32" spans="1:64" x14ac:dyDescent="0.2">
      <c r="A32" s="84"/>
      <c r="B32" s="287" t="str">
        <f>'Pricing Trends'!R38</f>
        <v>RBD COCONUT OIL</v>
      </c>
      <c r="C32" s="249">
        <f>'Pricing Trends'!S38</f>
        <v>45468</v>
      </c>
      <c r="D32" s="223">
        <f>'Pricing Trends'!U38</f>
        <v>85.357268567405839</v>
      </c>
      <c r="E32" s="220" t="b">
        <v>0</v>
      </c>
      <c r="F32" s="84"/>
      <c r="G32" s="247" t="s">
        <v>200</v>
      </c>
      <c r="H32" s="84"/>
      <c r="I32" s="94"/>
      <c r="J32" s="99">
        <f t="shared" si="9"/>
        <v>0</v>
      </c>
      <c r="K32" s="94">
        <f t="shared" ref="K32" si="24">K6*0.01</f>
        <v>0.5</v>
      </c>
      <c r="L32" s="99">
        <f t="shared" si="10"/>
        <v>0.01</v>
      </c>
      <c r="M32" s="94"/>
      <c r="N32" s="99">
        <f t="shared" si="19"/>
        <v>0</v>
      </c>
      <c r="O32" s="131"/>
      <c r="P32" s="94">
        <f>P10*0.05</f>
        <v>4.219455</v>
      </c>
      <c r="Q32" s="99">
        <f t="shared" ref="Q32:Q33" si="25">P32/P$6</f>
        <v>4.0185285714285715E-2</v>
      </c>
      <c r="R32" s="131"/>
      <c r="S32" s="94">
        <f>S7*0.05</f>
        <v>4.5331650000000003</v>
      </c>
      <c r="T32" s="99">
        <f t="shared" ref="T32:T33" si="26">S32/S$6</f>
        <v>3.9418826086956522E-2</v>
      </c>
      <c r="U32" s="84"/>
      <c r="Z32" s="84"/>
      <c r="AD32" s="84"/>
      <c r="AE32" s="319" t="s">
        <v>120</v>
      </c>
      <c r="AF32" s="329">
        <v>46151</v>
      </c>
      <c r="AG32" s="330" t="s">
        <v>91</v>
      </c>
      <c r="AH32" s="319" t="s">
        <v>121</v>
      </c>
      <c r="AK32" s="319" t="s">
        <v>122</v>
      </c>
      <c r="AL32" s="319" t="s">
        <v>201</v>
      </c>
      <c r="AN32" s="373">
        <v>17380</v>
      </c>
      <c r="AO32" s="319" t="s">
        <v>98</v>
      </c>
      <c r="AP32" s="319">
        <v>7.9</v>
      </c>
      <c r="AQ32" s="321">
        <f>AN32*AP32</f>
        <v>137302</v>
      </c>
      <c r="AZ32" s="321">
        <f>AP32</f>
        <v>7.9</v>
      </c>
      <c r="BA32" s="84"/>
      <c r="BB32" s="45" t="s">
        <v>202</v>
      </c>
      <c r="BC32" s="46"/>
      <c r="BD32" s="21" t="s">
        <v>124</v>
      </c>
      <c r="BE32" s="37">
        <v>280</v>
      </c>
      <c r="BF32" s="455"/>
      <c r="BG32" s="4"/>
      <c r="BH32" s="380" t="s">
        <v>203</v>
      </c>
      <c r="BI32" s="28"/>
      <c r="BJ32" s="3" t="s">
        <v>102</v>
      </c>
      <c r="BK32" s="8">
        <f>SUM(BE29:BE31)</f>
        <v>13394.849999999999</v>
      </c>
      <c r="BL32" s="84"/>
    </row>
    <row r="33" spans="1:64" x14ac:dyDescent="0.2">
      <c r="A33" s="84"/>
      <c r="B33" s="287">
        <f>'Pricing Trends'!R39</f>
        <v>0</v>
      </c>
      <c r="C33" s="249">
        <f>'Pricing Trends'!S39</f>
        <v>0</v>
      </c>
      <c r="D33" s="223">
        <f>'Pricing Trends'!U39</f>
        <v>0</v>
      </c>
      <c r="E33" s="220" t="b">
        <v>0</v>
      </c>
      <c r="F33" s="84"/>
      <c r="G33" s="247" t="s">
        <v>204</v>
      </c>
      <c r="H33" s="84"/>
      <c r="I33" s="94"/>
      <c r="J33" s="99">
        <f t="shared" si="9"/>
        <v>0</v>
      </c>
      <c r="K33" s="94">
        <f t="shared" ref="K33" si="27">K6*0.01</f>
        <v>0.5</v>
      </c>
      <c r="L33" s="99">
        <f t="shared" si="10"/>
        <v>0.01</v>
      </c>
      <c r="M33" s="94"/>
      <c r="N33" s="99">
        <f t="shared" si="19"/>
        <v>0</v>
      </c>
      <c r="O33" s="131"/>
      <c r="P33" s="94">
        <f t="shared" ref="P33" si="28">P6*0.01</f>
        <v>1.05</v>
      </c>
      <c r="Q33" s="99">
        <f t="shared" si="25"/>
        <v>0.01</v>
      </c>
      <c r="R33" s="131"/>
      <c r="S33" s="94">
        <f t="shared" ref="S33" si="29">S6*0.01</f>
        <v>1.1500000000000001</v>
      </c>
      <c r="T33" s="99">
        <f t="shared" si="26"/>
        <v>1.0000000000000002E-2</v>
      </c>
      <c r="U33" s="84"/>
      <c r="Z33" s="84"/>
      <c r="AD33" s="84"/>
      <c r="AE33" s="319" t="s">
        <v>90</v>
      </c>
      <c r="AF33" s="329">
        <v>46158</v>
      </c>
      <c r="AG33" s="330" t="s">
        <v>75</v>
      </c>
      <c r="AH33" s="319" t="s">
        <v>92</v>
      </c>
      <c r="AI33" s="319" t="s">
        <v>205</v>
      </c>
      <c r="AJ33" s="319" t="s">
        <v>206</v>
      </c>
      <c r="AK33" s="319" t="s">
        <v>207</v>
      </c>
      <c r="AN33" s="373">
        <v>30410</v>
      </c>
      <c r="AO33" s="319" t="s">
        <v>208</v>
      </c>
      <c r="AP33" s="319">
        <v>85.3</v>
      </c>
      <c r="AQ33" s="321">
        <f>AN33*AP33</f>
        <v>2593973</v>
      </c>
      <c r="AR33" s="319">
        <f>AQ33/1.12*0.12</f>
        <v>277925.67857142858</v>
      </c>
      <c r="AS33" s="319">
        <f t="shared" ref="AS33" si="30">AQ33-AR33</f>
        <v>2316047.3214285714</v>
      </c>
      <c r="AU33" s="319">
        <f>AN33*1.1364</f>
        <v>34557.923999999999</v>
      </c>
      <c r="AW33" s="340">
        <f>AQ33</f>
        <v>2593973</v>
      </c>
      <c r="AX33" s="340">
        <f>AQ33/AN33</f>
        <v>85.3</v>
      </c>
      <c r="AY33" s="344">
        <f>AQ33/AU33</f>
        <v>75.061598028863074</v>
      </c>
      <c r="BA33" s="84"/>
      <c r="BB33" s="444" t="s">
        <v>209</v>
      </c>
      <c r="BC33" s="445"/>
      <c r="BD33" s="21" t="s">
        <v>124</v>
      </c>
      <c r="BE33" s="37">
        <v>1000</v>
      </c>
      <c r="BF33" s="456"/>
      <c r="BG33" s="4"/>
      <c r="BH33" s="47" t="s">
        <v>210</v>
      </c>
      <c r="BI33" s="1"/>
      <c r="BJ33" s="7" t="s">
        <v>159</v>
      </c>
      <c r="BK33" s="48">
        <v>0</v>
      </c>
      <c r="BL33" s="84"/>
    </row>
    <row r="34" spans="1:64" ht="15" thickBot="1" x14ac:dyDescent="0.25">
      <c r="A34" s="84"/>
      <c r="B34" s="287" t="str">
        <f>'Pricing Trends'!R40</f>
        <v>RBD CANOLA OIL</v>
      </c>
      <c r="C34" s="249">
        <f>'Pricing Trends'!S40</f>
        <v>0</v>
      </c>
      <c r="D34" s="223">
        <f>'Pricing Trends'!U40</f>
        <v>83.220041256354207</v>
      </c>
      <c r="E34" s="220" t="b">
        <v>1</v>
      </c>
      <c r="F34" s="84"/>
      <c r="G34" s="297" t="s">
        <v>211</v>
      </c>
      <c r="H34" s="84"/>
      <c r="I34" s="94"/>
      <c r="J34" s="99">
        <f t="shared" si="9"/>
        <v>0</v>
      </c>
      <c r="K34" s="94">
        <f>((K6/1.12)*0.12)-((K17/1.12)*0.12)</f>
        <v>0.43636428571428709</v>
      </c>
      <c r="L34" s="99">
        <f>K34/K$6</f>
        <v>8.7272857142857412E-3</v>
      </c>
      <c r="M34" s="94"/>
      <c r="N34" s="99">
        <f>M34/M$6</f>
        <v>0</v>
      </c>
      <c r="O34" s="131"/>
      <c r="P34" s="94">
        <f>((P6/1.12)*0.12)-((P17/1.12)*0.12)</f>
        <v>1.0499178571428551</v>
      </c>
      <c r="Q34" s="99">
        <f>P34/P$6</f>
        <v>9.9992176870748115E-3</v>
      </c>
      <c r="R34" s="131"/>
      <c r="S34" s="94">
        <f>((S6/1.12)*0.12)-((S17/1.12)*0.12)</f>
        <v>1.4491107142857125</v>
      </c>
      <c r="T34" s="99">
        <f>S34/S$6</f>
        <v>1.2600962732919239E-2</v>
      </c>
      <c r="U34" s="84"/>
      <c r="Z34" s="84"/>
      <c r="AD34" s="84"/>
      <c r="AE34" s="319" t="s">
        <v>120</v>
      </c>
      <c r="AF34" s="329">
        <v>46178</v>
      </c>
      <c r="AG34" s="330" t="s">
        <v>89</v>
      </c>
      <c r="AH34" s="319" t="s">
        <v>121</v>
      </c>
      <c r="AK34" s="319" t="s">
        <v>141</v>
      </c>
      <c r="AN34" s="373">
        <v>2000</v>
      </c>
      <c r="AO34" s="319" t="s">
        <v>98</v>
      </c>
      <c r="AP34" s="319">
        <v>20.9</v>
      </c>
      <c r="AQ34" s="321">
        <f>AN34*AP34</f>
        <v>41800</v>
      </c>
      <c r="AZ34" s="321">
        <f>AP34/24</f>
        <v>0.87083333333333324</v>
      </c>
      <c r="BA34" s="84"/>
      <c r="BB34" s="446" t="s">
        <v>212</v>
      </c>
      <c r="BC34" s="447"/>
      <c r="BD34" s="448"/>
      <c r="BE34" s="19">
        <f>SUM(BE25:BE33)</f>
        <v>14674.849999999999</v>
      </c>
      <c r="BF34" s="20">
        <f>SUM(BF25:BF32)</f>
        <v>2114039.85</v>
      </c>
      <c r="BG34" s="4"/>
      <c r="BH34" s="77" t="s">
        <v>213</v>
      </c>
      <c r="BI34" s="78"/>
      <c r="BJ34" s="79">
        <f>BK34/BF16</f>
        <v>5.3719653250165766</v>
      </c>
      <c r="BK34" s="76">
        <f>SUM(BK23:BK33)</f>
        <v>131251.08000000002</v>
      </c>
      <c r="BL34" s="84"/>
    </row>
    <row r="35" spans="1:64" ht="15" thickBot="1" x14ac:dyDescent="0.25">
      <c r="A35" s="84"/>
      <c r="B35" s="287" t="str">
        <f>'Pricing Trends'!R41</f>
        <v>RBD SOYA BEAN OIL</v>
      </c>
      <c r="C35" s="249">
        <f>'Pricing Trends'!S41</f>
        <v>0</v>
      </c>
      <c r="D35" s="223">
        <f>'Pricing Trends'!U41</f>
        <v>81.666041886659627</v>
      </c>
      <c r="E35" s="220" t="b">
        <v>1</v>
      </c>
      <c r="F35" s="84"/>
      <c r="G35" s="247" t="s">
        <v>214</v>
      </c>
      <c r="H35" s="84"/>
      <c r="I35" s="94"/>
      <c r="J35" s="99">
        <f t="shared" si="9"/>
        <v>0</v>
      </c>
      <c r="K35" s="94">
        <f>K6*0.01</f>
        <v>0.5</v>
      </c>
      <c r="L35" s="99">
        <f>K35/K$6</f>
        <v>0.01</v>
      </c>
      <c r="M35" s="94"/>
      <c r="N35" s="99">
        <f>M35/M$6</f>
        <v>0</v>
      </c>
      <c r="O35" s="131"/>
      <c r="P35" s="94">
        <f>P6*0.01</f>
        <v>1.05</v>
      </c>
      <c r="Q35" s="99">
        <f>P35/P$6</f>
        <v>0.01</v>
      </c>
      <c r="R35" s="131"/>
      <c r="S35" s="94">
        <f>S6*0.01</f>
        <v>1.1500000000000001</v>
      </c>
      <c r="T35" s="99">
        <f>S35/S$6</f>
        <v>1.0000000000000002E-2</v>
      </c>
      <c r="U35" s="84"/>
      <c r="Z35" s="84"/>
      <c r="AD35" s="84"/>
      <c r="AE35" s="319" t="s">
        <v>120</v>
      </c>
      <c r="AF35" s="329">
        <v>46179</v>
      </c>
      <c r="AG35" s="330" t="s">
        <v>104</v>
      </c>
      <c r="AH35" s="319" t="s">
        <v>121</v>
      </c>
      <c r="AK35" s="319" t="s">
        <v>215</v>
      </c>
      <c r="AN35" s="373">
        <v>7425</v>
      </c>
      <c r="AO35" s="319" t="s">
        <v>98</v>
      </c>
      <c r="AP35" s="319">
        <v>25.8</v>
      </c>
      <c r="AQ35" s="321">
        <f>AN35*AP35</f>
        <v>191565</v>
      </c>
      <c r="AZ35" s="321">
        <f>AP35/12</f>
        <v>2.15</v>
      </c>
      <c r="BA35" s="84"/>
      <c r="BB35" s="4"/>
      <c r="BC35" s="4"/>
      <c r="BD35" s="4"/>
      <c r="BE35" s="4"/>
      <c r="BF35" s="4"/>
      <c r="BG35" s="4"/>
      <c r="BH35" s="4"/>
      <c r="BI35" s="4"/>
      <c r="BJ35" s="4"/>
      <c r="BK35" s="286"/>
      <c r="BL35" s="84"/>
    </row>
    <row r="36" spans="1:64" x14ac:dyDescent="0.2">
      <c r="A36" s="84"/>
      <c r="B36" s="287">
        <f>'Pricing Trends'!R42</f>
        <v>0</v>
      </c>
      <c r="C36" s="249">
        <f>'Pricing Trends'!S42</f>
        <v>0</v>
      </c>
      <c r="D36" s="223">
        <f>'Pricing Trends'!U42</f>
        <v>0</v>
      </c>
      <c r="E36" s="220" t="b">
        <v>0</v>
      </c>
      <c r="F36" s="84"/>
      <c r="G36" s="243" t="s">
        <v>216</v>
      </c>
      <c r="H36" s="84"/>
      <c r="I36" s="96">
        <f>I18-I19</f>
        <v>1.1965734265341608</v>
      </c>
      <c r="J36" s="97">
        <f>I36/I6</f>
        <v>3.3238150737060018E-2</v>
      </c>
      <c r="K36" s="96">
        <f>K18-K19</f>
        <v>-0.36491018431629207</v>
      </c>
      <c r="L36" s="97">
        <f>K36/K6</f>
        <v>-7.2982036863258413E-3</v>
      </c>
      <c r="M36" s="96">
        <f>M18-M19</f>
        <v>-0.18542513053736975</v>
      </c>
      <c r="N36" s="97">
        <f>M36/M6</f>
        <v>-1.9518434793407342E-3</v>
      </c>
      <c r="O36" s="131"/>
      <c r="P36" s="96">
        <f>P18-P19</f>
        <v>-4.2201395238095376</v>
      </c>
      <c r="Q36" s="97">
        <f>P36/P6</f>
        <v>-4.0191804988662261E-2</v>
      </c>
      <c r="R36" s="131"/>
      <c r="S36" s="96">
        <f>S18-S19</f>
        <v>-1.9072423809524022</v>
      </c>
      <c r="T36" s="97">
        <f>S36/S6</f>
        <v>-1.6584716356107844E-2</v>
      </c>
      <c r="U36" s="84"/>
      <c r="Z36" s="84"/>
      <c r="AD36" s="84"/>
      <c r="AE36" s="319" t="s">
        <v>120</v>
      </c>
      <c r="AF36" s="329">
        <v>46180</v>
      </c>
      <c r="AG36" s="330" t="s">
        <v>81</v>
      </c>
      <c r="AH36" s="319" t="s">
        <v>121</v>
      </c>
      <c r="AK36" s="319" t="s">
        <v>217</v>
      </c>
      <c r="AN36" s="373">
        <v>6225</v>
      </c>
      <c r="AO36" s="319" t="s">
        <v>98</v>
      </c>
      <c r="AP36" s="319">
        <v>26</v>
      </c>
      <c r="AQ36" s="321">
        <f>AN36*AP36</f>
        <v>161850</v>
      </c>
      <c r="AZ36" s="321">
        <f>AP36/36</f>
        <v>0.72222222222222221</v>
      </c>
      <c r="BA36" s="84"/>
      <c r="BB36" s="449" t="s">
        <v>218</v>
      </c>
      <c r="BC36" s="450"/>
      <c r="BD36" s="450"/>
      <c r="BE36" s="450"/>
      <c r="BF36" s="451"/>
      <c r="BG36" s="4"/>
      <c r="BH36" s="4"/>
      <c r="BI36" s="4"/>
      <c r="BJ36" s="4"/>
      <c r="BK36" s="4"/>
      <c r="BL36" s="84"/>
    </row>
    <row r="37" spans="1:64" ht="15" thickBot="1" x14ac:dyDescent="0.25">
      <c r="A37" s="84"/>
      <c r="B37" s="287" t="str">
        <f>'Pricing Trends'!R43</f>
        <v>RBD PALM OLEIN (FOREIGN)</v>
      </c>
      <c r="C37" s="249">
        <f>'Pricing Trends'!S43</f>
        <v>0</v>
      </c>
      <c r="D37" s="223">
        <f>'Pricing Trends'!U43</f>
        <v>64.843398983325557</v>
      </c>
      <c r="E37" s="220" t="b">
        <v>0</v>
      </c>
      <c r="F37" s="84"/>
      <c r="G37" s="260"/>
      <c r="H37" s="260"/>
      <c r="I37" s="260"/>
      <c r="J37" s="260"/>
      <c r="K37" s="260"/>
      <c r="L37" s="260"/>
      <c r="M37" s="260"/>
      <c r="N37" s="260"/>
      <c r="O37" s="260"/>
      <c r="P37" s="260"/>
      <c r="Q37" s="260"/>
      <c r="R37" s="260"/>
      <c r="S37" s="260"/>
      <c r="T37" s="260"/>
      <c r="U37" s="84"/>
      <c r="Z37" s="84"/>
      <c r="AD37" s="84"/>
      <c r="AE37" s="319" t="s">
        <v>120</v>
      </c>
      <c r="AF37" s="333"/>
      <c r="AG37" s="333" t="s">
        <v>91</v>
      </c>
      <c r="AH37" s="319" t="s">
        <v>219</v>
      </c>
      <c r="AK37" s="319" t="s">
        <v>220</v>
      </c>
      <c r="AP37" s="319">
        <v>8.6</v>
      </c>
      <c r="AZ37" s="321">
        <f>AP37</f>
        <v>8.6</v>
      </c>
      <c r="BA37" s="84"/>
      <c r="BB37" s="452" t="s">
        <v>109</v>
      </c>
      <c r="BC37" s="453"/>
      <c r="BD37" s="237">
        <f>BD16</f>
        <v>32680</v>
      </c>
      <c r="BE37" s="51">
        <f>BD37-BD16</f>
        <v>0</v>
      </c>
      <c r="BF37" s="52">
        <f>BE37*BF17</f>
        <v>0</v>
      </c>
      <c r="BG37" s="4"/>
      <c r="BH37" s="4"/>
      <c r="BI37" s="4"/>
      <c r="BJ37" s="4"/>
      <c r="BK37" s="75"/>
      <c r="BL37" s="84"/>
    </row>
    <row r="38" spans="1:64" x14ac:dyDescent="0.2">
      <c r="A38" s="84"/>
      <c r="B38" s="287">
        <f>'Pricing Trends'!R44</f>
        <v>0</v>
      </c>
      <c r="C38" s="249">
        <f>'Pricing Trends'!S44</f>
        <v>0</v>
      </c>
      <c r="D38" s="223">
        <f>'Pricing Trends'!U44</f>
        <v>0</v>
      </c>
      <c r="E38" s="220" t="b">
        <v>0</v>
      </c>
      <c r="F38" s="84"/>
      <c r="G38" s="260"/>
      <c r="H38" s="260"/>
      <c r="I38" s="461" t="s">
        <v>221</v>
      </c>
      <c r="J38" s="461"/>
      <c r="K38" s="461"/>
      <c r="L38" s="461"/>
      <c r="M38" s="461"/>
      <c r="N38" s="461"/>
      <c r="O38" s="461"/>
      <c r="P38" s="461"/>
      <c r="Q38" s="461"/>
      <c r="R38" s="461"/>
      <c r="S38" s="461"/>
      <c r="T38" s="461"/>
      <c r="U38" s="84"/>
      <c r="Z38" s="84"/>
      <c r="AD38" s="84"/>
      <c r="AE38" s="319" t="s">
        <v>120</v>
      </c>
      <c r="AF38" s="333"/>
      <c r="AG38" s="333" t="s">
        <v>105</v>
      </c>
      <c r="AH38" s="319" t="s">
        <v>219</v>
      </c>
      <c r="AK38" s="319" t="s">
        <v>222</v>
      </c>
      <c r="AP38" s="319">
        <v>4.0999999999999996</v>
      </c>
      <c r="AZ38" s="321">
        <f>AP38</f>
        <v>4.0999999999999996</v>
      </c>
      <c r="BA38" s="84"/>
      <c r="BL38" s="84"/>
    </row>
    <row r="39" spans="1:64" ht="14.25" customHeight="1" x14ac:dyDescent="0.2">
      <c r="A39" s="84"/>
      <c r="B39" s="287" t="str">
        <f>'Pricing Trends'!R45</f>
        <v>RBD PALM OLEIN (FOREIGN)</v>
      </c>
      <c r="C39" s="249">
        <f>'Pricing Trends'!S45</f>
        <v>0</v>
      </c>
      <c r="D39" s="223">
        <f>'Pricing Trends'!U45</f>
        <v>82.366515166275917</v>
      </c>
      <c r="E39" s="220" t="b">
        <v>0</v>
      </c>
      <c r="F39" s="84"/>
      <c r="G39" s="260"/>
      <c r="H39" s="260"/>
      <c r="I39" s="461" t="s">
        <v>223</v>
      </c>
      <c r="J39" s="461"/>
      <c r="K39" s="461"/>
      <c r="L39" s="461"/>
      <c r="M39" s="461"/>
      <c r="N39" s="461"/>
      <c r="O39" s="461"/>
      <c r="P39" s="461"/>
      <c r="Q39" s="461"/>
      <c r="R39" s="461"/>
      <c r="S39" s="461"/>
      <c r="T39" s="461"/>
      <c r="U39" s="84"/>
      <c r="Z39" s="84"/>
      <c r="AD39" s="84"/>
      <c r="AE39" s="371" t="s">
        <v>224</v>
      </c>
      <c r="AF39" s="372">
        <v>46129</v>
      </c>
      <c r="AG39" s="371" t="s">
        <v>225</v>
      </c>
      <c r="AH39" s="371" t="s">
        <v>226</v>
      </c>
      <c r="AI39" s="371" t="s">
        <v>205</v>
      </c>
      <c r="AJ39" s="371">
        <v>1012433</v>
      </c>
      <c r="AK39" s="371" t="s">
        <v>227</v>
      </c>
      <c r="AL39" s="371" t="s">
        <v>228</v>
      </c>
      <c r="AM39" s="371">
        <v>1001700</v>
      </c>
      <c r="AN39" s="375">
        <v>400</v>
      </c>
      <c r="AO39" s="371" t="s">
        <v>229</v>
      </c>
      <c r="AP39" s="376">
        <f>AQ39/AN39</f>
        <v>818.27674999999999</v>
      </c>
      <c r="AQ39" s="363">
        <v>327310.7</v>
      </c>
      <c r="AR39" s="363"/>
      <c r="AS39" s="363"/>
      <c r="AT39" s="364">
        <f>AP39/25</f>
        <v>32.731070000000003</v>
      </c>
      <c r="AW39" s="365"/>
      <c r="AX39" s="366">
        <f>AT39</f>
        <v>32.731070000000003</v>
      </c>
      <c r="AY39" s="367"/>
      <c r="AZ39" s="368"/>
      <c r="BA39" s="84"/>
      <c r="BB39" s="74"/>
      <c r="BL39" s="84"/>
    </row>
    <row r="40" spans="1:64" ht="14.25" customHeight="1" x14ac:dyDescent="0.2">
      <c r="A40" s="84"/>
      <c r="B40" s="287" t="str">
        <f>'Pricing Trends'!R46</f>
        <v>RBD PALM OLEIN (FOREIGN)</v>
      </c>
      <c r="C40" s="249">
        <f>'Pricing Trends'!S46</f>
        <v>0</v>
      </c>
      <c r="D40" s="223">
        <f>'Pricing Trends'!U46</f>
        <v>74.656859937366562</v>
      </c>
      <c r="E40" s="220" t="b">
        <v>0</v>
      </c>
      <c r="F40" s="84"/>
      <c r="G40" s="260"/>
      <c r="H40" s="260"/>
      <c r="I40" s="461" t="s">
        <v>230</v>
      </c>
      <c r="J40" s="461"/>
      <c r="K40" s="461"/>
      <c r="L40" s="461"/>
      <c r="M40" s="461"/>
      <c r="N40" s="461"/>
      <c r="O40" s="461"/>
      <c r="P40" s="461"/>
      <c r="Q40" s="461"/>
      <c r="R40" s="461"/>
      <c r="S40" s="461"/>
      <c r="T40" s="461"/>
      <c r="U40" s="84"/>
      <c r="Z40" s="84"/>
      <c r="AA40" s="360"/>
      <c r="AB40" s="361"/>
      <c r="AC40" s="267"/>
      <c r="AD40" s="84"/>
      <c r="AE40" s="371" t="s">
        <v>231</v>
      </c>
      <c r="AF40" s="378">
        <v>46165</v>
      </c>
      <c r="AG40" s="379" t="s">
        <v>232</v>
      </c>
      <c r="AH40" s="371" t="s">
        <v>233</v>
      </c>
      <c r="AI40" s="371" t="s">
        <v>231</v>
      </c>
      <c r="AJ40" s="371" t="s">
        <v>234</v>
      </c>
      <c r="AK40" s="371" t="s">
        <v>235</v>
      </c>
      <c r="AL40" s="371"/>
      <c r="AM40" s="371"/>
      <c r="AN40" s="375">
        <f>AN33</f>
        <v>30410</v>
      </c>
      <c r="AO40" s="375" t="str">
        <f t="shared" ref="AO40" si="31">AO33</f>
        <v>KG</v>
      </c>
      <c r="AP40" s="375"/>
      <c r="AQ40" s="369">
        <v>7000</v>
      </c>
      <c r="AT40" s="364"/>
      <c r="AU40" s="375">
        <f>AU33</f>
        <v>34557.923999999999</v>
      </c>
      <c r="AW40" s="365"/>
      <c r="AX40" s="365"/>
      <c r="AY40" s="370"/>
      <c r="AZ40" s="369">
        <f>AQ40/AU40</f>
        <v>0.20255846387068854</v>
      </c>
      <c r="BA40" s="84"/>
      <c r="BL40" s="84"/>
    </row>
    <row r="41" spans="1:64" x14ac:dyDescent="0.2">
      <c r="A41" s="84"/>
      <c r="B41" s="287">
        <f>'Pricing Trends'!R47</f>
        <v>0</v>
      </c>
      <c r="C41" s="249">
        <f>'Pricing Trends'!S47</f>
        <v>0</v>
      </c>
      <c r="D41" s="223">
        <f>'Pricing Trends'!U47</f>
        <v>0</v>
      </c>
      <c r="E41" s="220" t="b">
        <v>0</v>
      </c>
      <c r="F41" s="84"/>
      <c r="G41" s="260"/>
      <c r="H41" s="260"/>
      <c r="I41" s="260"/>
      <c r="J41" s="260"/>
      <c r="K41" s="260"/>
      <c r="L41" s="260"/>
      <c r="M41" s="260"/>
      <c r="N41" s="260"/>
      <c r="O41" s="260"/>
      <c r="P41" s="260"/>
      <c r="Q41" s="260"/>
      <c r="R41" s="260"/>
      <c r="S41" s="260"/>
      <c r="T41" s="260"/>
      <c r="U41" s="84"/>
      <c r="Z41" s="84"/>
      <c r="AA41" s="360"/>
      <c r="AB41" s="361"/>
      <c r="AC41" s="267"/>
      <c r="AD41" s="84"/>
      <c r="AE41" s="371"/>
      <c r="AF41" s="372"/>
      <c r="AG41" s="371"/>
      <c r="AH41" s="371"/>
      <c r="AI41" s="371"/>
      <c r="AJ41" s="371"/>
      <c r="AK41" s="371"/>
      <c r="AL41" s="371"/>
      <c r="AM41" s="371"/>
      <c r="AN41" s="375"/>
      <c r="AO41" s="371"/>
      <c r="AQ41" s="369"/>
      <c r="AT41" s="364"/>
      <c r="AW41" s="365"/>
      <c r="AX41" s="365"/>
      <c r="AY41" s="370"/>
      <c r="AZ41" s="369"/>
      <c r="BA41" s="84"/>
      <c r="BL41" s="84"/>
    </row>
    <row r="42" spans="1:64" x14ac:dyDescent="0.2">
      <c r="A42" s="84"/>
      <c r="B42" s="287">
        <f>'Pricing Trends'!R48</f>
        <v>0</v>
      </c>
      <c r="C42" s="249">
        <f>'Pricing Trends'!S48</f>
        <v>0</v>
      </c>
      <c r="D42" s="223">
        <f>'Pricing Trends'!U48</f>
        <v>0</v>
      </c>
      <c r="E42" s="220" t="b">
        <v>0</v>
      </c>
      <c r="F42" s="84"/>
      <c r="G42" s="260"/>
      <c r="H42" s="260"/>
      <c r="I42" s="260"/>
      <c r="J42" s="260"/>
      <c r="K42" s="260"/>
      <c r="L42" s="260"/>
      <c r="M42" s="260"/>
      <c r="N42" s="260"/>
      <c r="O42" s="260"/>
      <c r="P42" s="260"/>
      <c r="Q42" s="260"/>
      <c r="R42" s="260"/>
      <c r="S42" s="260"/>
      <c r="T42" s="260"/>
      <c r="U42" s="84"/>
      <c r="Z42" s="84"/>
      <c r="AD42" s="84"/>
      <c r="AE42" s="371"/>
      <c r="AF42" s="372"/>
      <c r="AG42" s="371"/>
      <c r="AH42" s="371"/>
      <c r="AI42" s="371"/>
      <c r="AJ42" s="371"/>
      <c r="AK42" s="371"/>
      <c r="AL42" s="371"/>
      <c r="AM42" s="371"/>
      <c r="AN42" s="375"/>
      <c r="AO42" s="371"/>
      <c r="AQ42" s="369"/>
      <c r="AT42" s="364"/>
      <c r="AW42" s="365"/>
      <c r="AX42" s="365"/>
      <c r="AY42" s="370"/>
      <c r="AZ42" s="369"/>
      <c r="BA42" s="84"/>
      <c r="BL42" s="84"/>
    </row>
    <row r="43" spans="1:64" x14ac:dyDescent="0.2">
      <c r="A43" s="84"/>
      <c r="B43" s="287">
        <f>'Pricing Trends'!R49</f>
        <v>0</v>
      </c>
      <c r="C43" s="249">
        <f>'Pricing Trends'!S49</f>
        <v>0</v>
      </c>
      <c r="D43" s="223">
        <f>'Pricing Trends'!U49</f>
        <v>0</v>
      </c>
      <c r="E43" s="220" t="b">
        <v>0</v>
      </c>
      <c r="F43" s="84"/>
      <c r="G43" s="260"/>
      <c r="H43" s="260"/>
      <c r="I43" s="260"/>
      <c r="J43" s="260"/>
      <c r="K43" s="260"/>
      <c r="L43" s="260"/>
      <c r="M43" s="260"/>
      <c r="N43" s="260"/>
      <c r="O43" s="260"/>
      <c r="P43" s="260"/>
      <c r="Q43" s="260"/>
      <c r="R43" s="260"/>
      <c r="S43" s="260"/>
      <c r="T43" s="260"/>
      <c r="U43" s="84"/>
      <c r="Z43" s="84"/>
      <c r="AD43" s="84"/>
      <c r="AE43" s="371"/>
      <c r="AF43" s="372"/>
      <c r="AG43" s="371"/>
      <c r="AH43" s="371"/>
      <c r="AI43" s="371"/>
      <c r="AJ43" s="371"/>
      <c r="AK43" s="371"/>
      <c r="AL43" s="371"/>
      <c r="AM43" s="371"/>
      <c r="AN43" s="375"/>
      <c r="AO43" s="371"/>
      <c r="AQ43" s="369"/>
      <c r="AT43" s="364"/>
      <c r="AW43" s="365"/>
      <c r="AX43" s="365"/>
      <c r="AY43" s="370"/>
      <c r="AZ43" s="369"/>
      <c r="BA43" s="84"/>
      <c r="BL43" s="84"/>
    </row>
    <row r="44" spans="1:64" x14ac:dyDescent="0.2">
      <c r="A44" s="84"/>
      <c r="B44" s="287">
        <f>'Pricing Trends'!R50</f>
        <v>0</v>
      </c>
      <c r="C44" s="249">
        <f>'Pricing Trends'!S50</f>
        <v>0</v>
      </c>
      <c r="D44" s="223">
        <f>'Pricing Trends'!U50</f>
        <v>0</v>
      </c>
      <c r="E44" s="220" t="b">
        <v>0</v>
      </c>
      <c r="F44" s="84"/>
      <c r="G44" s="260"/>
      <c r="H44" s="260"/>
      <c r="I44" s="260"/>
      <c r="J44" s="260"/>
      <c r="K44" s="260"/>
      <c r="L44" s="260"/>
      <c r="M44" s="260"/>
      <c r="N44" s="260"/>
      <c r="O44" s="260"/>
      <c r="P44" s="260"/>
      <c r="Q44" s="260"/>
      <c r="R44" s="260"/>
      <c r="S44" s="260"/>
      <c r="T44" s="260"/>
      <c r="U44" s="84"/>
      <c r="Z44" s="84"/>
      <c r="AD44" s="84"/>
      <c r="AE44" s="371"/>
      <c r="AF44" s="372"/>
      <c r="AG44" s="371"/>
      <c r="AH44" s="371"/>
      <c r="AI44" s="371"/>
      <c r="AJ44" s="371"/>
      <c r="AK44" s="371"/>
      <c r="AL44" s="371"/>
      <c r="AM44" s="371"/>
      <c r="AN44" s="375"/>
      <c r="AO44" s="371"/>
      <c r="AQ44" s="369"/>
      <c r="AT44" s="364"/>
      <c r="AW44" s="365"/>
      <c r="AX44" s="365"/>
      <c r="AY44" s="370"/>
      <c r="AZ44" s="369"/>
      <c r="BA44" s="84"/>
      <c r="BL44" s="84"/>
    </row>
    <row r="45" spans="1:64" x14ac:dyDescent="0.2">
      <c r="A45" s="84"/>
      <c r="B45" s="287">
        <f>'Pricing Trends'!R51</f>
        <v>0</v>
      </c>
      <c r="C45" s="249">
        <f>'Pricing Trends'!S51</f>
        <v>0</v>
      </c>
      <c r="D45" s="223">
        <f>'Pricing Trends'!U51</f>
        <v>0</v>
      </c>
      <c r="E45" s="220" t="b">
        <v>0</v>
      </c>
      <c r="F45" s="84"/>
      <c r="G45" s="260"/>
      <c r="H45" s="260"/>
      <c r="I45" s="260"/>
      <c r="J45" s="260"/>
      <c r="K45" s="260"/>
      <c r="L45" s="260"/>
      <c r="M45" s="260"/>
      <c r="N45" s="260"/>
      <c r="O45" s="260"/>
      <c r="P45" s="260"/>
      <c r="Q45" s="260"/>
      <c r="R45" s="260"/>
      <c r="S45" s="260"/>
      <c r="T45" s="260"/>
      <c r="U45" s="84"/>
      <c r="Z45" s="84"/>
      <c r="AD45" s="84"/>
      <c r="AE45" s="371"/>
      <c r="AF45" s="372"/>
      <c r="AG45" s="371"/>
      <c r="AH45" s="371"/>
      <c r="AI45" s="371"/>
      <c r="AJ45" s="371"/>
      <c r="AK45" s="371"/>
      <c r="AL45" s="371"/>
      <c r="AM45" s="371"/>
      <c r="AN45" s="375"/>
      <c r="AO45" s="371"/>
      <c r="AQ45" s="369"/>
      <c r="AT45" s="364"/>
      <c r="AW45" s="365"/>
      <c r="AX45" s="365"/>
      <c r="AY45" s="370"/>
      <c r="AZ45" s="369"/>
      <c r="BA45" s="84"/>
      <c r="BL45" s="84"/>
    </row>
    <row r="46" spans="1:64" x14ac:dyDescent="0.2">
      <c r="A46" s="84"/>
      <c r="B46" s="287">
        <f>'Pricing Trends'!R52</f>
        <v>0</v>
      </c>
      <c r="C46" s="249">
        <f>'Pricing Trends'!S52</f>
        <v>0</v>
      </c>
      <c r="D46" s="223">
        <f>'Pricing Trends'!U52</f>
        <v>0</v>
      </c>
      <c r="E46" s="220" t="b">
        <v>0</v>
      </c>
      <c r="F46" s="84"/>
      <c r="G46" s="260"/>
      <c r="H46" s="260"/>
      <c r="I46" s="260"/>
      <c r="J46" s="260"/>
      <c r="K46" s="260"/>
      <c r="L46" s="260"/>
      <c r="M46" s="260"/>
      <c r="N46" s="260"/>
      <c r="O46" s="260"/>
      <c r="P46" s="260"/>
      <c r="Q46" s="260"/>
      <c r="R46" s="260"/>
      <c r="S46" s="260"/>
      <c r="T46" s="260"/>
      <c r="U46" s="84"/>
      <c r="Z46" s="84"/>
      <c r="AD46" s="84"/>
      <c r="AE46" s="371"/>
      <c r="AF46" s="372"/>
      <c r="AG46" s="371"/>
      <c r="AH46" s="371"/>
      <c r="AI46" s="371"/>
      <c r="AJ46" s="371"/>
      <c r="AK46" s="371"/>
      <c r="AL46" s="371"/>
      <c r="AM46" s="371"/>
      <c r="AN46" s="375"/>
      <c r="AO46" s="371"/>
      <c r="AQ46" s="369"/>
      <c r="AT46" s="364"/>
      <c r="AW46" s="365"/>
      <c r="AX46" s="365"/>
      <c r="AY46" s="370"/>
      <c r="AZ46" s="369"/>
      <c r="BA46" s="84"/>
      <c r="BL46" s="84"/>
    </row>
    <row r="47" spans="1:64" x14ac:dyDescent="0.2">
      <c r="A47" s="84"/>
      <c r="B47" s="287">
        <f>'Pricing Trends'!R53</f>
        <v>0</v>
      </c>
      <c r="C47" s="249">
        <f>'Pricing Trends'!S53</f>
        <v>0</v>
      </c>
      <c r="D47" s="223">
        <f>'Pricing Trends'!U53</f>
        <v>0</v>
      </c>
      <c r="E47" s="220" t="b">
        <v>0</v>
      </c>
      <c r="F47" s="84"/>
      <c r="G47" s="260"/>
      <c r="H47" s="260"/>
      <c r="I47" s="260"/>
      <c r="J47" s="260"/>
      <c r="K47" s="260"/>
      <c r="L47" s="260"/>
      <c r="M47" s="260"/>
      <c r="N47" s="260"/>
      <c r="O47" s="260"/>
      <c r="P47" s="260"/>
      <c r="Q47" s="260"/>
      <c r="R47" s="260"/>
      <c r="S47" s="260"/>
      <c r="T47" s="260"/>
      <c r="U47" s="84"/>
      <c r="Z47" s="84"/>
      <c r="AD47" s="84"/>
      <c r="AE47" s="371"/>
      <c r="AF47" s="372"/>
      <c r="AG47" s="371"/>
      <c r="AH47" s="371"/>
      <c r="AI47" s="371"/>
      <c r="AJ47" s="371"/>
      <c r="AK47" s="371"/>
      <c r="AL47" s="371"/>
      <c r="AM47" s="371"/>
      <c r="AN47" s="375"/>
      <c r="AO47" s="371"/>
      <c r="AQ47" s="369"/>
      <c r="AT47" s="364"/>
      <c r="AW47" s="365"/>
      <c r="AX47" s="365"/>
      <c r="AY47" s="370"/>
      <c r="AZ47" s="369"/>
      <c r="BA47" s="84"/>
      <c r="BL47" s="84"/>
    </row>
    <row r="48" spans="1:64" x14ac:dyDescent="0.2">
      <c r="A48" s="84"/>
      <c r="B48" s="287">
        <f>'Pricing Trends'!R54</f>
        <v>0</v>
      </c>
      <c r="C48" s="249">
        <f>'Pricing Trends'!S54</f>
        <v>0</v>
      </c>
      <c r="D48" s="223">
        <f>'Pricing Trends'!U54</f>
        <v>0</v>
      </c>
      <c r="E48" s="220" t="b">
        <v>0</v>
      </c>
      <c r="F48" s="84"/>
      <c r="G48" s="260"/>
      <c r="H48" s="260"/>
      <c r="I48" s="260"/>
      <c r="J48" s="260"/>
      <c r="K48" s="260"/>
      <c r="L48" s="260"/>
      <c r="M48" s="260"/>
      <c r="N48" s="260"/>
      <c r="O48" s="260"/>
      <c r="P48" s="260"/>
      <c r="Q48" s="260"/>
      <c r="R48" s="260"/>
      <c r="S48" s="260"/>
      <c r="T48" s="260"/>
      <c r="U48" s="84"/>
      <c r="Z48" s="84"/>
      <c r="AD48" s="84"/>
      <c r="AE48" s="371"/>
      <c r="AF48" s="372"/>
      <c r="AG48" s="371"/>
      <c r="AH48" s="371"/>
      <c r="AI48" s="371"/>
      <c r="AJ48" s="371"/>
      <c r="AK48" s="371"/>
      <c r="AL48" s="371"/>
      <c r="AM48" s="371"/>
      <c r="AN48" s="375"/>
      <c r="AO48" s="371"/>
      <c r="AQ48" s="369"/>
      <c r="AT48" s="364"/>
      <c r="AW48" s="365"/>
      <c r="AX48" s="365"/>
      <c r="AY48" s="370"/>
      <c r="AZ48" s="369"/>
      <c r="BA48" s="84"/>
      <c r="BL48" s="84"/>
    </row>
    <row r="49" spans="1:64" x14ac:dyDescent="0.2">
      <c r="A49" s="84"/>
      <c r="B49" s="287">
        <f>'Pricing Trends'!R55</f>
        <v>0</v>
      </c>
      <c r="C49" s="249">
        <f>'Pricing Trends'!S55</f>
        <v>0</v>
      </c>
      <c r="D49" s="223">
        <f>'Pricing Trends'!U55</f>
        <v>0</v>
      </c>
      <c r="E49" s="220" t="b">
        <v>0</v>
      </c>
      <c r="F49" s="84"/>
      <c r="G49" s="260"/>
      <c r="H49" s="260"/>
      <c r="I49" s="260"/>
      <c r="J49" s="260"/>
      <c r="K49" s="260"/>
      <c r="L49" s="260"/>
      <c r="M49" s="260"/>
      <c r="N49" s="260"/>
      <c r="O49" s="260"/>
      <c r="P49" s="260"/>
      <c r="Q49" s="260"/>
      <c r="R49" s="260"/>
      <c r="S49" s="260"/>
      <c r="T49" s="260"/>
      <c r="U49" s="84"/>
      <c r="Z49" s="84"/>
      <c r="AD49" s="84"/>
      <c r="AE49" s="371"/>
      <c r="AF49" s="372"/>
      <c r="AG49" s="371"/>
      <c r="AH49" s="371"/>
      <c r="AI49" s="371"/>
      <c r="AJ49" s="371"/>
      <c r="AK49" s="371"/>
      <c r="AL49" s="371"/>
      <c r="AM49" s="371"/>
      <c r="AN49" s="375"/>
      <c r="AO49" s="371"/>
      <c r="AQ49" s="369"/>
      <c r="AT49" s="364"/>
      <c r="AW49" s="365"/>
      <c r="AX49" s="365"/>
      <c r="AY49" s="370"/>
      <c r="AZ49" s="369"/>
      <c r="BA49" s="84"/>
      <c r="BL49" s="84"/>
    </row>
    <row r="50" spans="1:64" x14ac:dyDescent="0.2">
      <c r="A50" s="84"/>
      <c r="B50" s="226"/>
      <c r="C50" s="226"/>
      <c r="D50" s="84"/>
      <c r="E50" s="84"/>
      <c r="F50" s="84"/>
      <c r="G50" s="260"/>
      <c r="H50" s="260"/>
      <c r="I50" s="260"/>
      <c r="J50" s="260"/>
      <c r="K50" s="260"/>
      <c r="L50" s="260"/>
      <c r="M50" s="260"/>
      <c r="N50" s="260"/>
      <c r="O50" s="260"/>
      <c r="P50" s="260"/>
      <c r="Q50" s="260"/>
      <c r="R50" s="260"/>
      <c r="S50" s="260"/>
      <c r="T50" s="260"/>
      <c r="U50" s="84"/>
      <c r="Z50" s="84"/>
      <c r="AD50" s="84"/>
      <c r="AE50" s="371"/>
      <c r="AF50" s="372"/>
      <c r="AG50" s="371"/>
      <c r="AH50" s="371"/>
      <c r="AI50" s="371"/>
      <c r="AJ50" s="371"/>
      <c r="AK50" s="371"/>
      <c r="AL50" s="371"/>
      <c r="AM50" s="371"/>
      <c r="AN50" s="375"/>
      <c r="AO50" s="371"/>
      <c r="AQ50" s="369"/>
      <c r="AT50" s="364"/>
      <c r="AW50" s="365"/>
      <c r="AX50" s="365"/>
      <c r="AY50" s="370"/>
      <c r="AZ50" s="369"/>
      <c r="BA50" s="84"/>
      <c r="BL50" s="84"/>
    </row>
    <row r="51" spans="1:64" x14ac:dyDescent="0.2">
      <c r="A51" s="84"/>
      <c r="B51" s="226"/>
      <c r="C51" s="226"/>
      <c r="D51" s="85"/>
      <c r="E51" s="84"/>
      <c r="F51" s="84"/>
      <c r="G51" s="260"/>
      <c r="H51" s="260"/>
      <c r="I51" s="261"/>
      <c r="J51" s="261"/>
      <c r="K51" s="261"/>
      <c r="L51" s="261"/>
      <c r="M51" s="261"/>
      <c r="N51" s="261"/>
      <c r="O51" s="260"/>
      <c r="P51" s="262"/>
      <c r="Q51" s="260"/>
      <c r="R51" s="260"/>
      <c r="S51" s="262"/>
      <c r="T51" s="260"/>
      <c r="U51" s="84"/>
      <c r="Z51" s="84"/>
      <c r="AD51" s="84"/>
      <c r="AE51" s="371"/>
      <c r="AF51" s="372"/>
      <c r="AG51" s="371"/>
      <c r="AH51" s="371"/>
      <c r="AI51" s="371"/>
      <c r="AJ51" s="371"/>
      <c r="AK51" s="371"/>
      <c r="AL51" s="371"/>
      <c r="AM51" s="371"/>
      <c r="AN51" s="375"/>
      <c r="AO51" s="371"/>
      <c r="AQ51" s="369"/>
      <c r="AT51" s="364"/>
      <c r="AW51" s="365"/>
      <c r="AX51" s="365"/>
      <c r="AY51" s="370"/>
      <c r="AZ51" s="369"/>
      <c r="BA51" s="84"/>
      <c r="BL51" s="84"/>
    </row>
    <row r="52" spans="1:64" x14ac:dyDescent="0.2">
      <c r="A52" s="84"/>
      <c r="B52" s="226"/>
      <c r="C52" s="226"/>
      <c r="D52" s="85"/>
      <c r="E52" s="84"/>
      <c r="F52" s="84"/>
      <c r="G52" s="84"/>
      <c r="H52" s="84"/>
      <c r="I52" s="131"/>
      <c r="J52" s="131"/>
      <c r="K52" s="131"/>
      <c r="L52" s="131"/>
      <c r="M52" s="131"/>
      <c r="N52" s="131"/>
      <c r="O52" s="84"/>
      <c r="P52" s="85"/>
      <c r="Q52" s="84"/>
      <c r="R52" s="84"/>
      <c r="S52" s="85"/>
      <c r="T52" s="84"/>
      <c r="U52" s="84"/>
      <c r="Z52" s="84"/>
      <c r="AD52" s="84"/>
      <c r="AE52" s="371"/>
      <c r="AF52" s="372"/>
      <c r="AG52" s="371"/>
      <c r="AH52" s="371"/>
      <c r="AI52" s="371"/>
      <c r="AJ52" s="371"/>
      <c r="AK52" s="371"/>
      <c r="AL52" s="371"/>
      <c r="AM52" s="371"/>
      <c r="AN52" s="375"/>
      <c r="AO52" s="371"/>
      <c r="AQ52" s="369"/>
      <c r="AT52" s="364"/>
      <c r="AW52" s="365"/>
      <c r="AX52" s="365"/>
      <c r="AY52" s="370"/>
      <c r="AZ52" s="369"/>
      <c r="BA52" s="84"/>
      <c r="BL52" s="84"/>
    </row>
    <row r="53" spans="1:64" x14ac:dyDescent="0.2">
      <c r="A53" s="84"/>
      <c r="B53" s="226"/>
      <c r="C53" s="226"/>
      <c r="D53" s="84"/>
      <c r="E53" s="84"/>
      <c r="F53" s="84"/>
      <c r="G53" s="84"/>
      <c r="H53" s="84"/>
      <c r="I53" s="131"/>
      <c r="J53" s="131"/>
      <c r="K53" s="131"/>
      <c r="L53" s="131"/>
      <c r="M53" s="131"/>
      <c r="N53" s="131"/>
      <c r="O53" s="84"/>
      <c r="P53" s="85"/>
      <c r="Q53" s="84"/>
      <c r="R53" s="84"/>
      <c r="S53" s="85"/>
      <c r="T53" s="84"/>
      <c r="U53" s="84"/>
      <c r="Z53" s="84"/>
      <c r="AD53" s="84"/>
      <c r="AE53" s="371"/>
      <c r="AF53" s="372"/>
      <c r="AG53" s="371"/>
      <c r="AH53" s="371"/>
      <c r="AI53" s="371"/>
      <c r="AJ53" s="371"/>
      <c r="AK53" s="371"/>
      <c r="AL53" s="371"/>
      <c r="AM53" s="371"/>
      <c r="AN53" s="375"/>
      <c r="AO53" s="371"/>
      <c r="AQ53" s="369"/>
      <c r="AT53" s="364"/>
      <c r="AW53" s="365"/>
      <c r="AX53" s="365"/>
      <c r="AY53" s="370"/>
      <c r="AZ53" s="369"/>
      <c r="BA53" s="84"/>
      <c r="BL53" s="84"/>
    </row>
    <row r="54" spans="1:64" x14ac:dyDescent="0.2">
      <c r="A54" s="84"/>
      <c r="B54" s="226"/>
      <c r="C54" s="226"/>
      <c r="D54" s="84"/>
      <c r="E54" s="84"/>
      <c r="F54" s="84"/>
      <c r="G54" s="84"/>
      <c r="H54" s="84"/>
      <c r="I54" s="131"/>
      <c r="J54" s="131"/>
      <c r="K54" s="131"/>
      <c r="L54" s="131"/>
      <c r="M54" s="131"/>
      <c r="N54" s="131"/>
      <c r="O54" s="84"/>
      <c r="P54" s="85"/>
      <c r="Q54" s="84"/>
      <c r="R54" s="84"/>
      <c r="S54" s="85"/>
      <c r="T54" s="84"/>
      <c r="U54" s="84"/>
      <c r="Z54" s="84"/>
      <c r="AD54" s="84"/>
      <c r="AE54" s="371"/>
      <c r="AF54" s="372"/>
      <c r="AG54" s="371"/>
      <c r="AH54" s="371"/>
      <c r="AI54" s="371"/>
      <c r="AJ54" s="371"/>
      <c r="AK54" s="371"/>
      <c r="AL54" s="371"/>
      <c r="AM54" s="371"/>
      <c r="AN54" s="375"/>
      <c r="AO54" s="371"/>
      <c r="BA54" s="84"/>
      <c r="BL54" s="84"/>
    </row>
    <row r="55" spans="1:64" x14ac:dyDescent="0.2">
      <c r="A55" s="84"/>
      <c r="B55" s="226"/>
      <c r="C55" s="226"/>
      <c r="D55" s="84"/>
      <c r="E55" s="84"/>
      <c r="F55" s="84"/>
      <c r="G55" s="84"/>
      <c r="H55" s="84"/>
      <c r="I55" s="131"/>
      <c r="J55" s="131"/>
      <c r="K55" s="131"/>
      <c r="L55" s="131"/>
      <c r="M55" s="131"/>
      <c r="N55" s="131"/>
      <c r="O55" s="84"/>
      <c r="P55" s="85"/>
      <c r="Q55" s="84"/>
      <c r="R55" s="84"/>
      <c r="S55" s="85"/>
      <c r="T55" s="84"/>
      <c r="U55" s="84"/>
      <c r="Z55" s="84"/>
      <c r="AD55" s="84"/>
      <c r="AE55" s="371"/>
      <c r="AF55" s="372"/>
      <c r="AG55" s="371"/>
      <c r="AH55" s="371"/>
      <c r="AI55" s="371"/>
      <c r="AJ55" s="371"/>
      <c r="AK55" s="371"/>
      <c r="AL55" s="371"/>
      <c r="AM55" s="371"/>
      <c r="AN55" s="375"/>
      <c r="AO55" s="371"/>
      <c r="BA55" s="84"/>
      <c r="BL55" s="84"/>
    </row>
    <row r="56" spans="1:64" x14ac:dyDescent="0.2">
      <c r="A56" s="84"/>
      <c r="B56" s="226"/>
      <c r="C56" s="226"/>
      <c r="D56" s="84"/>
      <c r="E56" s="84"/>
      <c r="F56" s="84"/>
      <c r="G56" s="84"/>
      <c r="H56" s="84"/>
      <c r="I56" s="131"/>
      <c r="J56" s="131"/>
      <c r="K56" s="131"/>
      <c r="L56" s="131"/>
      <c r="M56" s="131"/>
      <c r="N56" s="131"/>
      <c r="O56" s="84"/>
      <c r="P56" s="85"/>
      <c r="Q56" s="84"/>
      <c r="R56" s="84"/>
      <c r="S56" s="85"/>
      <c r="T56" s="84"/>
      <c r="U56" s="84"/>
      <c r="Z56" s="84"/>
      <c r="AD56" s="84"/>
      <c r="BA56" s="84"/>
      <c r="BL56" s="84"/>
    </row>
    <row r="57" spans="1:64" x14ac:dyDescent="0.2">
      <c r="A57" s="84"/>
      <c r="B57" s="226"/>
      <c r="C57" s="226"/>
      <c r="D57" s="84"/>
      <c r="E57" s="84"/>
      <c r="F57" s="84"/>
      <c r="G57" s="84"/>
      <c r="H57" s="84"/>
      <c r="I57" s="131"/>
      <c r="J57" s="131"/>
      <c r="K57" s="131"/>
      <c r="L57" s="131"/>
      <c r="M57" s="131"/>
      <c r="N57" s="131"/>
      <c r="O57" s="84"/>
      <c r="P57" s="85"/>
      <c r="Q57" s="84"/>
      <c r="R57" s="84"/>
      <c r="S57" s="85"/>
      <c r="T57" s="84"/>
      <c r="U57" s="84"/>
      <c r="Z57" s="84"/>
      <c r="AD57" s="84"/>
      <c r="BA57" s="84"/>
      <c r="BL57" s="84"/>
    </row>
    <row r="58" spans="1:64" x14ac:dyDescent="0.2">
      <c r="A58" s="84"/>
      <c r="B58" s="226"/>
      <c r="C58" s="226"/>
      <c r="D58" s="84"/>
      <c r="E58" s="84"/>
      <c r="F58" s="84"/>
      <c r="G58" s="84"/>
      <c r="H58" s="84"/>
      <c r="I58" s="131"/>
      <c r="J58" s="131"/>
      <c r="K58" s="131"/>
      <c r="L58" s="131"/>
      <c r="M58" s="131"/>
      <c r="N58" s="131"/>
      <c r="O58" s="84"/>
      <c r="P58" s="85"/>
      <c r="Q58" s="84"/>
      <c r="R58" s="84"/>
      <c r="S58" s="85"/>
      <c r="T58" s="84"/>
      <c r="U58" s="84"/>
      <c r="Z58" s="84"/>
      <c r="AD58" s="84"/>
      <c r="BA58" s="84"/>
      <c r="BL58" s="84"/>
    </row>
    <row r="59" spans="1:64" x14ac:dyDescent="0.2">
      <c r="A59" s="84"/>
      <c r="B59" s="226"/>
      <c r="C59" s="226"/>
      <c r="D59" s="84"/>
      <c r="E59" s="84"/>
      <c r="F59" s="84"/>
      <c r="G59" s="84"/>
      <c r="H59" s="84"/>
      <c r="I59" s="131"/>
      <c r="J59" s="131"/>
      <c r="K59" s="131"/>
      <c r="L59" s="131"/>
      <c r="M59" s="131"/>
      <c r="N59" s="131"/>
      <c r="O59" s="84"/>
      <c r="P59" s="85"/>
      <c r="Q59" s="84"/>
      <c r="R59" s="84"/>
      <c r="S59" s="85"/>
      <c r="T59" s="84"/>
      <c r="U59" s="84"/>
      <c r="Z59" s="84"/>
      <c r="AD59" s="84"/>
      <c r="BA59" s="84"/>
      <c r="BL59" s="84"/>
    </row>
    <row r="60" spans="1:64" x14ac:dyDescent="0.2">
      <c r="A60" s="84"/>
      <c r="B60" s="226"/>
      <c r="C60" s="226"/>
      <c r="D60" s="84"/>
      <c r="E60" s="84"/>
      <c r="F60" s="84"/>
      <c r="G60" s="84"/>
      <c r="H60" s="84"/>
      <c r="I60" s="131"/>
      <c r="J60" s="131"/>
      <c r="K60" s="131"/>
      <c r="L60" s="131"/>
      <c r="M60" s="131"/>
      <c r="N60" s="131"/>
      <c r="O60" s="84"/>
      <c r="P60" s="85"/>
      <c r="Q60" s="84"/>
      <c r="R60" s="84"/>
      <c r="S60" s="85"/>
      <c r="T60" s="84"/>
      <c r="U60" s="84"/>
      <c r="Z60" s="84"/>
      <c r="AD60" s="84"/>
      <c r="BA60" s="84"/>
      <c r="BL60" s="84"/>
    </row>
  </sheetData>
  <mergeCells count="77">
    <mergeCell ref="I40:T40"/>
    <mergeCell ref="I1:N1"/>
    <mergeCell ref="S3:T4"/>
    <mergeCell ref="S2:T2"/>
    <mergeCell ref="P3:R4"/>
    <mergeCell ref="AM1:AM6"/>
    <mergeCell ref="AP1:AP6"/>
    <mergeCell ref="S1:T1"/>
    <mergeCell ref="I38:T38"/>
    <mergeCell ref="I39:T39"/>
    <mergeCell ref="V23:X23"/>
    <mergeCell ref="V6:Y6"/>
    <mergeCell ref="AA6:AD6"/>
    <mergeCell ref="V15:X15"/>
    <mergeCell ref="V7:X7"/>
    <mergeCell ref="AA28:AD28"/>
    <mergeCell ref="BB33:BC33"/>
    <mergeCell ref="BB34:BD34"/>
    <mergeCell ref="BB36:BF36"/>
    <mergeCell ref="BB37:BC37"/>
    <mergeCell ref="AE1:AE6"/>
    <mergeCell ref="AF1:AF6"/>
    <mergeCell ref="AG1:AG6"/>
    <mergeCell ref="AH1:AH6"/>
    <mergeCell ref="AI1:AI6"/>
    <mergeCell ref="BF27:BF33"/>
    <mergeCell ref="BB25:BE25"/>
    <mergeCell ref="BB21:BD21"/>
    <mergeCell ref="BB14:BF14"/>
    <mergeCell ref="BC6:BF6"/>
    <mergeCell ref="BC7:BD7"/>
    <mergeCell ref="BC8:BF8"/>
    <mergeCell ref="BH27:BI27"/>
    <mergeCell ref="BH28:BI28"/>
    <mergeCell ref="BH29:BI29"/>
    <mergeCell ref="BH30:BI30"/>
    <mergeCell ref="BH31:BI31"/>
    <mergeCell ref="BH25:BI25"/>
    <mergeCell ref="BB26:BE26"/>
    <mergeCell ref="BH26:BI26"/>
    <mergeCell ref="BB22:BF22"/>
    <mergeCell ref="BH22:BK22"/>
    <mergeCell ref="BF23:BF24"/>
    <mergeCell ref="BH23:BI23"/>
    <mergeCell ref="BH24:BI24"/>
    <mergeCell ref="BH18:BI18"/>
    <mergeCell ref="BB19:BF19"/>
    <mergeCell ref="BH19:BI19"/>
    <mergeCell ref="BB20:BF20"/>
    <mergeCell ref="BJ20:BK20"/>
    <mergeCell ref="BH14:BK14"/>
    <mergeCell ref="BH15:BI15"/>
    <mergeCell ref="BH16:BI16"/>
    <mergeCell ref="BB17:BE17"/>
    <mergeCell ref="BH17:BI17"/>
    <mergeCell ref="BB11:BK11"/>
    <mergeCell ref="BB1:BK1"/>
    <mergeCell ref="BB3:BF3"/>
    <mergeCell ref="BH3:BK3"/>
    <mergeCell ref="BC4:BF4"/>
    <mergeCell ref="BC5:BF5"/>
    <mergeCell ref="B2:D5"/>
    <mergeCell ref="G2:G4"/>
    <mergeCell ref="I2:M2"/>
    <mergeCell ref="P2:R2"/>
    <mergeCell ref="BC9:BF9"/>
    <mergeCell ref="AT1:AZ5"/>
    <mergeCell ref="I3:N4"/>
    <mergeCell ref="P1:Q1"/>
    <mergeCell ref="AA1:AC5"/>
    <mergeCell ref="AQ1:AQ6"/>
    <mergeCell ref="AS1:AS6"/>
    <mergeCell ref="AR1:AR6"/>
    <mergeCell ref="AJ1:AJ6"/>
    <mergeCell ref="AK1:AK6"/>
    <mergeCell ref="AL1:AL6"/>
    <mergeCell ref="AN1:AO6"/>
  </mergeCells>
  <conditionalFormatting sqref="G36:T36">
    <cfRule type="cellIs" dxfId="25" priority="1" operator="lessThan">
      <formula>0</formula>
    </cfRule>
  </conditionalFormatting>
  <pageMargins left="0.25" right="0.25" top="0.75" bottom="0.75" header="0.3" footer="0.3"/>
  <pageSetup scale="6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9569" r:id="rId4" name="Check Box 1">
              <controlPr defaultSize="0" autoFill="0" autoLine="0" autoPict="0">
                <anchor moveWithCells="1">
                  <from>
                    <xdr:col>0</xdr:col>
                    <xdr:colOff>0</xdr:colOff>
                    <xdr:row>6</xdr:row>
                    <xdr:rowOff>19050</xdr:rowOff>
                  </from>
                  <to>
                    <xdr:col>6</xdr:col>
                    <xdr:colOff>247650</xdr:colOff>
                    <xdr:row>6</xdr:row>
                    <xdr:rowOff>180975</xdr:rowOff>
                  </to>
                </anchor>
              </controlPr>
            </control>
          </mc:Choice>
        </mc:AlternateContent>
        <mc:AlternateContent xmlns:mc="http://schemas.openxmlformats.org/markup-compatibility/2006">
          <mc:Choice Requires="x14">
            <control shapeId="109570" r:id="rId5" name="Check Box 2">
              <controlPr defaultSize="0" autoFill="0" autoLine="0" autoPict="0">
                <anchor moveWithCells="1">
                  <from>
                    <xdr:col>0</xdr:col>
                    <xdr:colOff>0</xdr:colOff>
                    <xdr:row>7</xdr:row>
                    <xdr:rowOff>9525</xdr:rowOff>
                  </from>
                  <to>
                    <xdr:col>6</xdr:col>
                    <xdr:colOff>247650</xdr:colOff>
                    <xdr:row>7</xdr:row>
                    <xdr:rowOff>152400</xdr:rowOff>
                  </to>
                </anchor>
              </controlPr>
            </control>
          </mc:Choice>
        </mc:AlternateContent>
        <mc:AlternateContent xmlns:mc="http://schemas.openxmlformats.org/markup-compatibility/2006">
          <mc:Choice Requires="x14">
            <control shapeId="109571" r:id="rId6" name="Check Box 3">
              <controlPr defaultSize="0" autoFill="0" autoLine="0" autoPict="0">
                <anchor moveWithCells="1">
                  <from>
                    <xdr:col>0</xdr:col>
                    <xdr:colOff>0</xdr:colOff>
                    <xdr:row>8</xdr:row>
                    <xdr:rowOff>9525</xdr:rowOff>
                  </from>
                  <to>
                    <xdr:col>6</xdr:col>
                    <xdr:colOff>247650</xdr:colOff>
                    <xdr:row>8</xdr:row>
                    <xdr:rowOff>152400</xdr:rowOff>
                  </to>
                </anchor>
              </controlPr>
            </control>
          </mc:Choice>
        </mc:AlternateContent>
        <mc:AlternateContent xmlns:mc="http://schemas.openxmlformats.org/markup-compatibility/2006">
          <mc:Choice Requires="x14">
            <control shapeId="109572" r:id="rId7" name="Check Box 4">
              <controlPr defaultSize="0" autoFill="0" autoLine="0" autoPict="0">
                <anchor moveWithCells="1">
                  <from>
                    <xdr:col>0</xdr:col>
                    <xdr:colOff>0</xdr:colOff>
                    <xdr:row>9</xdr:row>
                    <xdr:rowOff>9525</xdr:rowOff>
                  </from>
                  <to>
                    <xdr:col>6</xdr:col>
                    <xdr:colOff>257175</xdr:colOff>
                    <xdr:row>9</xdr:row>
                    <xdr:rowOff>152400</xdr:rowOff>
                  </to>
                </anchor>
              </controlPr>
            </control>
          </mc:Choice>
        </mc:AlternateContent>
        <mc:AlternateContent xmlns:mc="http://schemas.openxmlformats.org/markup-compatibility/2006">
          <mc:Choice Requires="x14">
            <control shapeId="109573" r:id="rId8" name="Check Box 5">
              <controlPr defaultSize="0" autoFill="0" autoLine="0" autoPict="0">
                <anchor moveWithCells="1">
                  <from>
                    <xdr:col>0</xdr:col>
                    <xdr:colOff>0</xdr:colOff>
                    <xdr:row>10</xdr:row>
                    <xdr:rowOff>19050</xdr:rowOff>
                  </from>
                  <to>
                    <xdr:col>6</xdr:col>
                    <xdr:colOff>247650</xdr:colOff>
                    <xdr:row>10</xdr:row>
                    <xdr:rowOff>180975</xdr:rowOff>
                  </to>
                </anchor>
              </controlPr>
            </control>
          </mc:Choice>
        </mc:AlternateContent>
        <mc:AlternateContent xmlns:mc="http://schemas.openxmlformats.org/markup-compatibility/2006">
          <mc:Choice Requires="x14">
            <control shapeId="109574" r:id="rId9" name="Check Box 6">
              <controlPr defaultSize="0" autoFill="0" autoLine="0" autoPict="0">
                <anchor moveWithCells="1">
                  <from>
                    <xdr:col>0</xdr:col>
                    <xdr:colOff>0</xdr:colOff>
                    <xdr:row>11</xdr:row>
                    <xdr:rowOff>9525</xdr:rowOff>
                  </from>
                  <to>
                    <xdr:col>6</xdr:col>
                    <xdr:colOff>257175</xdr:colOff>
                    <xdr:row>11</xdr:row>
                    <xdr:rowOff>152400</xdr:rowOff>
                  </to>
                </anchor>
              </controlPr>
            </control>
          </mc:Choice>
        </mc:AlternateContent>
        <mc:AlternateContent xmlns:mc="http://schemas.openxmlformats.org/markup-compatibility/2006">
          <mc:Choice Requires="x14">
            <control shapeId="109575" r:id="rId10" name="Check Box 7">
              <controlPr defaultSize="0" autoFill="0" autoLine="0" autoPict="0">
                <anchor moveWithCells="1">
                  <from>
                    <xdr:col>0</xdr:col>
                    <xdr:colOff>0</xdr:colOff>
                    <xdr:row>12</xdr:row>
                    <xdr:rowOff>9525</xdr:rowOff>
                  </from>
                  <to>
                    <xdr:col>6</xdr:col>
                    <xdr:colOff>247650</xdr:colOff>
                    <xdr:row>12</xdr:row>
                    <xdr:rowOff>152400</xdr:rowOff>
                  </to>
                </anchor>
              </controlPr>
            </control>
          </mc:Choice>
        </mc:AlternateContent>
        <mc:AlternateContent xmlns:mc="http://schemas.openxmlformats.org/markup-compatibility/2006">
          <mc:Choice Requires="x14">
            <control shapeId="109576" r:id="rId11" name="Check Box 8">
              <controlPr defaultSize="0" autoFill="0" autoLine="0" autoPict="0">
                <anchor moveWithCells="1">
                  <from>
                    <xdr:col>0</xdr:col>
                    <xdr:colOff>0</xdr:colOff>
                    <xdr:row>13</xdr:row>
                    <xdr:rowOff>19050</xdr:rowOff>
                  </from>
                  <to>
                    <xdr:col>6</xdr:col>
                    <xdr:colOff>247650</xdr:colOff>
                    <xdr:row>14</xdr:row>
                    <xdr:rowOff>0</xdr:rowOff>
                  </to>
                </anchor>
              </controlPr>
            </control>
          </mc:Choice>
        </mc:AlternateContent>
        <mc:AlternateContent xmlns:mc="http://schemas.openxmlformats.org/markup-compatibility/2006">
          <mc:Choice Requires="x14">
            <control shapeId="109577" r:id="rId12" name="Check Box 9">
              <controlPr defaultSize="0" autoFill="0" autoLine="0" autoPict="0">
                <anchor moveWithCells="1">
                  <from>
                    <xdr:col>0</xdr:col>
                    <xdr:colOff>0</xdr:colOff>
                    <xdr:row>14</xdr:row>
                    <xdr:rowOff>19050</xdr:rowOff>
                  </from>
                  <to>
                    <xdr:col>6</xdr:col>
                    <xdr:colOff>247650</xdr:colOff>
                    <xdr:row>15</xdr:row>
                    <xdr:rowOff>0</xdr:rowOff>
                  </to>
                </anchor>
              </controlPr>
            </control>
          </mc:Choice>
        </mc:AlternateContent>
        <mc:AlternateContent xmlns:mc="http://schemas.openxmlformats.org/markup-compatibility/2006">
          <mc:Choice Requires="x14">
            <control shapeId="109578" r:id="rId13" name="Check Box 10">
              <controlPr defaultSize="0" autoFill="0" autoLine="0" autoPict="0">
                <anchor moveWithCells="1">
                  <from>
                    <xdr:col>0</xdr:col>
                    <xdr:colOff>0</xdr:colOff>
                    <xdr:row>15</xdr:row>
                    <xdr:rowOff>9525</xdr:rowOff>
                  </from>
                  <to>
                    <xdr:col>6</xdr:col>
                    <xdr:colOff>247650</xdr:colOff>
                    <xdr:row>15</xdr:row>
                    <xdr:rowOff>152400</xdr:rowOff>
                  </to>
                </anchor>
              </controlPr>
            </control>
          </mc:Choice>
        </mc:AlternateContent>
        <mc:AlternateContent xmlns:mc="http://schemas.openxmlformats.org/markup-compatibility/2006">
          <mc:Choice Requires="x14">
            <control shapeId="109579" r:id="rId14" name="Check Box 11">
              <controlPr defaultSize="0" autoFill="0" autoLine="0" autoPict="0">
                <anchor moveWithCells="1">
                  <from>
                    <xdr:col>0</xdr:col>
                    <xdr:colOff>0</xdr:colOff>
                    <xdr:row>16</xdr:row>
                    <xdr:rowOff>19050</xdr:rowOff>
                  </from>
                  <to>
                    <xdr:col>6</xdr:col>
                    <xdr:colOff>247650</xdr:colOff>
                    <xdr:row>16</xdr:row>
                    <xdr:rowOff>180975</xdr:rowOff>
                  </to>
                </anchor>
              </controlPr>
            </control>
          </mc:Choice>
        </mc:AlternateContent>
        <mc:AlternateContent xmlns:mc="http://schemas.openxmlformats.org/markup-compatibility/2006">
          <mc:Choice Requires="x14">
            <control shapeId="109580" r:id="rId15" name="Check Box 12">
              <controlPr defaultSize="0" autoFill="0" autoLine="0" autoPict="0">
                <anchor moveWithCells="1">
                  <from>
                    <xdr:col>0</xdr:col>
                    <xdr:colOff>0</xdr:colOff>
                    <xdr:row>17</xdr:row>
                    <xdr:rowOff>19050</xdr:rowOff>
                  </from>
                  <to>
                    <xdr:col>6</xdr:col>
                    <xdr:colOff>247650</xdr:colOff>
                    <xdr:row>17</xdr:row>
                    <xdr:rowOff>180975</xdr:rowOff>
                  </to>
                </anchor>
              </controlPr>
            </control>
          </mc:Choice>
        </mc:AlternateContent>
        <mc:AlternateContent xmlns:mc="http://schemas.openxmlformats.org/markup-compatibility/2006">
          <mc:Choice Requires="x14">
            <control shapeId="109581" r:id="rId16" name="Check Box 13">
              <controlPr defaultSize="0" autoFill="0" autoLine="0" autoPict="0">
                <anchor moveWithCells="1">
                  <from>
                    <xdr:col>0</xdr:col>
                    <xdr:colOff>0</xdr:colOff>
                    <xdr:row>18</xdr:row>
                    <xdr:rowOff>19050</xdr:rowOff>
                  </from>
                  <to>
                    <xdr:col>6</xdr:col>
                    <xdr:colOff>247650</xdr:colOff>
                    <xdr:row>18</xdr:row>
                    <xdr:rowOff>180975</xdr:rowOff>
                  </to>
                </anchor>
              </controlPr>
            </control>
          </mc:Choice>
        </mc:AlternateContent>
        <mc:AlternateContent xmlns:mc="http://schemas.openxmlformats.org/markup-compatibility/2006">
          <mc:Choice Requires="x14">
            <control shapeId="109582" r:id="rId17" name="Check Box 14">
              <controlPr defaultSize="0" autoFill="0" autoLine="0" autoPict="0">
                <anchor moveWithCells="1">
                  <from>
                    <xdr:col>0</xdr:col>
                    <xdr:colOff>0</xdr:colOff>
                    <xdr:row>19</xdr:row>
                    <xdr:rowOff>19050</xdr:rowOff>
                  </from>
                  <to>
                    <xdr:col>6</xdr:col>
                    <xdr:colOff>247650</xdr:colOff>
                    <xdr:row>19</xdr:row>
                    <xdr:rowOff>180975</xdr:rowOff>
                  </to>
                </anchor>
              </controlPr>
            </control>
          </mc:Choice>
        </mc:AlternateContent>
        <mc:AlternateContent xmlns:mc="http://schemas.openxmlformats.org/markup-compatibility/2006">
          <mc:Choice Requires="x14">
            <control shapeId="109583" r:id="rId18" name="Check Box 15">
              <controlPr defaultSize="0" autoFill="0" autoLine="0" autoPict="0">
                <anchor moveWithCells="1">
                  <from>
                    <xdr:col>0</xdr:col>
                    <xdr:colOff>0</xdr:colOff>
                    <xdr:row>20</xdr:row>
                    <xdr:rowOff>9525</xdr:rowOff>
                  </from>
                  <to>
                    <xdr:col>6</xdr:col>
                    <xdr:colOff>247650</xdr:colOff>
                    <xdr:row>20</xdr:row>
                    <xdr:rowOff>152400</xdr:rowOff>
                  </to>
                </anchor>
              </controlPr>
            </control>
          </mc:Choice>
        </mc:AlternateContent>
        <mc:AlternateContent xmlns:mc="http://schemas.openxmlformats.org/markup-compatibility/2006">
          <mc:Choice Requires="x14">
            <control shapeId="109584" r:id="rId19" name="Check Box 16">
              <controlPr defaultSize="0" autoFill="0" autoLine="0" autoPict="0">
                <anchor moveWithCells="1">
                  <from>
                    <xdr:col>0</xdr:col>
                    <xdr:colOff>0</xdr:colOff>
                    <xdr:row>21</xdr:row>
                    <xdr:rowOff>19050</xdr:rowOff>
                  </from>
                  <to>
                    <xdr:col>6</xdr:col>
                    <xdr:colOff>247650</xdr:colOff>
                    <xdr:row>21</xdr:row>
                    <xdr:rowOff>180975</xdr:rowOff>
                  </to>
                </anchor>
              </controlPr>
            </control>
          </mc:Choice>
        </mc:AlternateContent>
        <mc:AlternateContent xmlns:mc="http://schemas.openxmlformats.org/markup-compatibility/2006">
          <mc:Choice Requires="x14">
            <control shapeId="109585" r:id="rId20" name="Check Box 17">
              <controlPr defaultSize="0" autoFill="0" autoLine="0" autoPict="0">
                <anchor moveWithCells="1">
                  <from>
                    <xdr:col>0</xdr:col>
                    <xdr:colOff>0</xdr:colOff>
                    <xdr:row>22</xdr:row>
                    <xdr:rowOff>19050</xdr:rowOff>
                  </from>
                  <to>
                    <xdr:col>6</xdr:col>
                    <xdr:colOff>247650</xdr:colOff>
                    <xdr:row>23</xdr:row>
                    <xdr:rowOff>0</xdr:rowOff>
                  </to>
                </anchor>
              </controlPr>
            </control>
          </mc:Choice>
        </mc:AlternateContent>
        <mc:AlternateContent xmlns:mc="http://schemas.openxmlformats.org/markup-compatibility/2006">
          <mc:Choice Requires="x14">
            <control shapeId="109586" r:id="rId21" name="Check Box 18">
              <controlPr defaultSize="0" autoFill="0" autoLine="0" autoPict="0">
                <anchor moveWithCells="1">
                  <from>
                    <xdr:col>0</xdr:col>
                    <xdr:colOff>0</xdr:colOff>
                    <xdr:row>23</xdr:row>
                    <xdr:rowOff>19050</xdr:rowOff>
                  </from>
                  <to>
                    <xdr:col>6</xdr:col>
                    <xdr:colOff>257175</xdr:colOff>
                    <xdr:row>23</xdr:row>
                    <xdr:rowOff>180975</xdr:rowOff>
                  </to>
                </anchor>
              </controlPr>
            </control>
          </mc:Choice>
        </mc:AlternateContent>
        <mc:AlternateContent xmlns:mc="http://schemas.openxmlformats.org/markup-compatibility/2006">
          <mc:Choice Requires="x14">
            <control shapeId="109587" r:id="rId22" name="Check Box 19">
              <controlPr defaultSize="0" autoFill="0" autoLine="0" autoPict="0">
                <anchor moveWithCells="1">
                  <from>
                    <xdr:col>0</xdr:col>
                    <xdr:colOff>0</xdr:colOff>
                    <xdr:row>24</xdr:row>
                    <xdr:rowOff>19050</xdr:rowOff>
                  </from>
                  <to>
                    <xdr:col>6</xdr:col>
                    <xdr:colOff>247650</xdr:colOff>
                    <xdr:row>25</xdr:row>
                    <xdr:rowOff>161925</xdr:rowOff>
                  </to>
                </anchor>
              </controlPr>
            </control>
          </mc:Choice>
        </mc:AlternateContent>
        <mc:AlternateContent xmlns:mc="http://schemas.openxmlformats.org/markup-compatibility/2006">
          <mc:Choice Requires="x14">
            <control shapeId="109588" r:id="rId23" name="Check Box 20">
              <controlPr defaultSize="0" autoFill="0" autoLine="0" autoPict="0">
                <anchor moveWithCells="1">
                  <from>
                    <xdr:col>0</xdr:col>
                    <xdr:colOff>0</xdr:colOff>
                    <xdr:row>25</xdr:row>
                    <xdr:rowOff>19050</xdr:rowOff>
                  </from>
                  <to>
                    <xdr:col>6</xdr:col>
                    <xdr:colOff>257175</xdr:colOff>
                    <xdr:row>25</xdr:row>
                    <xdr:rowOff>180975</xdr:rowOff>
                  </to>
                </anchor>
              </controlPr>
            </control>
          </mc:Choice>
        </mc:AlternateContent>
        <mc:AlternateContent xmlns:mc="http://schemas.openxmlformats.org/markup-compatibility/2006">
          <mc:Choice Requires="x14">
            <control shapeId="109589" r:id="rId24" name="Check Box 21">
              <controlPr defaultSize="0" autoFill="0" autoLine="0" autoPict="0">
                <anchor moveWithCells="1">
                  <from>
                    <xdr:col>0</xdr:col>
                    <xdr:colOff>0</xdr:colOff>
                    <xdr:row>26</xdr:row>
                    <xdr:rowOff>19050</xdr:rowOff>
                  </from>
                  <to>
                    <xdr:col>6</xdr:col>
                    <xdr:colOff>247650</xdr:colOff>
                    <xdr:row>27</xdr:row>
                    <xdr:rowOff>0</xdr:rowOff>
                  </to>
                </anchor>
              </controlPr>
            </control>
          </mc:Choice>
        </mc:AlternateContent>
        <mc:AlternateContent xmlns:mc="http://schemas.openxmlformats.org/markup-compatibility/2006">
          <mc:Choice Requires="x14">
            <control shapeId="109590" r:id="rId25" name="Check Box 22">
              <controlPr defaultSize="0" autoFill="0" autoLine="0" autoPict="0">
                <anchor moveWithCells="1">
                  <from>
                    <xdr:col>0</xdr:col>
                    <xdr:colOff>0</xdr:colOff>
                    <xdr:row>27</xdr:row>
                    <xdr:rowOff>19050</xdr:rowOff>
                  </from>
                  <to>
                    <xdr:col>6</xdr:col>
                    <xdr:colOff>247650</xdr:colOff>
                    <xdr:row>28</xdr:row>
                    <xdr:rowOff>0</xdr:rowOff>
                  </to>
                </anchor>
              </controlPr>
            </control>
          </mc:Choice>
        </mc:AlternateContent>
        <mc:AlternateContent xmlns:mc="http://schemas.openxmlformats.org/markup-compatibility/2006">
          <mc:Choice Requires="x14">
            <control shapeId="109591" r:id="rId26" name="Check Box 23">
              <controlPr defaultSize="0" autoFill="0" autoLine="0" autoPict="0">
                <anchor moveWithCells="1">
                  <from>
                    <xdr:col>0</xdr:col>
                    <xdr:colOff>0</xdr:colOff>
                    <xdr:row>28</xdr:row>
                    <xdr:rowOff>9525</xdr:rowOff>
                  </from>
                  <to>
                    <xdr:col>6</xdr:col>
                    <xdr:colOff>257175</xdr:colOff>
                    <xdr:row>31</xdr:row>
                    <xdr:rowOff>142875</xdr:rowOff>
                  </to>
                </anchor>
              </controlPr>
            </control>
          </mc:Choice>
        </mc:AlternateContent>
        <mc:AlternateContent xmlns:mc="http://schemas.openxmlformats.org/markup-compatibility/2006">
          <mc:Choice Requires="x14">
            <control shapeId="109592" r:id="rId27" name="Check Box 24">
              <controlPr defaultSize="0" autoFill="0" autoLine="0" autoPict="0">
                <anchor moveWithCells="1">
                  <from>
                    <xdr:col>0</xdr:col>
                    <xdr:colOff>0</xdr:colOff>
                    <xdr:row>29</xdr:row>
                    <xdr:rowOff>19050</xdr:rowOff>
                  </from>
                  <to>
                    <xdr:col>6</xdr:col>
                    <xdr:colOff>257175</xdr:colOff>
                    <xdr:row>31</xdr:row>
                    <xdr:rowOff>161925</xdr:rowOff>
                  </to>
                </anchor>
              </controlPr>
            </control>
          </mc:Choice>
        </mc:AlternateContent>
        <mc:AlternateContent xmlns:mc="http://schemas.openxmlformats.org/markup-compatibility/2006">
          <mc:Choice Requires="x14">
            <control shapeId="109593" r:id="rId28" name="Check Box 25">
              <controlPr defaultSize="0" autoFill="0" autoLine="0" autoPict="0">
                <anchor moveWithCells="1">
                  <from>
                    <xdr:col>0</xdr:col>
                    <xdr:colOff>0</xdr:colOff>
                    <xdr:row>30</xdr:row>
                    <xdr:rowOff>19050</xdr:rowOff>
                  </from>
                  <to>
                    <xdr:col>6</xdr:col>
                    <xdr:colOff>247650</xdr:colOff>
                    <xdr:row>31</xdr:row>
                    <xdr:rowOff>161925</xdr:rowOff>
                  </to>
                </anchor>
              </controlPr>
            </control>
          </mc:Choice>
        </mc:AlternateContent>
        <mc:AlternateContent xmlns:mc="http://schemas.openxmlformats.org/markup-compatibility/2006">
          <mc:Choice Requires="x14">
            <control shapeId="109594" r:id="rId29" name="Check Box 26">
              <controlPr defaultSize="0" autoFill="0" autoLine="0" autoPict="0">
                <anchor moveWithCells="1">
                  <from>
                    <xdr:col>0</xdr:col>
                    <xdr:colOff>0</xdr:colOff>
                    <xdr:row>31</xdr:row>
                    <xdr:rowOff>28575</xdr:rowOff>
                  </from>
                  <to>
                    <xdr:col>6</xdr:col>
                    <xdr:colOff>247650</xdr:colOff>
                    <xdr:row>32</xdr:row>
                    <xdr:rowOff>0</xdr:rowOff>
                  </to>
                </anchor>
              </controlPr>
            </control>
          </mc:Choice>
        </mc:AlternateContent>
        <mc:AlternateContent xmlns:mc="http://schemas.openxmlformats.org/markup-compatibility/2006">
          <mc:Choice Requires="x14">
            <control shapeId="109595" r:id="rId30" name="Check Box 27">
              <controlPr defaultSize="0" autoFill="0" autoLine="0" autoPict="0">
                <anchor moveWithCells="1">
                  <from>
                    <xdr:col>0</xdr:col>
                    <xdr:colOff>0</xdr:colOff>
                    <xdr:row>32</xdr:row>
                    <xdr:rowOff>19050</xdr:rowOff>
                  </from>
                  <to>
                    <xdr:col>6</xdr:col>
                    <xdr:colOff>247650</xdr:colOff>
                    <xdr:row>33</xdr:row>
                    <xdr:rowOff>0</xdr:rowOff>
                  </to>
                </anchor>
              </controlPr>
            </control>
          </mc:Choice>
        </mc:AlternateContent>
        <mc:AlternateContent xmlns:mc="http://schemas.openxmlformats.org/markup-compatibility/2006">
          <mc:Choice Requires="x14">
            <control shapeId="109596" r:id="rId31" name="Check Box 28">
              <controlPr defaultSize="0" autoFill="0" autoLine="0" autoPict="0">
                <anchor moveWithCells="1">
                  <from>
                    <xdr:col>0</xdr:col>
                    <xdr:colOff>0</xdr:colOff>
                    <xdr:row>33</xdr:row>
                    <xdr:rowOff>19050</xdr:rowOff>
                  </from>
                  <to>
                    <xdr:col>6</xdr:col>
                    <xdr:colOff>247650</xdr:colOff>
                    <xdr:row>33</xdr:row>
                    <xdr:rowOff>180975</xdr:rowOff>
                  </to>
                </anchor>
              </controlPr>
            </control>
          </mc:Choice>
        </mc:AlternateContent>
        <mc:AlternateContent xmlns:mc="http://schemas.openxmlformats.org/markup-compatibility/2006">
          <mc:Choice Requires="x14">
            <control shapeId="109597" r:id="rId32" name="Check Box 29">
              <controlPr defaultSize="0" autoFill="0" autoLine="0" autoPict="0">
                <anchor moveWithCells="1">
                  <from>
                    <xdr:col>0</xdr:col>
                    <xdr:colOff>0</xdr:colOff>
                    <xdr:row>34</xdr:row>
                    <xdr:rowOff>19050</xdr:rowOff>
                  </from>
                  <to>
                    <xdr:col>6</xdr:col>
                    <xdr:colOff>247650</xdr:colOff>
                    <xdr:row>34</xdr:row>
                    <xdr:rowOff>180975</xdr:rowOff>
                  </to>
                </anchor>
              </controlPr>
            </control>
          </mc:Choice>
        </mc:AlternateContent>
        <mc:AlternateContent xmlns:mc="http://schemas.openxmlformats.org/markup-compatibility/2006">
          <mc:Choice Requires="x14">
            <control shapeId="109598" r:id="rId33" name="Check Box 30">
              <controlPr defaultSize="0" autoFill="0" autoLine="0" autoPict="0">
                <anchor moveWithCells="1">
                  <from>
                    <xdr:col>0</xdr:col>
                    <xdr:colOff>0</xdr:colOff>
                    <xdr:row>35</xdr:row>
                    <xdr:rowOff>19050</xdr:rowOff>
                  </from>
                  <to>
                    <xdr:col>6</xdr:col>
                    <xdr:colOff>247650</xdr:colOff>
                    <xdr:row>36</xdr:row>
                    <xdr:rowOff>0</xdr:rowOff>
                  </to>
                </anchor>
              </controlPr>
            </control>
          </mc:Choice>
        </mc:AlternateContent>
        <mc:AlternateContent xmlns:mc="http://schemas.openxmlformats.org/markup-compatibility/2006">
          <mc:Choice Requires="x14">
            <control shapeId="109599" r:id="rId34" name="Check Box 31">
              <controlPr defaultSize="0" autoFill="0" autoLine="0" autoPict="0">
                <anchor moveWithCells="1">
                  <from>
                    <xdr:col>0</xdr:col>
                    <xdr:colOff>0</xdr:colOff>
                    <xdr:row>36</xdr:row>
                    <xdr:rowOff>19050</xdr:rowOff>
                  </from>
                  <to>
                    <xdr:col>6</xdr:col>
                    <xdr:colOff>247650</xdr:colOff>
                    <xdr:row>36</xdr:row>
                    <xdr:rowOff>180975</xdr:rowOff>
                  </to>
                </anchor>
              </controlPr>
            </control>
          </mc:Choice>
        </mc:AlternateContent>
        <mc:AlternateContent xmlns:mc="http://schemas.openxmlformats.org/markup-compatibility/2006">
          <mc:Choice Requires="x14">
            <control shapeId="109600" r:id="rId35" name="Check Box 32">
              <controlPr defaultSize="0" autoFill="0" autoLine="0" autoPict="0">
                <anchor moveWithCells="1">
                  <from>
                    <xdr:col>0</xdr:col>
                    <xdr:colOff>0</xdr:colOff>
                    <xdr:row>37</xdr:row>
                    <xdr:rowOff>19050</xdr:rowOff>
                  </from>
                  <to>
                    <xdr:col>6</xdr:col>
                    <xdr:colOff>247650</xdr:colOff>
                    <xdr:row>38</xdr:row>
                    <xdr:rowOff>0</xdr:rowOff>
                  </to>
                </anchor>
              </controlPr>
            </control>
          </mc:Choice>
        </mc:AlternateContent>
        <mc:AlternateContent xmlns:mc="http://schemas.openxmlformats.org/markup-compatibility/2006">
          <mc:Choice Requires="x14">
            <control shapeId="109601" r:id="rId36" name="Check Box 33">
              <controlPr defaultSize="0" autoFill="0" autoLine="0" autoPict="0">
                <anchor moveWithCells="1">
                  <from>
                    <xdr:col>0</xdr:col>
                    <xdr:colOff>0</xdr:colOff>
                    <xdr:row>38</xdr:row>
                    <xdr:rowOff>9525</xdr:rowOff>
                  </from>
                  <to>
                    <xdr:col>6</xdr:col>
                    <xdr:colOff>247650</xdr:colOff>
                    <xdr:row>38</xdr:row>
                    <xdr:rowOff>152400</xdr:rowOff>
                  </to>
                </anchor>
              </controlPr>
            </control>
          </mc:Choice>
        </mc:AlternateContent>
        <mc:AlternateContent xmlns:mc="http://schemas.openxmlformats.org/markup-compatibility/2006">
          <mc:Choice Requires="x14">
            <control shapeId="109602" r:id="rId37" name="Check Box 34">
              <controlPr defaultSize="0" autoFill="0" autoLine="0" autoPict="0">
                <anchor moveWithCells="1">
                  <from>
                    <xdr:col>0</xdr:col>
                    <xdr:colOff>0</xdr:colOff>
                    <xdr:row>39</xdr:row>
                    <xdr:rowOff>19050</xdr:rowOff>
                  </from>
                  <to>
                    <xdr:col>6</xdr:col>
                    <xdr:colOff>257175</xdr:colOff>
                    <xdr:row>39</xdr:row>
                    <xdr:rowOff>152400</xdr:rowOff>
                  </to>
                </anchor>
              </controlPr>
            </control>
          </mc:Choice>
        </mc:AlternateContent>
        <mc:AlternateContent xmlns:mc="http://schemas.openxmlformats.org/markup-compatibility/2006">
          <mc:Choice Requires="x14">
            <control shapeId="109603" r:id="rId38" name="Check Box 35">
              <controlPr defaultSize="0" autoFill="0" autoLine="0" autoPict="0">
                <anchor moveWithCells="1">
                  <from>
                    <xdr:col>0</xdr:col>
                    <xdr:colOff>0</xdr:colOff>
                    <xdr:row>40</xdr:row>
                    <xdr:rowOff>19050</xdr:rowOff>
                  </from>
                  <to>
                    <xdr:col>6</xdr:col>
                    <xdr:colOff>257175</xdr:colOff>
                    <xdr:row>41</xdr:row>
                    <xdr:rowOff>0</xdr:rowOff>
                  </to>
                </anchor>
              </controlPr>
            </control>
          </mc:Choice>
        </mc:AlternateContent>
        <mc:AlternateContent xmlns:mc="http://schemas.openxmlformats.org/markup-compatibility/2006">
          <mc:Choice Requires="x14">
            <control shapeId="109604" r:id="rId39" name="Check Box 36">
              <controlPr defaultSize="0" autoFill="0" autoLine="0" autoPict="0">
                <anchor moveWithCells="1">
                  <from>
                    <xdr:col>0</xdr:col>
                    <xdr:colOff>0</xdr:colOff>
                    <xdr:row>41</xdr:row>
                    <xdr:rowOff>19050</xdr:rowOff>
                  </from>
                  <to>
                    <xdr:col>6</xdr:col>
                    <xdr:colOff>257175</xdr:colOff>
                    <xdr:row>42</xdr:row>
                    <xdr:rowOff>0</xdr:rowOff>
                  </to>
                </anchor>
              </controlPr>
            </control>
          </mc:Choice>
        </mc:AlternateContent>
        <mc:AlternateContent xmlns:mc="http://schemas.openxmlformats.org/markup-compatibility/2006">
          <mc:Choice Requires="x14">
            <control shapeId="109605" r:id="rId40" name="Check Box 37">
              <controlPr defaultSize="0" autoFill="0" autoLine="0" autoPict="0">
                <anchor moveWithCells="1">
                  <from>
                    <xdr:col>0</xdr:col>
                    <xdr:colOff>0</xdr:colOff>
                    <xdr:row>42</xdr:row>
                    <xdr:rowOff>9525</xdr:rowOff>
                  </from>
                  <to>
                    <xdr:col>6</xdr:col>
                    <xdr:colOff>257175</xdr:colOff>
                    <xdr:row>43</xdr:row>
                    <xdr:rowOff>0</xdr:rowOff>
                  </to>
                </anchor>
              </controlPr>
            </control>
          </mc:Choice>
        </mc:AlternateContent>
        <mc:AlternateContent xmlns:mc="http://schemas.openxmlformats.org/markup-compatibility/2006">
          <mc:Choice Requires="x14">
            <control shapeId="109606" r:id="rId41" name="Check Box 38">
              <controlPr defaultSize="0" autoFill="0" autoLine="0" autoPict="0">
                <anchor moveWithCells="1">
                  <from>
                    <xdr:col>0</xdr:col>
                    <xdr:colOff>0</xdr:colOff>
                    <xdr:row>43</xdr:row>
                    <xdr:rowOff>19050</xdr:rowOff>
                  </from>
                  <to>
                    <xdr:col>6</xdr:col>
                    <xdr:colOff>257175</xdr:colOff>
                    <xdr:row>44</xdr:row>
                    <xdr:rowOff>0</xdr:rowOff>
                  </to>
                </anchor>
              </controlPr>
            </control>
          </mc:Choice>
        </mc:AlternateContent>
        <mc:AlternateContent xmlns:mc="http://schemas.openxmlformats.org/markup-compatibility/2006">
          <mc:Choice Requires="x14">
            <control shapeId="109607" r:id="rId42" name="Check Box 39">
              <controlPr defaultSize="0" autoFill="0" autoLine="0" autoPict="0">
                <anchor moveWithCells="1">
                  <from>
                    <xdr:col>0</xdr:col>
                    <xdr:colOff>0</xdr:colOff>
                    <xdr:row>44</xdr:row>
                    <xdr:rowOff>9525</xdr:rowOff>
                  </from>
                  <to>
                    <xdr:col>6</xdr:col>
                    <xdr:colOff>257175</xdr:colOff>
                    <xdr:row>45</xdr:row>
                    <xdr:rowOff>0</xdr:rowOff>
                  </to>
                </anchor>
              </controlPr>
            </control>
          </mc:Choice>
        </mc:AlternateContent>
        <mc:AlternateContent xmlns:mc="http://schemas.openxmlformats.org/markup-compatibility/2006">
          <mc:Choice Requires="x14">
            <control shapeId="109608" r:id="rId43" name="Check Box 40">
              <controlPr defaultSize="0" autoFill="0" autoLine="0" autoPict="0">
                <anchor moveWithCells="1">
                  <from>
                    <xdr:col>0</xdr:col>
                    <xdr:colOff>0</xdr:colOff>
                    <xdr:row>45</xdr:row>
                    <xdr:rowOff>19050</xdr:rowOff>
                  </from>
                  <to>
                    <xdr:col>6</xdr:col>
                    <xdr:colOff>257175</xdr:colOff>
                    <xdr:row>46</xdr:row>
                    <xdr:rowOff>0</xdr:rowOff>
                  </to>
                </anchor>
              </controlPr>
            </control>
          </mc:Choice>
        </mc:AlternateContent>
        <mc:AlternateContent xmlns:mc="http://schemas.openxmlformats.org/markup-compatibility/2006">
          <mc:Choice Requires="x14">
            <control shapeId="109609" r:id="rId44" name="Check Box 41">
              <controlPr defaultSize="0" autoFill="0" autoLine="0" autoPict="0">
                <anchor moveWithCells="1">
                  <from>
                    <xdr:col>0</xdr:col>
                    <xdr:colOff>0</xdr:colOff>
                    <xdr:row>46</xdr:row>
                    <xdr:rowOff>9525</xdr:rowOff>
                  </from>
                  <to>
                    <xdr:col>6</xdr:col>
                    <xdr:colOff>257175</xdr:colOff>
                    <xdr:row>46</xdr:row>
                    <xdr:rowOff>152400</xdr:rowOff>
                  </to>
                </anchor>
              </controlPr>
            </control>
          </mc:Choice>
        </mc:AlternateContent>
        <mc:AlternateContent xmlns:mc="http://schemas.openxmlformats.org/markup-compatibility/2006">
          <mc:Choice Requires="x14">
            <control shapeId="109610" r:id="rId45" name="Check Box 42">
              <controlPr defaultSize="0" autoFill="0" autoLine="0" autoPict="0">
                <anchor moveWithCells="1">
                  <from>
                    <xdr:col>0</xdr:col>
                    <xdr:colOff>0</xdr:colOff>
                    <xdr:row>47</xdr:row>
                    <xdr:rowOff>9525</xdr:rowOff>
                  </from>
                  <to>
                    <xdr:col>6</xdr:col>
                    <xdr:colOff>257175</xdr:colOff>
                    <xdr:row>47</xdr:row>
                    <xdr:rowOff>152400</xdr:rowOff>
                  </to>
                </anchor>
              </controlPr>
            </control>
          </mc:Choice>
        </mc:AlternateContent>
        <mc:AlternateContent xmlns:mc="http://schemas.openxmlformats.org/markup-compatibility/2006">
          <mc:Choice Requires="x14">
            <control shapeId="109611" r:id="rId46" name="Check Box 43">
              <controlPr defaultSize="0" autoFill="0" autoLine="0" autoPict="0">
                <anchor moveWithCells="1">
                  <from>
                    <xdr:col>0</xdr:col>
                    <xdr:colOff>0</xdr:colOff>
                    <xdr:row>48</xdr:row>
                    <xdr:rowOff>0</xdr:rowOff>
                  </from>
                  <to>
                    <xdr:col>6</xdr:col>
                    <xdr:colOff>257175</xdr:colOff>
                    <xdr:row>48</xdr:row>
                    <xdr:rowOff>152400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4A130DA2-FE89-4726-9161-2957C39E2E0C}">
          <x14:formula1>
            <xm:f>Validation!$Q$33:$Q$36</xm:f>
          </x14:formula1>
          <xm:sqref>S2</xm:sqref>
        </x14:dataValidation>
        <x14:dataValidation type="list" allowBlank="1" showInputMessage="1" showErrorMessage="1" xr:uid="{AE296B06-3160-4F01-8240-85E1517058D2}">
          <x14:formula1>
            <xm:f>Validation!$Q$5:$Q$12</xm:f>
          </x14:formula1>
          <xm:sqref>I2</xm:sqref>
        </x14:dataValidation>
        <x14:dataValidation type="list" allowBlank="1" showInputMessage="1" showErrorMessage="1" xr:uid="{12019747-5A1A-4818-B6A6-BCA72DF0D13D}">
          <x14:formula1>
            <xm:f>Validation!$Q$28:$Q$29</xm:f>
          </x14:formula1>
          <xm:sqref>P2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AB57"/>
  <sheetViews>
    <sheetView showGridLines="0" zoomScale="85" zoomScaleNormal="85" workbookViewId="0">
      <selection activeCell="E9" sqref="E9"/>
    </sheetView>
  </sheetViews>
  <sheetFormatPr defaultRowHeight="14.25" x14ac:dyDescent="0.2"/>
  <cols>
    <col min="1" max="1" width="2.09765625" customWidth="1"/>
    <col min="2" max="2" width="12.09765625" customWidth="1"/>
    <col min="3" max="3" width="8.796875" style="90"/>
    <col min="4" max="4" width="22.69921875" style="90" bestFit="1" customWidth="1"/>
    <col min="5" max="5" width="29.19921875" style="90" bestFit="1" customWidth="1"/>
    <col min="6" max="6" width="5.5" style="90" bestFit="1" customWidth="1"/>
    <col min="7" max="7" width="7.796875" style="90" bestFit="1" customWidth="1"/>
    <col min="8" max="8" width="7.8984375" style="90" customWidth="1"/>
    <col min="9" max="9" width="8.5" style="90" customWidth="1"/>
    <col min="10" max="12" width="8.296875" style="90" bestFit="1" customWidth="1"/>
    <col min="13" max="13" width="8.296875" bestFit="1" customWidth="1"/>
    <col min="14" max="15" width="9.8984375" bestFit="1" customWidth="1"/>
    <col min="16" max="16" width="1.8984375" customWidth="1"/>
    <col min="17" max="17" width="16.59765625" style="90" bestFit="1" customWidth="1"/>
  </cols>
  <sheetData>
    <row r="1" spans="1:28" ht="6.75" customHeight="1" x14ac:dyDescent="0.2">
      <c r="A1" s="144"/>
      <c r="B1" s="144"/>
      <c r="C1" s="145"/>
      <c r="D1" s="145"/>
      <c r="E1" s="145"/>
      <c r="F1" s="145"/>
      <c r="G1" s="145"/>
      <c r="H1" s="145"/>
      <c r="I1" s="145"/>
      <c r="J1" s="145"/>
      <c r="K1" s="145"/>
      <c r="L1" s="145"/>
      <c r="M1" s="144"/>
      <c r="N1" s="144"/>
      <c r="O1" s="144"/>
      <c r="P1" s="144"/>
      <c r="Q1" s="145"/>
      <c r="R1" s="144"/>
      <c r="S1" s="144"/>
      <c r="T1" s="144"/>
      <c r="U1" s="144"/>
      <c r="V1" s="144"/>
      <c r="W1" s="144"/>
      <c r="X1" s="144"/>
      <c r="Y1" s="144"/>
      <c r="Z1" s="144"/>
      <c r="AA1" s="144"/>
      <c r="AB1" s="144"/>
    </row>
    <row r="2" spans="1:28" ht="19.5" x14ac:dyDescent="0.2">
      <c r="A2" s="144"/>
      <c r="B2" s="476" t="s">
        <v>236</v>
      </c>
      <c r="C2" s="477"/>
      <c r="D2" s="477"/>
      <c r="E2" s="477"/>
      <c r="F2" s="477"/>
      <c r="G2" s="477"/>
      <c r="H2" s="477"/>
      <c r="I2" s="477"/>
      <c r="J2" s="477"/>
      <c r="K2" s="477"/>
      <c r="L2" s="477"/>
      <c r="M2" s="477"/>
      <c r="N2" s="477"/>
      <c r="O2" s="381"/>
      <c r="P2" s="144"/>
      <c r="Q2" s="145"/>
      <c r="R2" s="144"/>
      <c r="S2" s="144"/>
      <c r="T2" s="144"/>
      <c r="U2" s="144"/>
      <c r="V2" s="144"/>
      <c r="W2" s="144"/>
      <c r="X2" s="144"/>
      <c r="Y2" s="144"/>
      <c r="Z2" s="144"/>
      <c r="AA2" s="144"/>
      <c r="AB2" s="144"/>
    </row>
    <row r="3" spans="1:28" ht="6.75" customHeight="1" x14ac:dyDescent="0.2">
      <c r="A3" s="144"/>
      <c r="B3" s="144"/>
      <c r="C3" s="145"/>
      <c r="D3" s="145"/>
      <c r="E3" s="145"/>
      <c r="F3" s="145"/>
      <c r="G3" s="145"/>
      <c r="H3" s="145"/>
      <c r="I3" s="145"/>
      <c r="J3" s="145"/>
      <c r="K3" s="145"/>
      <c r="L3" s="145"/>
      <c r="M3" s="144"/>
      <c r="N3" s="144"/>
      <c r="O3" s="144"/>
      <c r="P3" s="144"/>
      <c r="Q3" s="145"/>
      <c r="R3" s="144"/>
      <c r="S3" s="144"/>
      <c r="T3" s="144"/>
      <c r="U3" s="144"/>
      <c r="V3" s="144"/>
      <c r="W3" s="144"/>
      <c r="X3" s="144"/>
      <c r="Y3" s="144"/>
      <c r="Z3" s="144"/>
      <c r="AA3" s="144"/>
      <c r="AB3" s="144"/>
    </row>
    <row r="4" spans="1:28" x14ac:dyDescent="0.2">
      <c r="A4" s="144"/>
      <c r="B4" s="157" t="s">
        <v>237</v>
      </c>
      <c r="C4" s="157" t="s">
        <v>9</v>
      </c>
      <c r="D4" s="157" t="s">
        <v>238</v>
      </c>
      <c r="E4" s="157" t="s">
        <v>239</v>
      </c>
      <c r="F4" s="157" t="s">
        <v>240</v>
      </c>
      <c r="G4" s="157" t="s">
        <v>241</v>
      </c>
      <c r="H4" s="157" t="s">
        <v>242</v>
      </c>
      <c r="I4" s="157" t="s">
        <v>243</v>
      </c>
      <c r="J4" s="157" t="s">
        <v>244</v>
      </c>
      <c r="K4" s="157" t="s">
        <v>245</v>
      </c>
      <c r="L4" s="157" t="s">
        <v>246</v>
      </c>
      <c r="M4" s="157" t="s">
        <v>247</v>
      </c>
      <c r="N4" s="157" t="s">
        <v>248</v>
      </c>
      <c r="O4" s="157" t="s">
        <v>249</v>
      </c>
      <c r="P4" s="144"/>
      <c r="Q4" s="158" t="s">
        <v>250</v>
      </c>
      <c r="R4" s="144"/>
      <c r="S4" s="144"/>
      <c r="T4" s="144"/>
      <c r="U4" s="144"/>
      <c r="V4" s="144"/>
      <c r="W4" s="144"/>
      <c r="X4" s="144"/>
      <c r="Y4" s="144"/>
      <c r="Z4" s="144"/>
      <c r="AA4" s="144"/>
      <c r="AB4" s="144"/>
    </row>
    <row r="5" spans="1:28" x14ac:dyDescent="0.2">
      <c r="A5" s="144"/>
      <c r="B5" s="474" t="s">
        <v>251</v>
      </c>
      <c r="C5" s="160" t="s">
        <v>252</v>
      </c>
      <c r="D5" s="138" t="s">
        <v>45</v>
      </c>
      <c r="E5" s="138" t="str">
        <f>C5&amp;D5</f>
        <v>BASRBD SOYA BEAN OIL</v>
      </c>
      <c r="F5" s="146">
        <v>0.4</v>
      </c>
      <c r="G5" s="139">
        <f>SUMIFS('Pricing Trends'!U:U,'Pricing Trends'!R:R,Validation!D5,'Pricing Trends'!P:P,"TRUE")/COUNTIFS('Pricing Trends'!R:R,Validation!D5,'Pricing Trends'!P:P,"TRUE")</f>
        <v>69.078871899999996</v>
      </c>
      <c r="H5" s="139">
        <f>G5*F5*0.35</f>
        <v>9.671042066</v>
      </c>
      <c r="I5" s="139">
        <f>G5*F5*0.5</f>
        <v>13.815774380000001</v>
      </c>
      <c r="J5" s="140">
        <f>G5*F5</f>
        <v>27.631548760000001</v>
      </c>
      <c r="K5" s="140">
        <f>J5*2</f>
        <v>55.263097520000002</v>
      </c>
      <c r="L5" s="140">
        <f>K5*2</f>
        <v>110.52619504</v>
      </c>
      <c r="M5" s="140">
        <f>J5*0.18</f>
        <v>4.9736787767999999</v>
      </c>
      <c r="N5" s="140">
        <f>J5*0.3</f>
        <v>8.2894646279999993</v>
      </c>
      <c r="O5" s="140">
        <f>J5*15.66*1.1364</f>
        <v>491.73170489013035</v>
      </c>
      <c r="P5" s="144"/>
      <c r="Q5" s="159" t="str">
        <f>C5</f>
        <v>BAS</v>
      </c>
      <c r="R5" s="144"/>
      <c r="S5" s="144"/>
      <c r="T5" s="144"/>
      <c r="U5" s="144"/>
      <c r="V5" s="144"/>
      <c r="W5" s="144"/>
      <c r="X5" s="144"/>
      <c r="Y5" s="144"/>
      <c r="Z5" s="144"/>
      <c r="AA5" s="144"/>
      <c r="AB5" s="144"/>
    </row>
    <row r="6" spans="1:28" x14ac:dyDescent="0.2">
      <c r="A6" s="144"/>
      <c r="B6" s="475"/>
      <c r="C6" s="160" t="s">
        <v>252</v>
      </c>
      <c r="D6" s="138" t="s">
        <v>54</v>
      </c>
      <c r="E6" s="138" t="str">
        <f t="shared" ref="E6:E12" si="0">C6&amp;D6</f>
        <v>BASRBD PALM OLEIN (LOCAL)</v>
      </c>
      <c r="F6" s="146">
        <v>0.6</v>
      </c>
      <c r="G6" s="139" t="e">
        <f>SUMIFS('Pricing Trends'!U:U,'Pricing Trends'!R:R,Validation!D6,'Pricing Trends'!P:P,"TRUE")/COUNTIFS('Pricing Trends'!R:R,Validation!D6,'Pricing Trends'!P:P,"TRUE")</f>
        <v>#DIV/0!</v>
      </c>
      <c r="H6" s="139" t="e">
        <f>G6*F6*0.35</f>
        <v>#DIV/0!</v>
      </c>
      <c r="I6" s="139" t="e">
        <f>G6*F6*0.5</f>
        <v>#DIV/0!</v>
      </c>
      <c r="J6" s="140" t="e">
        <f>G6*F6</f>
        <v>#DIV/0!</v>
      </c>
      <c r="K6" s="140" t="e">
        <f>J6*2</f>
        <v>#DIV/0!</v>
      </c>
      <c r="L6" s="140" t="e">
        <f>K6*2</f>
        <v>#DIV/0!</v>
      </c>
      <c r="M6" s="140" t="e">
        <f>J6*0.18</f>
        <v>#DIV/0!</v>
      </c>
      <c r="N6" s="140" t="e">
        <f>J6*0.3</f>
        <v>#DIV/0!</v>
      </c>
      <c r="O6" s="140" t="e">
        <f>J6*15.66*1.1364</f>
        <v>#DIV/0!</v>
      </c>
      <c r="P6" s="144"/>
      <c r="Q6" s="159" t="str">
        <f>C8</f>
        <v>BTC</v>
      </c>
      <c r="R6" s="144"/>
      <c r="S6" s="144"/>
      <c r="T6" s="144"/>
      <c r="U6" s="144"/>
      <c r="V6" s="144"/>
      <c r="W6" s="144"/>
      <c r="X6" s="144"/>
      <c r="Y6" s="144"/>
      <c r="Z6" s="144"/>
      <c r="AA6" s="144"/>
      <c r="AB6" s="144"/>
    </row>
    <row r="7" spans="1:28" x14ac:dyDescent="0.2">
      <c r="A7" s="144"/>
      <c r="B7" s="475"/>
      <c r="C7" s="471"/>
      <c r="D7" s="471"/>
      <c r="E7" s="471"/>
      <c r="F7" s="471"/>
      <c r="G7" s="471"/>
      <c r="H7" s="137" t="e">
        <f t="shared" ref="H7:N7" si="1">SUM(H5:H6)</f>
        <v>#DIV/0!</v>
      </c>
      <c r="I7" s="137" t="e">
        <f t="shared" si="1"/>
        <v>#DIV/0!</v>
      </c>
      <c r="J7" s="137" t="e">
        <f t="shared" si="1"/>
        <v>#DIV/0!</v>
      </c>
      <c r="K7" s="137" t="e">
        <f t="shared" si="1"/>
        <v>#DIV/0!</v>
      </c>
      <c r="L7" s="137" t="e">
        <f t="shared" si="1"/>
        <v>#DIV/0!</v>
      </c>
      <c r="M7" s="137" t="e">
        <f t="shared" si="1"/>
        <v>#DIV/0!</v>
      </c>
      <c r="N7" s="137" t="e">
        <f t="shared" si="1"/>
        <v>#DIV/0!</v>
      </c>
      <c r="O7" s="137" t="e">
        <f>SUM(O5:O6)</f>
        <v>#DIV/0!</v>
      </c>
      <c r="P7" s="144"/>
      <c r="Q7" s="159" t="str">
        <f>C11</f>
        <v>FD3</v>
      </c>
      <c r="R7" s="144"/>
      <c r="S7" s="144"/>
      <c r="T7" s="144"/>
      <c r="U7" s="144"/>
      <c r="V7" s="144"/>
      <c r="W7" s="144"/>
      <c r="X7" s="144"/>
      <c r="Y7" s="144"/>
      <c r="Z7" s="144"/>
      <c r="AA7" s="144"/>
      <c r="AB7" s="144"/>
    </row>
    <row r="8" spans="1:28" x14ac:dyDescent="0.2">
      <c r="A8" s="144"/>
      <c r="B8" s="475"/>
      <c r="C8" s="160" t="s">
        <v>253</v>
      </c>
      <c r="D8" s="138" t="s">
        <v>45</v>
      </c>
      <c r="E8" s="138" t="str">
        <f t="shared" si="0"/>
        <v>BTCRBD SOYA BEAN OIL</v>
      </c>
      <c r="F8" s="146">
        <v>0.3</v>
      </c>
      <c r="G8" s="139">
        <f>SUMIFS('Pricing Trends'!U:U,'Pricing Trends'!R:R,Validation!D8,'Pricing Trends'!P:P,"TRUE")/COUNTIFS('Pricing Trends'!R:R,Validation!D8,'Pricing Trends'!P:P,"TRUE")</f>
        <v>69.078871899999996</v>
      </c>
      <c r="H8" s="139">
        <f>G8*F8*0.35</f>
        <v>7.2532815494999987</v>
      </c>
      <c r="I8" s="139">
        <f>G8*F8*0.5</f>
        <v>10.361830784999999</v>
      </c>
      <c r="J8" s="140">
        <f>G8*F8</f>
        <v>20.723661569999997</v>
      </c>
      <c r="K8" s="140">
        <f>J8*2</f>
        <v>41.447323139999995</v>
      </c>
      <c r="L8" s="140">
        <f>K8*2</f>
        <v>82.894646279999989</v>
      </c>
      <c r="M8" s="140">
        <f>J8*0.18</f>
        <v>3.7302590825999995</v>
      </c>
      <c r="N8" s="140">
        <f>J8*0.3</f>
        <v>6.217098470999999</v>
      </c>
      <c r="O8" s="140">
        <f>J8*15.66*1.1364</f>
        <v>368.79877866759767</v>
      </c>
      <c r="P8" s="144"/>
      <c r="Q8" s="159" t="str">
        <f>C14</f>
        <v>BAS.F64</v>
      </c>
      <c r="R8" s="144"/>
      <c r="S8" s="144"/>
      <c r="T8" s="144"/>
      <c r="U8" s="144"/>
      <c r="V8" s="144"/>
      <c r="W8" s="144"/>
      <c r="X8" s="144"/>
      <c r="Y8" s="144"/>
      <c r="Z8" s="144"/>
      <c r="AA8" s="144"/>
      <c r="AB8" s="144"/>
    </row>
    <row r="9" spans="1:28" x14ac:dyDescent="0.2">
      <c r="A9" s="144"/>
      <c r="B9" s="475"/>
      <c r="C9" s="160" t="s">
        <v>253</v>
      </c>
      <c r="D9" s="138" t="s">
        <v>54</v>
      </c>
      <c r="E9" s="138" t="str">
        <f t="shared" si="0"/>
        <v>BTCRBD PALM OLEIN (LOCAL)</v>
      </c>
      <c r="F9" s="146">
        <v>0.7</v>
      </c>
      <c r="G9" s="139" t="e">
        <f>SUMIFS('Pricing Trends'!U:U,'Pricing Trends'!R:R,Validation!D9,'Pricing Trends'!P:P,"TRUE")/COUNTIFS('Pricing Trends'!R:R,Validation!D9,'Pricing Trends'!P:P,"TRUE")</f>
        <v>#DIV/0!</v>
      </c>
      <c r="H9" s="139" t="e">
        <f>G9*F9*0.35</f>
        <v>#DIV/0!</v>
      </c>
      <c r="I9" s="139" t="e">
        <f>G9*F9*0.5</f>
        <v>#DIV/0!</v>
      </c>
      <c r="J9" s="140" t="e">
        <f>G9*F9</f>
        <v>#DIV/0!</v>
      </c>
      <c r="K9" s="140" t="e">
        <f>J9*2</f>
        <v>#DIV/0!</v>
      </c>
      <c r="L9" s="140" t="e">
        <f>K9*2</f>
        <v>#DIV/0!</v>
      </c>
      <c r="M9" s="140" t="e">
        <f>J9*0.18</f>
        <v>#DIV/0!</v>
      </c>
      <c r="N9" s="140" t="e">
        <f>J9*0.3</f>
        <v>#DIV/0!</v>
      </c>
      <c r="O9" s="140" t="e">
        <f>J9*15.66*1.1364</f>
        <v>#DIV/0!</v>
      </c>
      <c r="P9" s="144"/>
      <c r="Q9" s="159" t="str">
        <f>C17</f>
        <v>BAS.F73</v>
      </c>
      <c r="R9" s="144"/>
      <c r="S9" s="144"/>
      <c r="T9" s="144"/>
      <c r="U9" s="144"/>
      <c r="V9" s="144"/>
      <c r="W9" s="144"/>
      <c r="X9" s="144"/>
      <c r="Y9" s="144"/>
      <c r="Z9" s="144"/>
      <c r="AA9" s="144"/>
      <c r="AB9" s="144"/>
    </row>
    <row r="10" spans="1:28" x14ac:dyDescent="0.2">
      <c r="A10" s="144"/>
      <c r="B10" s="475"/>
      <c r="C10" s="471"/>
      <c r="D10" s="471"/>
      <c r="E10" s="471"/>
      <c r="F10" s="471"/>
      <c r="G10" s="471"/>
      <c r="H10" s="137" t="e">
        <f t="shared" ref="H10:N10" si="2">SUM(H8:H9)</f>
        <v>#DIV/0!</v>
      </c>
      <c r="I10" s="137" t="e">
        <f t="shared" si="2"/>
        <v>#DIV/0!</v>
      </c>
      <c r="J10" s="137" t="e">
        <f t="shared" si="2"/>
        <v>#DIV/0!</v>
      </c>
      <c r="K10" s="137" t="e">
        <f t="shared" si="2"/>
        <v>#DIV/0!</v>
      </c>
      <c r="L10" s="137" t="e">
        <f t="shared" si="2"/>
        <v>#DIV/0!</v>
      </c>
      <c r="M10" s="137" t="e">
        <f t="shared" si="2"/>
        <v>#DIV/0!</v>
      </c>
      <c r="N10" s="137" t="e">
        <f t="shared" si="2"/>
        <v>#DIV/0!</v>
      </c>
      <c r="O10" s="137" t="e">
        <f>SUM(O8:O9)</f>
        <v>#DIV/0!</v>
      </c>
      <c r="P10" s="144"/>
      <c r="Q10" s="159" t="str">
        <f>C21</f>
        <v>BAS.F82</v>
      </c>
      <c r="R10" s="144"/>
      <c r="S10" s="144"/>
      <c r="T10" s="144"/>
      <c r="U10" s="144"/>
      <c r="V10" s="144"/>
      <c r="W10" s="144"/>
      <c r="X10" s="144"/>
      <c r="Y10" s="144"/>
      <c r="Z10" s="144"/>
      <c r="AA10" s="144"/>
      <c r="AB10" s="144"/>
    </row>
    <row r="11" spans="1:28" x14ac:dyDescent="0.2">
      <c r="A11" s="144"/>
      <c r="B11" s="475"/>
      <c r="C11" s="160" t="s">
        <v>254</v>
      </c>
      <c r="D11" s="138" t="s">
        <v>45</v>
      </c>
      <c r="E11" s="138" t="str">
        <f t="shared" si="0"/>
        <v>FD3RBD SOYA BEAN OIL</v>
      </c>
      <c r="F11" s="146">
        <v>0.2</v>
      </c>
      <c r="G11" s="139">
        <f>SUMIFS('Pricing Trends'!U:U,'Pricing Trends'!R:R,Validation!D11,'Pricing Trends'!P:P,"TRUE")/COUNTIFS('Pricing Trends'!R:R,Validation!D11,'Pricing Trends'!P:P,"TRUE")</f>
        <v>69.078871899999996</v>
      </c>
      <c r="H11" s="139">
        <f>G11*F11*0.35</f>
        <v>4.835521033</v>
      </c>
      <c r="I11" s="139">
        <f>G11*F11*0.5</f>
        <v>6.9078871900000003</v>
      </c>
      <c r="J11" s="140">
        <f>G11*F11</f>
        <v>13.815774380000001</v>
      </c>
      <c r="K11" s="140">
        <f>J11*2</f>
        <v>27.631548760000001</v>
      </c>
      <c r="L11" s="140">
        <f>K11*2</f>
        <v>55.263097520000002</v>
      </c>
      <c r="M11" s="140">
        <f>J11*0.18</f>
        <v>2.4868393884</v>
      </c>
      <c r="N11" s="140">
        <f>J11*0.3</f>
        <v>4.1447323139999996</v>
      </c>
      <c r="O11" s="140">
        <f>J11*15.66*1.1364</f>
        <v>245.86585244506517</v>
      </c>
      <c r="P11" s="144"/>
      <c r="Q11" s="159" t="str">
        <f>C23</f>
        <v>PALM.100</v>
      </c>
      <c r="R11" s="144"/>
      <c r="S11" s="144"/>
      <c r="T11" s="144"/>
      <c r="U11" s="144"/>
      <c r="V11" s="144"/>
      <c r="W11" s="144"/>
      <c r="X11" s="144"/>
      <c r="Y11" s="144"/>
      <c r="Z11" s="144"/>
      <c r="AA11" s="144"/>
      <c r="AB11" s="144"/>
    </row>
    <row r="12" spans="1:28" x14ac:dyDescent="0.2">
      <c r="A12" s="144"/>
      <c r="B12" s="475"/>
      <c r="C12" s="160" t="s">
        <v>254</v>
      </c>
      <c r="D12" s="138" t="s">
        <v>54</v>
      </c>
      <c r="E12" s="138" t="str">
        <f t="shared" si="0"/>
        <v>FD3RBD PALM OLEIN (LOCAL)</v>
      </c>
      <c r="F12" s="146">
        <v>0.8</v>
      </c>
      <c r="G12" s="139" t="e">
        <f>SUMIFS('Pricing Trends'!U:U,'Pricing Trends'!R:R,Validation!D12,'Pricing Trends'!P:P,"TRUE")/COUNTIFS('Pricing Trends'!R:R,Validation!D12,'Pricing Trends'!P:P,"TRUE")</f>
        <v>#DIV/0!</v>
      </c>
      <c r="H12" s="139" t="e">
        <f>G12*F12*0.35</f>
        <v>#DIV/0!</v>
      </c>
      <c r="I12" s="139" t="e">
        <f>G12*F12*0.5</f>
        <v>#DIV/0!</v>
      </c>
      <c r="J12" s="140" t="e">
        <f>G12*F12</f>
        <v>#DIV/0!</v>
      </c>
      <c r="K12" s="140" t="e">
        <f>J12*2</f>
        <v>#DIV/0!</v>
      </c>
      <c r="L12" s="140" t="e">
        <f>K12*2</f>
        <v>#DIV/0!</v>
      </c>
      <c r="M12" s="140" t="e">
        <f>J12*0.18</f>
        <v>#DIV/0!</v>
      </c>
      <c r="N12" s="140" t="e">
        <f>J12*0.3</f>
        <v>#DIV/0!</v>
      </c>
      <c r="O12" s="140" t="e">
        <f>J12*15.66*1.1364</f>
        <v>#DIV/0!</v>
      </c>
      <c r="P12" s="144"/>
      <c r="Q12" s="159" t="str">
        <f>C25</f>
        <v>PALMF.100</v>
      </c>
      <c r="R12" s="144"/>
      <c r="S12" s="144"/>
      <c r="T12" s="144"/>
      <c r="U12" s="144"/>
      <c r="V12" s="144"/>
      <c r="W12" s="144"/>
      <c r="X12" s="144"/>
      <c r="Y12" s="144"/>
      <c r="Z12" s="144"/>
      <c r="AA12" s="144"/>
      <c r="AB12" s="144"/>
    </row>
    <row r="13" spans="1:28" x14ac:dyDescent="0.2">
      <c r="A13" s="144"/>
      <c r="B13" s="475"/>
      <c r="C13" s="471"/>
      <c r="D13" s="471"/>
      <c r="E13" s="471"/>
      <c r="F13" s="471"/>
      <c r="G13" s="471"/>
      <c r="H13" s="137" t="e">
        <f t="shared" ref="H13:N13" si="3">SUM(H11:H12)</f>
        <v>#DIV/0!</v>
      </c>
      <c r="I13" s="137" t="e">
        <f t="shared" si="3"/>
        <v>#DIV/0!</v>
      </c>
      <c r="J13" s="137" t="e">
        <f t="shared" si="3"/>
        <v>#DIV/0!</v>
      </c>
      <c r="K13" s="137" t="e">
        <f t="shared" si="3"/>
        <v>#DIV/0!</v>
      </c>
      <c r="L13" s="137" t="e">
        <f t="shared" si="3"/>
        <v>#DIV/0!</v>
      </c>
      <c r="M13" s="137" t="e">
        <f t="shared" si="3"/>
        <v>#DIV/0!</v>
      </c>
      <c r="N13" s="137" t="e">
        <f t="shared" si="3"/>
        <v>#DIV/0!</v>
      </c>
      <c r="O13" s="137" t="e">
        <f>SUM(O11:O12)</f>
        <v>#DIV/0!</v>
      </c>
      <c r="P13" s="144"/>
      <c r="Q13" s="145"/>
      <c r="R13" s="144"/>
      <c r="S13" s="144"/>
      <c r="T13" s="144"/>
      <c r="U13" s="144"/>
      <c r="V13" s="144"/>
      <c r="W13" s="144"/>
      <c r="X13" s="144"/>
      <c r="Y13" s="144"/>
      <c r="Z13" s="144"/>
      <c r="AA13" s="144"/>
      <c r="AB13" s="144"/>
    </row>
    <row r="14" spans="1:28" x14ac:dyDescent="0.2">
      <c r="A14" s="144"/>
      <c r="B14" s="475"/>
      <c r="C14" s="160" t="s">
        <v>255</v>
      </c>
      <c r="D14" s="138" t="s">
        <v>45</v>
      </c>
      <c r="E14" s="138" t="str">
        <f>C14&amp;D14</f>
        <v>BAS.F64RBD SOYA BEAN OIL</v>
      </c>
      <c r="F14" s="146">
        <v>0.4</v>
      </c>
      <c r="G14" s="139">
        <f>SUMIFS('Pricing Trends'!U:U,'Pricing Trends'!R:R,Validation!D14,'Pricing Trends'!P:P,"TRUE")/COUNTIFS('Pricing Trends'!R:R,Validation!D14,'Pricing Trends'!P:P,"TRUE")</f>
        <v>69.078871899999996</v>
      </c>
      <c r="H14" s="139">
        <f>G14*F14*0.35</f>
        <v>9.671042066</v>
      </c>
      <c r="I14" s="139">
        <f>G14*F14*0.5</f>
        <v>13.815774380000001</v>
      </c>
      <c r="J14" s="140">
        <f>G14*F14</f>
        <v>27.631548760000001</v>
      </c>
      <c r="K14" s="140">
        <f>J14*2</f>
        <v>55.263097520000002</v>
      </c>
      <c r="L14" s="140">
        <f>K14*2</f>
        <v>110.52619504</v>
      </c>
      <c r="M14" s="140">
        <f>J14*0.18</f>
        <v>4.9736787767999999</v>
      </c>
      <c r="N14" s="140">
        <f>J14*0.3</f>
        <v>8.2894646279999993</v>
      </c>
      <c r="O14" s="140">
        <f>J14*15.66*1.1364</f>
        <v>491.73170489013035</v>
      </c>
      <c r="P14" s="144"/>
      <c r="Q14" s="145"/>
      <c r="R14" s="144"/>
      <c r="S14" s="144"/>
      <c r="T14" s="144"/>
      <c r="U14" s="144"/>
      <c r="V14" s="144"/>
      <c r="W14" s="144"/>
      <c r="X14" s="144"/>
      <c r="Y14" s="144"/>
      <c r="Z14" s="144"/>
      <c r="AA14" s="144"/>
      <c r="AB14" s="144"/>
    </row>
    <row r="15" spans="1:28" x14ac:dyDescent="0.2">
      <c r="A15" s="144"/>
      <c r="B15" s="475"/>
      <c r="C15" s="160" t="s">
        <v>255</v>
      </c>
      <c r="D15" s="138" t="s">
        <v>58</v>
      </c>
      <c r="E15" s="138" t="str">
        <f>C15&amp;D15</f>
        <v>BAS.F64RBD PALM OLEIN (FOREIGN)</v>
      </c>
      <c r="F15" s="146">
        <v>0.6</v>
      </c>
      <c r="G15" s="139">
        <f>SUMIFS('Pricing Trends'!U:U,'Pricing Trends'!R:R,Validation!D15,'Pricing Trends'!P:P,"TRUE")/COUNTIFS('Pricing Trends'!R:R,Validation!D15,'Pricing Trends'!P:P,"TRUE")</f>
        <v>60.65316</v>
      </c>
      <c r="H15" s="139">
        <f>G15*F15*0.35</f>
        <v>12.737163599999997</v>
      </c>
      <c r="I15" s="139">
        <f>G15*F15*0.5</f>
        <v>18.195947999999998</v>
      </c>
      <c r="J15" s="140">
        <f>G15*F15</f>
        <v>36.391895999999996</v>
      </c>
      <c r="K15" s="140">
        <f>J15*2</f>
        <v>72.783791999999991</v>
      </c>
      <c r="L15" s="140">
        <f>K15*2</f>
        <v>145.56758399999998</v>
      </c>
      <c r="M15" s="140">
        <f>J15*0.18</f>
        <v>6.5505412799999991</v>
      </c>
      <c r="N15" s="140">
        <f>J15*0.3</f>
        <v>10.917568799999998</v>
      </c>
      <c r="O15" s="140">
        <f>J15*15.66*1.1364</f>
        <v>647.63105462150406</v>
      </c>
      <c r="P15" s="144"/>
      <c r="Q15" s="145"/>
      <c r="R15" s="144"/>
      <c r="S15" s="144"/>
      <c r="T15" s="144"/>
      <c r="U15" s="144"/>
      <c r="V15" s="144"/>
      <c r="W15" s="144"/>
      <c r="X15" s="144"/>
      <c r="Y15" s="144"/>
      <c r="Z15" s="144"/>
      <c r="AA15" s="144"/>
      <c r="AB15" s="144"/>
    </row>
    <row r="16" spans="1:28" x14ac:dyDescent="0.2">
      <c r="A16" s="144"/>
      <c r="B16" s="475"/>
      <c r="C16" s="479"/>
      <c r="D16" s="480"/>
      <c r="E16" s="480"/>
      <c r="F16" s="480"/>
      <c r="G16" s="481"/>
      <c r="H16" s="137">
        <f t="shared" ref="H16:N16" si="4">SUM(H14:H15)</f>
        <v>22.408205665999997</v>
      </c>
      <c r="I16" s="137">
        <f t="shared" si="4"/>
        <v>32.011722379999995</v>
      </c>
      <c r="J16" s="137">
        <f t="shared" si="4"/>
        <v>64.02344475999999</v>
      </c>
      <c r="K16" s="137">
        <f t="shared" si="4"/>
        <v>128.04688951999998</v>
      </c>
      <c r="L16" s="137">
        <f t="shared" si="4"/>
        <v>256.09377903999996</v>
      </c>
      <c r="M16" s="137">
        <f t="shared" si="4"/>
        <v>11.524220056799999</v>
      </c>
      <c r="N16" s="137">
        <f t="shared" si="4"/>
        <v>19.207033427999995</v>
      </c>
      <c r="O16" s="137">
        <f>SUM(O14:O15)</f>
        <v>1139.3627595116345</v>
      </c>
      <c r="P16" s="144"/>
      <c r="Q16" s="145"/>
      <c r="R16" s="144"/>
      <c r="S16" s="144"/>
      <c r="T16" s="144"/>
      <c r="U16" s="144"/>
      <c r="V16" s="144"/>
      <c r="W16" s="144"/>
      <c r="X16" s="144"/>
      <c r="Y16" s="144"/>
      <c r="Z16" s="144"/>
      <c r="AA16" s="144"/>
      <c r="AB16" s="144"/>
    </row>
    <row r="17" spans="1:28" x14ac:dyDescent="0.2">
      <c r="A17" s="144"/>
      <c r="B17" s="475"/>
      <c r="C17" s="160" t="s">
        <v>256</v>
      </c>
      <c r="D17" s="138" t="s">
        <v>45</v>
      </c>
      <c r="E17" s="138" t="str">
        <f>C17&amp;D17</f>
        <v>BAS.F73RBD SOYA BEAN OIL</v>
      </c>
      <c r="F17" s="146">
        <v>0.3</v>
      </c>
      <c r="G17" s="139">
        <f>SUMIFS('Pricing Trends'!U:U,'Pricing Trends'!R:R,Validation!D17,'Pricing Trends'!P:P,"TRUE")/COUNTIFS('Pricing Trends'!R:R,Validation!D17,'Pricing Trends'!P:P,"TRUE")</f>
        <v>69.078871899999996</v>
      </c>
      <c r="H17" s="139">
        <f>G17*F17*0.35</f>
        <v>7.2532815494999987</v>
      </c>
      <c r="I17" s="139">
        <f>G17*F17*0.5</f>
        <v>10.361830784999999</v>
      </c>
      <c r="J17" s="140">
        <f>G17*F17</f>
        <v>20.723661569999997</v>
      </c>
      <c r="K17" s="140">
        <f>J17*2</f>
        <v>41.447323139999995</v>
      </c>
      <c r="L17" s="140">
        <f>K17*2</f>
        <v>82.894646279999989</v>
      </c>
      <c r="M17" s="140">
        <f>J17*0.18</f>
        <v>3.7302590825999995</v>
      </c>
      <c r="N17" s="140">
        <f>J17*0.3</f>
        <v>6.217098470999999</v>
      </c>
      <c r="O17" s="140">
        <f>J17*15.66*1.1364</f>
        <v>368.79877866759767</v>
      </c>
      <c r="P17" s="144"/>
      <c r="Q17" s="145"/>
      <c r="R17" s="144"/>
      <c r="S17" s="144"/>
      <c r="T17" s="144"/>
      <c r="U17" s="144"/>
      <c r="V17" s="144"/>
      <c r="W17" s="144"/>
      <c r="X17" s="144"/>
      <c r="Y17" s="144"/>
      <c r="Z17" s="144"/>
      <c r="AA17" s="144"/>
      <c r="AB17" s="144"/>
    </row>
    <row r="18" spans="1:28" x14ac:dyDescent="0.2">
      <c r="A18" s="144"/>
      <c r="B18" s="475"/>
      <c r="C18" s="160" t="s">
        <v>256</v>
      </c>
      <c r="D18" s="138" t="s">
        <v>58</v>
      </c>
      <c r="E18" s="138" t="str">
        <f>C18&amp;D18</f>
        <v>BAS.F73RBD PALM OLEIN (FOREIGN)</v>
      </c>
      <c r="F18" s="146">
        <v>0.7</v>
      </c>
      <c r="G18" s="139">
        <f>SUMIFS('Pricing Trends'!U:U,'Pricing Trends'!R:R,Validation!D18,'Pricing Trends'!P:P,"TRUE")/COUNTIFS('Pricing Trends'!R:R,Validation!D18,'Pricing Trends'!P:P,"TRUE")</f>
        <v>60.65316</v>
      </c>
      <c r="H18" s="139">
        <f>G18*F18*0.35</f>
        <v>14.860024199999998</v>
      </c>
      <c r="I18" s="139">
        <f>G18*F18*0.5</f>
        <v>21.228605999999999</v>
      </c>
      <c r="J18" s="140">
        <f>G18*F18</f>
        <v>42.457211999999998</v>
      </c>
      <c r="K18" s="140">
        <f>J18*2</f>
        <v>84.914423999999997</v>
      </c>
      <c r="L18" s="140">
        <f>K18*2</f>
        <v>169.82884799999999</v>
      </c>
      <c r="M18" s="140">
        <f>J18*0.18</f>
        <v>7.6422981599999993</v>
      </c>
      <c r="N18" s="140">
        <f>J18*0.3</f>
        <v>12.737163599999999</v>
      </c>
      <c r="O18" s="140">
        <f>J18*15.66*1.1364</f>
        <v>755.56956372508796</v>
      </c>
      <c r="P18" s="144"/>
      <c r="Q18" s="145"/>
      <c r="R18" s="144"/>
      <c r="S18" s="144"/>
      <c r="T18" s="144"/>
      <c r="U18" s="144"/>
      <c r="V18" s="144"/>
      <c r="W18" s="144"/>
      <c r="X18" s="144"/>
      <c r="Y18" s="144"/>
      <c r="Z18" s="144"/>
      <c r="AA18" s="144"/>
      <c r="AB18" s="144"/>
    </row>
    <row r="19" spans="1:28" x14ac:dyDescent="0.2">
      <c r="A19" s="144"/>
      <c r="B19" s="475"/>
      <c r="C19" s="471"/>
      <c r="D19" s="471"/>
      <c r="E19" s="471"/>
      <c r="F19" s="471"/>
      <c r="G19" s="471"/>
      <c r="H19" s="137">
        <f t="shared" ref="H19:N19" si="5">SUM(H17:H18)</f>
        <v>22.113305749499997</v>
      </c>
      <c r="I19" s="137">
        <f t="shared" si="5"/>
        <v>31.590436784999998</v>
      </c>
      <c r="J19" s="137">
        <f t="shared" si="5"/>
        <v>63.180873569999996</v>
      </c>
      <c r="K19" s="137">
        <f t="shared" si="5"/>
        <v>126.36174713999999</v>
      </c>
      <c r="L19" s="137">
        <f t="shared" si="5"/>
        <v>252.72349427999998</v>
      </c>
      <c r="M19" s="137">
        <f t="shared" si="5"/>
        <v>11.372557242599999</v>
      </c>
      <c r="N19" s="137">
        <f t="shared" si="5"/>
        <v>18.954262070999999</v>
      </c>
      <c r="O19" s="137">
        <f>SUM(O17:O18)</f>
        <v>1124.3683423926857</v>
      </c>
      <c r="P19" s="144"/>
      <c r="Q19" s="145"/>
      <c r="R19" s="144"/>
      <c r="S19" s="144"/>
      <c r="T19" s="144"/>
      <c r="U19" s="144"/>
      <c r="V19" s="144"/>
      <c r="W19" s="144"/>
      <c r="X19" s="144"/>
      <c r="Y19" s="144"/>
      <c r="Z19" s="144"/>
      <c r="AA19" s="144"/>
      <c r="AB19" s="144"/>
    </row>
    <row r="20" spans="1:28" x14ac:dyDescent="0.2">
      <c r="A20" s="144"/>
      <c r="B20" s="475"/>
      <c r="C20" s="160" t="s">
        <v>257</v>
      </c>
      <c r="D20" s="138" t="s">
        <v>45</v>
      </c>
      <c r="E20" s="138" t="str">
        <f>C20&amp;D20</f>
        <v>BAS.F82RBD SOYA BEAN OIL</v>
      </c>
      <c r="F20" s="146">
        <v>0.2</v>
      </c>
      <c r="G20" s="139">
        <f>SUMIFS('Pricing Trends'!U:U,'Pricing Trends'!R:R,Validation!D20,'Pricing Trends'!P:P,"TRUE")/COUNTIFS('Pricing Trends'!R:R,Validation!D20,'Pricing Trends'!P:P,"TRUE")</f>
        <v>69.078871899999996</v>
      </c>
      <c r="H20" s="139">
        <f>G20*F20*0.35</f>
        <v>4.835521033</v>
      </c>
      <c r="I20" s="139">
        <f>G20*F20*0.5</f>
        <v>6.9078871900000003</v>
      </c>
      <c r="J20" s="140">
        <f>G20*F20</f>
        <v>13.815774380000001</v>
      </c>
      <c r="K20" s="140">
        <f>J20*2</f>
        <v>27.631548760000001</v>
      </c>
      <c r="L20" s="140">
        <f>K20*2</f>
        <v>55.263097520000002</v>
      </c>
      <c r="M20" s="140">
        <f>J20*0.18</f>
        <v>2.4868393884</v>
      </c>
      <c r="N20" s="140">
        <f>J20*0.3</f>
        <v>4.1447323139999996</v>
      </c>
      <c r="O20" s="140">
        <f>J20*15.66*1.1364</f>
        <v>245.86585244506517</v>
      </c>
      <c r="P20" s="144"/>
      <c r="Q20" s="145"/>
      <c r="R20" s="144"/>
      <c r="S20" s="144"/>
      <c r="T20" s="144"/>
      <c r="U20" s="144"/>
      <c r="V20" s="144"/>
      <c r="W20" s="144"/>
      <c r="X20" s="144"/>
      <c r="Y20" s="144"/>
      <c r="Z20" s="144"/>
      <c r="AA20" s="144"/>
      <c r="AB20" s="144"/>
    </row>
    <row r="21" spans="1:28" x14ac:dyDescent="0.2">
      <c r="A21" s="144"/>
      <c r="B21" s="475"/>
      <c r="C21" s="160" t="s">
        <v>257</v>
      </c>
      <c r="D21" s="138" t="s">
        <v>58</v>
      </c>
      <c r="E21" s="138" t="str">
        <f>C21&amp;D21</f>
        <v>BAS.F82RBD PALM OLEIN (FOREIGN)</v>
      </c>
      <c r="F21" s="146">
        <v>0.8</v>
      </c>
      <c r="G21" s="139">
        <f>SUMIFS('Pricing Trends'!U:U,'Pricing Trends'!R:R,Validation!D21,'Pricing Trends'!P:P,"TRUE")/COUNTIFS('Pricing Trends'!R:R,Validation!D21,'Pricing Trends'!P:P,"TRUE")</f>
        <v>60.65316</v>
      </c>
      <c r="H21" s="139">
        <f>G21*F21*0.35</f>
        <v>16.982884800000001</v>
      </c>
      <c r="I21" s="139">
        <f>G21*F21*0.5</f>
        <v>24.261264000000001</v>
      </c>
      <c r="J21" s="140">
        <f>G21*F21</f>
        <v>48.522528000000001</v>
      </c>
      <c r="K21" s="140">
        <f>J21*2</f>
        <v>97.045056000000002</v>
      </c>
      <c r="L21" s="140">
        <f>K21*2</f>
        <v>194.090112</v>
      </c>
      <c r="M21" s="140">
        <f>J21*0.18</f>
        <v>8.7340550399999994</v>
      </c>
      <c r="N21" s="140">
        <f>J21*0.3</f>
        <v>14.5567584</v>
      </c>
      <c r="O21" s="140">
        <f>J21*15.66*1.1364</f>
        <v>863.50807282867208</v>
      </c>
      <c r="P21" s="144"/>
      <c r="Q21" s="145"/>
      <c r="R21" s="144"/>
      <c r="S21" s="144"/>
      <c r="T21" s="144"/>
      <c r="U21" s="144"/>
      <c r="V21" s="144"/>
      <c r="W21" s="144"/>
      <c r="X21" s="144"/>
      <c r="Y21" s="144"/>
      <c r="Z21" s="144"/>
      <c r="AA21" s="144"/>
      <c r="AB21" s="144"/>
    </row>
    <row r="22" spans="1:28" x14ac:dyDescent="0.2">
      <c r="A22" s="144"/>
      <c r="B22" s="475"/>
      <c r="C22" s="471"/>
      <c r="D22" s="471"/>
      <c r="E22" s="471"/>
      <c r="F22" s="471"/>
      <c r="G22" s="471"/>
      <c r="H22" s="137">
        <f t="shared" ref="H22:N22" si="6">SUM(H20:H21)</f>
        <v>21.818405833</v>
      </c>
      <c r="I22" s="137">
        <f t="shared" si="6"/>
        <v>31.169151190000001</v>
      </c>
      <c r="J22" s="137">
        <f t="shared" si="6"/>
        <v>62.338302380000002</v>
      </c>
      <c r="K22" s="137">
        <f t="shared" si="6"/>
        <v>124.67660476</v>
      </c>
      <c r="L22" s="137">
        <f t="shared" si="6"/>
        <v>249.35320952000001</v>
      </c>
      <c r="M22" s="137">
        <f t="shared" si="6"/>
        <v>11.220894428399999</v>
      </c>
      <c r="N22" s="137">
        <f t="shared" si="6"/>
        <v>18.701490713999998</v>
      </c>
      <c r="O22" s="137">
        <f>SUM(O20:O21)</f>
        <v>1109.3739252737373</v>
      </c>
      <c r="P22" s="144"/>
      <c r="Q22" s="145"/>
      <c r="R22" s="144"/>
      <c r="S22" s="144"/>
      <c r="T22" s="144"/>
      <c r="U22" s="144"/>
      <c r="V22" s="144"/>
      <c r="W22" s="144"/>
      <c r="X22" s="144"/>
      <c r="Y22" s="144"/>
      <c r="Z22" s="144"/>
      <c r="AA22" s="144"/>
      <c r="AB22" s="144"/>
    </row>
    <row r="23" spans="1:28" x14ac:dyDescent="0.2">
      <c r="A23" s="144"/>
      <c r="B23" s="475"/>
      <c r="C23" s="176" t="s">
        <v>258</v>
      </c>
      <c r="D23" s="138" t="s">
        <v>54</v>
      </c>
      <c r="E23" s="138" t="str">
        <f>C23&amp;D23</f>
        <v>PALM.100RBD PALM OLEIN (LOCAL)</v>
      </c>
      <c r="F23" s="146">
        <v>1</v>
      </c>
      <c r="G23" s="139" t="e">
        <f>SUMIFS('Pricing Trends'!U:U,'Pricing Trends'!R:R,Validation!D23,'Pricing Trends'!P:P,"TRUE")/COUNTIFS('Pricing Trends'!R:R,Validation!D23,'Pricing Trends'!P:P,"TRUE")</f>
        <v>#DIV/0!</v>
      </c>
      <c r="H23" s="139" t="e">
        <f>G23*F23*0.35</f>
        <v>#DIV/0!</v>
      </c>
      <c r="I23" s="139" t="e">
        <f>G23*F23*0.5</f>
        <v>#DIV/0!</v>
      </c>
      <c r="J23" s="140" t="e">
        <f>G23*F23</f>
        <v>#DIV/0!</v>
      </c>
      <c r="K23" s="140" t="e">
        <f>J23*2</f>
        <v>#DIV/0!</v>
      </c>
      <c r="L23" s="140" t="e">
        <f>K23*2</f>
        <v>#DIV/0!</v>
      </c>
      <c r="M23" s="140" t="e">
        <f>J23*0.18</f>
        <v>#DIV/0!</v>
      </c>
      <c r="N23" s="140" t="e">
        <f>J23*0.3</f>
        <v>#DIV/0!</v>
      </c>
      <c r="O23" s="140" t="e">
        <f>J23*15.66*1.1364</f>
        <v>#DIV/0!</v>
      </c>
      <c r="P23" s="144"/>
      <c r="Q23" s="145"/>
      <c r="R23" s="144"/>
      <c r="S23" s="144"/>
      <c r="T23" s="144"/>
      <c r="U23" s="144"/>
      <c r="V23" s="144"/>
      <c r="W23" s="144"/>
      <c r="X23" s="144"/>
      <c r="Y23" s="144"/>
      <c r="Z23" s="144"/>
      <c r="AA23" s="144"/>
      <c r="AB23" s="144"/>
    </row>
    <row r="24" spans="1:28" x14ac:dyDescent="0.2">
      <c r="A24" s="144"/>
      <c r="B24" s="475"/>
      <c r="C24" s="471"/>
      <c r="D24" s="471"/>
      <c r="E24" s="471"/>
      <c r="F24" s="471"/>
      <c r="G24" s="471"/>
      <c r="H24" s="137" t="e">
        <f>SUM(H23)</f>
        <v>#DIV/0!</v>
      </c>
      <c r="I24" s="137" t="e">
        <f t="shared" ref="I24:O24" si="7">SUM(I23)</f>
        <v>#DIV/0!</v>
      </c>
      <c r="J24" s="137" t="e">
        <f t="shared" si="7"/>
        <v>#DIV/0!</v>
      </c>
      <c r="K24" s="137" t="e">
        <f t="shared" si="7"/>
        <v>#DIV/0!</v>
      </c>
      <c r="L24" s="137" t="e">
        <f t="shared" si="7"/>
        <v>#DIV/0!</v>
      </c>
      <c r="M24" s="137" t="e">
        <f t="shared" si="7"/>
        <v>#DIV/0!</v>
      </c>
      <c r="N24" s="137" t="e">
        <f t="shared" si="7"/>
        <v>#DIV/0!</v>
      </c>
      <c r="O24" s="137" t="e">
        <f t="shared" si="7"/>
        <v>#DIV/0!</v>
      </c>
      <c r="P24" s="144"/>
      <c r="Q24" s="145"/>
      <c r="R24" s="144"/>
      <c r="S24" s="144"/>
      <c r="T24" s="144"/>
      <c r="U24" s="144"/>
      <c r="V24" s="144"/>
      <c r="W24" s="144"/>
      <c r="X24" s="144"/>
      <c r="Y24" s="144"/>
      <c r="Z24" s="144"/>
      <c r="AA24" s="144"/>
      <c r="AB24" s="144"/>
    </row>
    <row r="25" spans="1:28" x14ac:dyDescent="0.2">
      <c r="A25" s="144"/>
      <c r="B25" s="475"/>
      <c r="C25" s="176" t="s">
        <v>259</v>
      </c>
      <c r="D25" s="138" t="s">
        <v>58</v>
      </c>
      <c r="E25" s="138" t="str">
        <f>C25&amp;D25</f>
        <v>PALMF.100RBD PALM OLEIN (FOREIGN)</v>
      </c>
      <c r="F25" s="146">
        <v>1</v>
      </c>
      <c r="G25" s="139">
        <f>SUMIFS('Pricing Trends'!U:U,'Pricing Trends'!R:R,Validation!D25,'Pricing Trends'!P:P,"TRUE")/COUNTIFS('Pricing Trends'!R:R,Validation!D25,'Pricing Trends'!P:P,"TRUE")</f>
        <v>60.65316</v>
      </c>
      <c r="H25" s="139">
        <f>G25*F25*0.35</f>
        <v>21.228605999999999</v>
      </c>
      <c r="I25" s="139">
        <f>G25*F25*0.5</f>
        <v>30.32658</v>
      </c>
      <c r="J25" s="140">
        <f>G25*F25</f>
        <v>60.65316</v>
      </c>
      <c r="K25" s="140">
        <f>J25*2</f>
        <v>121.30632</v>
      </c>
      <c r="L25" s="140">
        <f>K25*2</f>
        <v>242.61264</v>
      </c>
      <c r="M25" s="140">
        <f>J25*0.18</f>
        <v>10.9175688</v>
      </c>
      <c r="N25" s="140">
        <f>J25*0.3</f>
        <v>18.195947999999998</v>
      </c>
      <c r="O25" s="140">
        <f>J25*15.66*1.1364</f>
        <v>1079.3850910358401</v>
      </c>
      <c r="P25" s="144"/>
      <c r="Q25" s="145"/>
      <c r="R25" s="144"/>
      <c r="S25" s="144"/>
      <c r="T25" s="144"/>
      <c r="U25" s="144"/>
      <c r="V25" s="144"/>
      <c r="W25" s="144"/>
      <c r="X25" s="144"/>
      <c r="Y25" s="144"/>
      <c r="Z25" s="144"/>
      <c r="AA25" s="144"/>
      <c r="AB25" s="144"/>
    </row>
    <row r="26" spans="1:28" x14ac:dyDescent="0.2">
      <c r="A26" s="144"/>
      <c r="B26" s="475"/>
      <c r="C26" s="471"/>
      <c r="D26" s="471"/>
      <c r="E26" s="471"/>
      <c r="F26" s="471"/>
      <c r="G26" s="471"/>
      <c r="H26" s="137">
        <f t="shared" ref="H26:O26" si="8">SUM(H25:H25)</f>
        <v>21.228605999999999</v>
      </c>
      <c r="I26" s="137">
        <f t="shared" si="8"/>
        <v>30.32658</v>
      </c>
      <c r="J26" s="137">
        <f t="shared" si="8"/>
        <v>60.65316</v>
      </c>
      <c r="K26" s="137">
        <f t="shared" si="8"/>
        <v>121.30632</v>
      </c>
      <c r="L26" s="137">
        <f t="shared" si="8"/>
        <v>242.61264</v>
      </c>
      <c r="M26" s="137">
        <f t="shared" si="8"/>
        <v>10.9175688</v>
      </c>
      <c r="N26" s="137">
        <f t="shared" si="8"/>
        <v>18.195947999999998</v>
      </c>
      <c r="O26" s="137">
        <f t="shared" si="8"/>
        <v>1079.3850910358401</v>
      </c>
      <c r="P26" s="144"/>
      <c r="Q26" s="145"/>
      <c r="R26" s="144"/>
      <c r="S26" s="144"/>
      <c r="T26" s="144"/>
      <c r="U26" s="144"/>
      <c r="V26" s="144"/>
      <c r="W26" s="144"/>
      <c r="X26" s="144"/>
      <c r="Y26" s="144"/>
      <c r="Z26" s="144"/>
      <c r="AA26" s="144"/>
      <c r="AB26" s="144"/>
    </row>
    <row r="27" spans="1:28" x14ac:dyDescent="0.2">
      <c r="A27" s="144"/>
      <c r="B27" s="482" t="s">
        <v>260</v>
      </c>
      <c r="C27" s="161" t="s">
        <v>261</v>
      </c>
      <c r="D27" s="134" t="s">
        <v>62</v>
      </c>
      <c r="E27" s="134" t="str">
        <f t="shared" ref="E27:E28" si="9">C27&amp;D27</f>
        <v>CANF.82RBD CANOLA OIL</v>
      </c>
      <c r="F27" s="147">
        <v>0.8</v>
      </c>
      <c r="G27" s="139">
        <f>SUMIFS('Pricing Trends'!U:U,'Pricing Trends'!R:R,Validation!D27,'Pricing Trends'!P:P,"TRUE")/COUNTIFS('Pricing Trends'!R:R,Validation!D27,'Pricing Trends'!P:P,"TRUE")</f>
        <v>83.220041256354207</v>
      </c>
      <c r="H27" s="135"/>
      <c r="I27" s="135"/>
      <c r="J27" s="136">
        <f>G27*F27</f>
        <v>66.576033005083374</v>
      </c>
      <c r="K27" s="136">
        <f>J27*2</f>
        <v>133.15206601016675</v>
      </c>
      <c r="L27" s="136">
        <f>K27*2</f>
        <v>266.3041320203335</v>
      </c>
      <c r="M27" s="163">
        <f>J27*0.18</f>
        <v>11.983685940915008</v>
      </c>
      <c r="N27" s="163">
        <f>J27*0.3</f>
        <v>19.972809901525011</v>
      </c>
      <c r="O27" s="163">
        <f>J27*15.66*1.1364</f>
        <v>1184.7886811832559</v>
      </c>
      <c r="P27" s="144"/>
      <c r="Q27" s="158" t="s">
        <v>262</v>
      </c>
      <c r="R27" s="144"/>
      <c r="S27" s="144"/>
      <c r="T27" s="144"/>
      <c r="U27" s="144"/>
      <c r="V27" s="144"/>
      <c r="W27" s="144"/>
      <c r="X27" s="144"/>
      <c r="Y27" s="144"/>
      <c r="Z27" s="144"/>
      <c r="AA27" s="144"/>
      <c r="AB27" s="144"/>
    </row>
    <row r="28" spans="1:28" x14ac:dyDescent="0.2">
      <c r="A28" s="144"/>
      <c r="B28" s="483"/>
      <c r="C28" s="161" t="s">
        <v>261</v>
      </c>
      <c r="D28" s="134" t="s">
        <v>58</v>
      </c>
      <c r="E28" s="134" t="str">
        <f t="shared" si="9"/>
        <v>CANF.82RBD PALM OLEIN (FOREIGN)</v>
      </c>
      <c r="F28" s="147">
        <v>0.2</v>
      </c>
      <c r="G28" s="139">
        <f>SUMIFS('Pricing Trends'!U:U,'Pricing Trends'!R:R,Validation!D28,'Pricing Trends'!P:P,"TRUE")/COUNTIFS('Pricing Trends'!R:R,Validation!D28,'Pricing Trends'!P:P,"TRUE")</f>
        <v>60.65316</v>
      </c>
      <c r="H28" s="135"/>
      <c r="I28" s="135"/>
      <c r="J28" s="136">
        <f>G28*F28</f>
        <v>12.130632</v>
      </c>
      <c r="K28" s="136">
        <f>J28*2</f>
        <v>24.261264000000001</v>
      </c>
      <c r="L28" s="136">
        <f>K28*2</f>
        <v>48.522528000000001</v>
      </c>
      <c r="M28" s="163">
        <f>J28*0.18</f>
        <v>2.1835137599999999</v>
      </c>
      <c r="N28" s="163">
        <f>J28*0.3</f>
        <v>3.6391895999999999</v>
      </c>
      <c r="O28" s="163">
        <f>J28*15.66*1.1364</f>
        <v>215.87701820716802</v>
      </c>
      <c r="P28" s="144"/>
      <c r="Q28" s="159" t="str">
        <f>C27</f>
        <v>CANF.82</v>
      </c>
      <c r="R28" s="144"/>
      <c r="S28" s="144"/>
      <c r="T28" s="144"/>
      <c r="U28" s="144"/>
      <c r="V28" s="144"/>
      <c r="W28" s="144"/>
      <c r="X28" s="144"/>
      <c r="Y28" s="144"/>
      <c r="Z28" s="144"/>
      <c r="AA28" s="144"/>
      <c r="AB28" s="144"/>
    </row>
    <row r="29" spans="1:28" x14ac:dyDescent="0.2">
      <c r="A29" s="144"/>
      <c r="B29" s="483"/>
      <c r="C29" s="479"/>
      <c r="D29" s="480"/>
      <c r="E29" s="480"/>
      <c r="F29" s="480"/>
      <c r="G29" s="480"/>
      <c r="H29" s="480"/>
      <c r="I29" s="481"/>
      <c r="J29" s="137">
        <f t="shared" ref="J29:O29" si="10">SUM(J27:J28)</f>
        <v>78.70666500508338</v>
      </c>
      <c r="K29" s="137">
        <f t="shared" si="10"/>
        <v>157.41333001016676</v>
      </c>
      <c r="L29" s="137">
        <f t="shared" si="10"/>
        <v>314.82666002033352</v>
      </c>
      <c r="M29" s="137">
        <f t="shared" si="10"/>
        <v>14.167199700915008</v>
      </c>
      <c r="N29" s="137">
        <f t="shared" si="10"/>
        <v>23.611999501525013</v>
      </c>
      <c r="O29" s="137">
        <f t="shared" si="10"/>
        <v>1400.6656993904239</v>
      </c>
      <c r="P29" s="144"/>
      <c r="Q29" s="159" t="str">
        <f>C30</f>
        <v>CAN.100</v>
      </c>
      <c r="R29" s="144"/>
      <c r="S29" s="144"/>
      <c r="T29" s="144"/>
      <c r="U29" s="144"/>
      <c r="V29" s="144"/>
      <c r="W29" s="144"/>
      <c r="X29" s="144"/>
      <c r="Y29" s="144"/>
      <c r="Z29" s="144"/>
      <c r="AA29" s="144"/>
      <c r="AB29" s="144"/>
    </row>
    <row r="30" spans="1:28" x14ac:dyDescent="0.2">
      <c r="A30" s="144"/>
      <c r="B30" s="483"/>
      <c r="C30" s="161" t="s">
        <v>263</v>
      </c>
      <c r="D30" s="134" t="s">
        <v>62</v>
      </c>
      <c r="E30" s="134" t="str">
        <f>C30&amp;D30</f>
        <v>CAN.100RBD CANOLA OIL</v>
      </c>
      <c r="F30" s="147">
        <v>1</v>
      </c>
      <c r="G30" s="139">
        <f>SUMIFS('Pricing Trends'!U:U,'Pricing Trends'!R:R,Validation!D30,'Pricing Trends'!P:P,"TRUE")/COUNTIFS('Pricing Trends'!R:R,Validation!D30,'Pricing Trends'!P:P,"TRUE")</f>
        <v>83.220041256354207</v>
      </c>
      <c r="H30" s="135"/>
      <c r="I30" s="135"/>
      <c r="J30" s="136">
        <f>G30*F30</f>
        <v>83.220041256354207</v>
      </c>
      <c r="K30" s="136">
        <f t="shared" ref="K30" si="11">J30*2</f>
        <v>166.44008251270841</v>
      </c>
      <c r="L30" s="136">
        <f t="shared" ref="L30" si="12">K30*2</f>
        <v>332.88016502541683</v>
      </c>
      <c r="M30" s="163">
        <f>J30*0.18</f>
        <v>14.979607426143756</v>
      </c>
      <c r="N30" s="163">
        <f>J30*0.3</f>
        <v>24.96601237690626</v>
      </c>
      <c r="O30" s="163">
        <f>J30*15.66*1.1364</f>
        <v>1480.9858514790699</v>
      </c>
      <c r="P30" s="144"/>
      <c r="Q30" s="145"/>
      <c r="R30" s="144"/>
      <c r="S30" s="144"/>
      <c r="T30" s="144"/>
      <c r="U30" s="144"/>
      <c r="V30" s="144"/>
      <c r="W30" s="144"/>
      <c r="X30" s="144"/>
      <c r="Y30" s="144"/>
      <c r="Z30" s="144"/>
      <c r="AA30" s="144"/>
      <c r="AB30" s="144"/>
    </row>
    <row r="31" spans="1:28" x14ac:dyDescent="0.2">
      <c r="A31" s="144"/>
      <c r="B31" s="484"/>
      <c r="C31" s="479"/>
      <c r="D31" s="480"/>
      <c r="E31" s="480"/>
      <c r="F31" s="480"/>
      <c r="G31" s="480"/>
      <c r="H31" s="480"/>
      <c r="I31" s="481"/>
      <c r="J31" s="137">
        <f t="shared" ref="J31:O31" si="13">SUM(J30)</f>
        <v>83.220041256354207</v>
      </c>
      <c r="K31" s="137">
        <f t="shared" si="13"/>
        <v>166.44008251270841</v>
      </c>
      <c r="L31" s="137">
        <f t="shared" si="13"/>
        <v>332.88016502541683</v>
      </c>
      <c r="M31" s="137">
        <f t="shared" si="13"/>
        <v>14.979607426143756</v>
      </c>
      <c r="N31" s="137">
        <f t="shared" si="13"/>
        <v>24.96601237690626</v>
      </c>
      <c r="O31" s="137">
        <f t="shared" si="13"/>
        <v>1480.9858514790699</v>
      </c>
      <c r="P31" s="144"/>
      <c r="Q31" s="145"/>
      <c r="R31" s="144"/>
      <c r="S31" s="144"/>
      <c r="T31" s="144"/>
      <c r="U31" s="144"/>
      <c r="V31" s="144"/>
      <c r="W31" s="144"/>
      <c r="X31" s="144"/>
      <c r="Y31" s="144"/>
      <c r="Z31" s="144"/>
      <c r="AA31" s="144"/>
      <c r="AB31" s="144"/>
    </row>
    <row r="32" spans="1:28" x14ac:dyDescent="0.2">
      <c r="A32" s="144"/>
      <c r="B32" s="478" t="s">
        <v>20</v>
      </c>
      <c r="C32" s="162" t="s">
        <v>264</v>
      </c>
      <c r="D32" s="141" t="s">
        <v>45</v>
      </c>
      <c r="E32" s="141" t="str">
        <f t="shared" ref="E32:E33" si="14">C32&amp;D32</f>
        <v>SOYF.73RBD SOYA BEAN OIL</v>
      </c>
      <c r="F32" s="148">
        <v>0.7</v>
      </c>
      <c r="G32" s="139">
        <f>SUMIFS('Pricing Trends'!U:U,'Pricing Trends'!R:R,Validation!D32,'Pricing Trends'!P:P,"TRUE")/COUNTIFS('Pricing Trends'!R:R,Validation!D32,'Pricing Trends'!P:P,"TRUE")</f>
        <v>69.078871899999996</v>
      </c>
      <c r="H32" s="142"/>
      <c r="I32" s="142"/>
      <c r="J32" s="143">
        <f>G32*F32</f>
        <v>48.355210329999991</v>
      </c>
      <c r="K32" s="143">
        <f>J32*2</f>
        <v>96.710420659999983</v>
      </c>
      <c r="L32" s="143">
        <f>K32*2</f>
        <v>193.42084131999997</v>
      </c>
      <c r="M32" s="143">
        <f>J32*0.18</f>
        <v>8.7039378593999981</v>
      </c>
      <c r="N32" s="143">
        <f>J32*0.3</f>
        <v>14.506563098999997</v>
      </c>
      <c r="O32" s="143">
        <f>J32*15.66*1.1364</f>
        <v>860.53048355772785</v>
      </c>
      <c r="P32" s="144"/>
      <c r="Q32" s="158" t="s">
        <v>265</v>
      </c>
      <c r="R32" s="144"/>
      <c r="S32" s="144"/>
      <c r="T32" s="144"/>
      <c r="U32" s="144"/>
      <c r="V32" s="144"/>
      <c r="W32" s="144"/>
      <c r="X32" s="144"/>
      <c r="Y32" s="144"/>
      <c r="Z32" s="144"/>
      <c r="AA32" s="144"/>
      <c r="AB32" s="144"/>
    </row>
    <row r="33" spans="1:28" x14ac:dyDescent="0.2">
      <c r="A33" s="144"/>
      <c r="B33" s="478"/>
      <c r="C33" s="162" t="s">
        <v>264</v>
      </c>
      <c r="D33" s="141" t="s">
        <v>58</v>
      </c>
      <c r="E33" s="141" t="str">
        <f t="shared" si="14"/>
        <v>SOYF.73RBD PALM OLEIN (FOREIGN)</v>
      </c>
      <c r="F33" s="148">
        <v>0.3</v>
      </c>
      <c r="G33" s="139">
        <f>SUMIFS('Pricing Trends'!U:U,'Pricing Trends'!R:R,Validation!D33,'Pricing Trends'!P:P,"TRUE")/COUNTIFS('Pricing Trends'!R:R,Validation!D33,'Pricing Trends'!P:P,"TRUE")</f>
        <v>60.65316</v>
      </c>
      <c r="H33" s="142"/>
      <c r="I33" s="142"/>
      <c r="J33" s="143">
        <f>G33*F33</f>
        <v>18.195947999999998</v>
      </c>
      <c r="K33" s="143">
        <f>J33*2</f>
        <v>36.391895999999996</v>
      </c>
      <c r="L33" s="143">
        <f>K33*2</f>
        <v>72.783791999999991</v>
      </c>
      <c r="M33" s="143">
        <f>J33*0.18</f>
        <v>3.2752706399999996</v>
      </c>
      <c r="N33" s="143">
        <f>J33*0.3</f>
        <v>5.458784399999999</v>
      </c>
      <c r="O33" s="143">
        <f>J33*15.66*1.1364</f>
        <v>323.81552731075203</v>
      </c>
      <c r="P33" s="144"/>
      <c r="Q33" s="159" t="str">
        <f>C32</f>
        <v>SOYF.73</v>
      </c>
      <c r="R33" s="144"/>
      <c r="S33" s="144"/>
      <c r="T33" s="144"/>
      <c r="U33" s="144"/>
      <c r="V33" s="144"/>
      <c r="W33" s="144"/>
      <c r="X33" s="144"/>
      <c r="Y33" s="144"/>
      <c r="Z33" s="144"/>
      <c r="AA33" s="144"/>
      <c r="AB33" s="144"/>
    </row>
    <row r="34" spans="1:28" x14ac:dyDescent="0.2">
      <c r="A34" s="144"/>
      <c r="B34" s="478"/>
      <c r="C34" s="471"/>
      <c r="D34" s="471"/>
      <c r="E34" s="471"/>
      <c r="F34" s="471"/>
      <c r="G34" s="471"/>
      <c r="H34" s="471"/>
      <c r="I34" s="471"/>
      <c r="J34" s="137">
        <f t="shared" ref="J34:O34" si="15">SUM(J32:J33)</f>
        <v>66.551158329999993</v>
      </c>
      <c r="K34" s="137">
        <f t="shared" si="15"/>
        <v>133.10231665999999</v>
      </c>
      <c r="L34" s="137">
        <f t="shared" si="15"/>
        <v>266.20463331999997</v>
      </c>
      <c r="M34" s="137">
        <f t="shared" si="15"/>
        <v>11.979208499399999</v>
      </c>
      <c r="N34" s="137">
        <f t="shared" si="15"/>
        <v>19.965347498999996</v>
      </c>
      <c r="O34" s="137">
        <f t="shared" si="15"/>
        <v>1184.3460108684799</v>
      </c>
      <c r="P34" s="144"/>
      <c r="Q34" s="159" t="str">
        <f>C35</f>
        <v>SOYF.82</v>
      </c>
      <c r="R34" s="144"/>
      <c r="S34" s="144"/>
      <c r="T34" s="144"/>
      <c r="U34" s="144"/>
      <c r="V34" s="144"/>
      <c r="W34" s="144"/>
      <c r="X34" s="144"/>
      <c r="Y34" s="144"/>
      <c r="Z34" s="144"/>
      <c r="AA34" s="144"/>
      <c r="AB34" s="144"/>
    </row>
    <row r="35" spans="1:28" x14ac:dyDescent="0.2">
      <c r="A35" s="144"/>
      <c r="B35" s="478"/>
      <c r="C35" s="162" t="s">
        <v>266</v>
      </c>
      <c r="D35" s="141" t="s">
        <v>45</v>
      </c>
      <c r="E35" s="141" t="str">
        <f>C35&amp;D35</f>
        <v>SOYF.82RBD SOYA BEAN OIL</v>
      </c>
      <c r="F35" s="148">
        <v>0.8</v>
      </c>
      <c r="G35" s="139">
        <f>SUMIFS('Pricing Trends'!U:U,'Pricing Trends'!R:R,Validation!D35,'Pricing Trends'!P:P,"TRUE")/COUNTIFS('Pricing Trends'!R:R,Validation!D35,'Pricing Trends'!P:P,"TRUE")</f>
        <v>69.078871899999996</v>
      </c>
      <c r="H35" s="142"/>
      <c r="I35" s="142"/>
      <c r="J35" s="143">
        <f>G35*F35</f>
        <v>55.263097520000002</v>
      </c>
      <c r="K35" s="143">
        <f>J35*2</f>
        <v>110.52619504</v>
      </c>
      <c r="L35" s="143">
        <f>K35*2</f>
        <v>221.05239008000001</v>
      </c>
      <c r="M35" s="143">
        <f>J35*0.18</f>
        <v>9.9473575535999998</v>
      </c>
      <c r="N35" s="143">
        <f>J35*0.3</f>
        <v>16.578929255999999</v>
      </c>
      <c r="O35" s="143">
        <f>J35*15.66*1.1364</f>
        <v>983.46340978026069</v>
      </c>
      <c r="P35" s="144"/>
      <c r="Q35" s="159" t="str">
        <f>C38</f>
        <v>SOY.100</v>
      </c>
      <c r="R35" s="144"/>
      <c r="S35" s="144"/>
      <c r="T35" s="144"/>
      <c r="U35" s="144"/>
      <c r="V35" s="144"/>
      <c r="W35" s="144"/>
      <c r="X35" s="144"/>
      <c r="Y35" s="144"/>
      <c r="Z35" s="144"/>
      <c r="AA35" s="144"/>
      <c r="AB35" s="144"/>
    </row>
    <row r="36" spans="1:28" x14ac:dyDescent="0.2">
      <c r="A36" s="144"/>
      <c r="B36" s="478"/>
      <c r="C36" s="162" t="s">
        <v>266</v>
      </c>
      <c r="D36" s="141" t="s">
        <v>58</v>
      </c>
      <c r="E36" s="141" t="str">
        <f>C36&amp;D36</f>
        <v>SOYF.82RBD PALM OLEIN (FOREIGN)</v>
      </c>
      <c r="F36" s="148">
        <v>0.2</v>
      </c>
      <c r="G36" s="139">
        <f>SUMIFS('Pricing Trends'!U:U,'Pricing Trends'!R:R,Validation!D36,'Pricing Trends'!P:P,"TRUE")/COUNTIFS('Pricing Trends'!R:R,Validation!D36,'Pricing Trends'!P:P,"TRUE")</f>
        <v>60.65316</v>
      </c>
      <c r="H36" s="142"/>
      <c r="I36" s="142"/>
      <c r="J36" s="143">
        <f>G36*F36</f>
        <v>12.130632</v>
      </c>
      <c r="K36" s="143">
        <f>J36*2</f>
        <v>24.261264000000001</v>
      </c>
      <c r="L36" s="143">
        <f>K36*2</f>
        <v>48.522528000000001</v>
      </c>
      <c r="M36" s="143">
        <f>J36*0.18</f>
        <v>2.1835137599999999</v>
      </c>
      <c r="N36" s="143">
        <f>J36*0.3</f>
        <v>3.6391895999999999</v>
      </c>
      <c r="O36" s="143">
        <f>J36*15.66*1.1364</f>
        <v>215.87701820716802</v>
      </c>
      <c r="P36" s="144"/>
      <c r="Q36" s="145"/>
      <c r="R36" s="144"/>
      <c r="S36" s="144"/>
      <c r="T36" s="144"/>
      <c r="U36" s="144"/>
      <c r="V36" s="144"/>
      <c r="W36" s="144"/>
      <c r="X36" s="144"/>
      <c r="Y36" s="144"/>
      <c r="Z36" s="144"/>
      <c r="AA36" s="144"/>
      <c r="AB36" s="144"/>
    </row>
    <row r="37" spans="1:28" x14ac:dyDescent="0.2">
      <c r="A37" s="144"/>
      <c r="B37" s="478"/>
      <c r="C37" s="471"/>
      <c r="D37" s="471"/>
      <c r="E37" s="471"/>
      <c r="F37" s="471"/>
      <c r="G37" s="471"/>
      <c r="H37" s="471"/>
      <c r="I37" s="471"/>
      <c r="J37" s="137">
        <f t="shared" ref="J37:O37" si="16">SUM(J35:J36)</f>
        <v>67.393729520000008</v>
      </c>
      <c r="K37" s="137">
        <f t="shared" si="16"/>
        <v>134.78745904000002</v>
      </c>
      <c r="L37" s="137">
        <f t="shared" si="16"/>
        <v>269.57491808000003</v>
      </c>
      <c r="M37" s="137">
        <f t="shared" si="16"/>
        <v>12.1308713136</v>
      </c>
      <c r="N37" s="137">
        <f t="shared" si="16"/>
        <v>20.218118855999997</v>
      </c>
      <c r="O37" s="137">
        <f t="shared" si="16"/>
        <v>1199.3404279874287</v>
      </c>
      <c r="P37" s="144"/>
      <c r="Q37" s="145"/>
      <c r="R37" s="144"/>
      <c r="S37" s="144"/>
      <c r="T37" s="144"/>
      <c r="U37" s="144"/>
      <c r="V37" s="144"/>
      <c r="W37" s="144"/>
      <c r="X37" s="144"/>
      <c r="Y37" s="144"/>
      <c r="Z37" s="144"/>
      <c r="AA37" s="144"/>
      <c r="AB37" s="144"/>
    </row>
    <row r="38" spans="1:28" x14ac:dyDescent="0.2">
      <c r="A38" s="144"/>
      <c r="B38" s="478"/>
      <c r="C38" s="162" t="s">
        <v>267</v>
      </c>
      <c r="D38" s="141" t="s">
        <v>45</v>
      </c>
      <c r="E38" s="141" t="str">
        <f>C38&amp;D38</f>
        <v>SOY.100RBD SOYA BEAN OIL</v>
      </c>
      <c r="F38" s="148">
        <v>1</v>
      </c>
      <c r="G38" s="139">
        <f>SUMIFS('Pricing Trends'!U:U,'Pricing Trends'!R:R,Validation!D38,'Pricing Trends'!P:P,"TRUE")/COUNTIFS('Pricing Trends'!R:R,Validation!D38,'Pricing Trends'!P:P,"TRUE")</f>
        <v>69.078871899999996</v>
      </c>
      <c r="H38" s="142"/>
      <c r="I38" s="142"/>
      <c r="J38" s="143">
        <f>G38*F38</f>
        <v>69.078871899999996</v>
      </c>
      <c r="K38" s="143">
        <f>J38*2</f>
        <v>138.15774379999999</v>
      </c>
      <c r="L38" s="143">
        <f>K38*2</f>
        <v>276.31548759999998</v>
      </c>
      <c r="M38" s="143">
        <f>J38*0.18</f>
        <v>12.434196941999998</v>
      </c>
      <c r="N38" s="143">
        <f>J38*0.3</f>
        <v>20.723661569999997</v>
      </c>
      <c r="O38" s="143">
        <f>J38*15.66*1.1364</f>
        <v>1229.3292622253257</v>
      </c>
      <c r="P38" s="144"/>
      <c r="Q38" s="145"/>
      <c r="R38" s="144"/>
      <c r="S38" s="144"/>
      <c r="T38" s="144"/>
      <c r="U38" s="144"/>
      <c r="V38" s="144"/>
      <c r="W38" s="144"/>
      <c r="X38" s="144"/>
      <c r="Y38" s="144"/>
      <c r="Z38" s="144"/>
      <c r="AA38" s="144"/>
      <c r="AB38" s="144"/>
    </row>
    <row r="39" spans="1:28" x14ac:dyDescent="0.2">
      <c r="A39" s="144"/>
      <c r="B39" s="478"/>
      <c r="C39" s="471"/>
      <c r="D39" s="471"/>
      <c r="E39" s="471"/>
      <c r="F39" s="471"/>
      <c r="G39" s="471"/>
      <c r="H39" s="471"/>
      <c r="I39" s="471"/>
      <c r="J39" s="137">
        <f t="shared" ref="J39:O39" si="17">SUM(J38:J38)</f>
        <v>69.078871899999996</v>
      </c>
      <c r="K39" s="137">
        <f t="shared" si="17"/>
        <v>138.15774379999999</v>
      </c>
      <c r="L39" s="137">
        <f t="shared" si="17"/>
        <v>276.31548759999998</v>
      </c>
      <c r="M39" s="137">
        <f t="shared" si="17"/>
        <v>12.434196941999998</v>
      </c>
      <c r="N39" s="137">
        <f t="shared" si="17"/>
        <v>20.723661569999997</v>
      </c>
      <c r="O39" s="137">
        <f t="shared" si="17"/>
        <v>1229.3292622253257</v>
      </c>
      <c r="P39" s="144"/>
      <c r="Q39" s="145"/>
      <c r="R39" s="144"/>
      <c r="S39" s="144"/>
      <c r="T39" s="144"/>
      <c r="U39" s="144"/>
      <c r="V39" s="144"/>
      <c r="W39" s="144"/>
      <c r="X39" s="144"/>
      <c r="Y39" s="144"/>
      <c r="Z39" s="144"/>
      <c r="AA39" s="144"/>
      <c r="AB39" s="144"/>
    </row>
    <row r="40" spans="1:28" x14ac:dyDescent="0.2">
      <c r="A40" s="144"/>
      <c r="B40" s="472" t="s">
        <v>268</v>
      </c>
      <c r="C40" s="171" t="s">
        <v>269</v>
      </c>
      <c r="D40" s="172" t="s">
        <v>67</v>
      </c>
      <c r="E40" s="172" t="str">
        <f>C40&amp;D40</f>
        <v>VG100RBD COCONUT OIL</v>
      </c>
      <c r="F40" s="173">
        <v>1</v>
      </c>
      <c r="G40" s="139">
        <f>SUMIFS('Pricing Trends'!U:U,'Pricing Trends'!R:R,Validation!D40,'Pricing Trends'!P:P,"TRUE")/COUNTIFS('Pricing Trends'!R:R,Validation!D40,'Pricing Trends'!P:P,"TRUE")</f>
        <v>85.357268567405839</v>
      </c>
      <c r="H40" s="174"/>
      <c r="I40" s="174"/>
      <c r="J40" s="175">
        <f>G40*F40</f>
        <v>85.357268567405839</v>
      </c>
      <c r="K40" s="175">
        <f>J40*2</f>
        <v>170.71453713481168</v>
      </c>
      <c r="L40" s="175">
        <f>K40*2</f>
        <v>341.42907426962336</v>
      </c>
      <c r="M40" s="175">
        <f>J40*0.18</f>
        <v>15.36430834213305</v>
      </c>
      <c r="N40" s="175">
        <f>J40*0.3</f>
        <v>25.60718057022175</v>
      </c>
      <c r="O40" s="175">
        <f>J40*1.1364*15.66</f>
        <v>1519.02</v>
      </c>
      <c r="P40" s="144"/>
      <c r="Q40" s="145"/>
      <c r="R40" s="144"/>
      <c r="S40" s="144"/>
      <c r="T40" s="144"/>
      <c r="U40" s="144"/>
      <c r="V40" s="144"/>
      <c r="W40" s="144"/>
      <c r="X40" s="144"/>
      <c r="Y40" s="144"/>
      <c r="Z40" s="144"/>
      <c r="AA40" s="144"/>
      <c r="AB40" s="144"/>
    </row>
    <row r="41" spans="1:28" x14ac:dyDescent="0.2">
      <c r="A41" s="144"/>
      <c r="B41" s="473"/>
      <c r="C41" s="471"/>
      <c r="D41" s="471"/>
      <c r="E41" s="471"/>
      <c r="F41" s="471"/>
      <c r="G41" s="471"/>
      <c r="H41" s="471"/>
      <c r="I41" s="471"/>
      <c r="J41" s="137">
        <f t="shared" ref="J41:O41" si="18">SUM(J40:J40)</f>
        <v>85.357268567405839</v>
      </c>
      <c r="K41" s="137">
        <f t="shared" si="18"/>
        <v>170.71453713481168</v>
      </c>
      <c r="L41" s="137">
        <f t="shared" si="18"/>
        <v>341.42907426962336</v>
      </c>
      <c r="M41" s="137">
        <f t="shared" si="18"/>
        <v>15.36430834213305</v>
      </c>
      <c r="N41" s="137">
        <f t="shared" si="18"/>
        <v>25.60718057022175</v>
      </c>
      <c r="O41" s="137">
        <f t="shared" si="18"/>
        <v>1519.02</v>
      </c>
      <c r="P41" s="144"/>
      <c r="Q41" s="145"/>
      <c r="R41" s="144"/>
      <c r="S41" s="144"/>
      <c r="T41" s="144"/>
      <c r="U41" s="144"/>
      <c r="V41" s="144"/>
      <c r="W41" s="144"/>
      <c r="X41" s="144"/>
      <c r="Y41" s="144"/>
      <c r="Z41" s="144"/>
      <c r="AA41" s="144"/>
      <c r="AB41" s="144"/>
    </row>
    <row r="42" spans="1:28" x14ac:dyDescent="0.2">
      <c r="A42" s="144"/>
      <c r="B42" s="144"/>
      <c r="C42" s="144"/>
      <c r="D42" s="144"/>
      <c r="E42" s="144"/>
      <c r="F42" s="144"/>
      <c r="G42" s="144"/>
      <c r="H42" s="144"/>
      <c r="I42" s="144"/>
      <c r="J42" s="144"/>
      <c r="K42" s="144"/>
      <c r="L42" s="144"/>
      <c r="M42" s="144"/>
      <c r="N42" s="144"/>
      <c r="O42" s="144"/>
      <c r="P42" s="144"/>
      <c r="Q42" s="145"/>
      <c r="R42" s="144"/>
      <c r="S42" s="144"/>
      <c r="T42" s="144"/>
      <c r="U42" s="144"/>
      <c r="V42" s="144"/>
      <c r="W42" s="144"/>
      <c r="X42" s="144"/>
      <c r="Y42" s="144"/>
      <c r="Z42" s="144"/>
      <c r="AA42" s="144"/>
      <c r="AB42" s="144"/>
    </row>
    <row r="43" spans="1:28" x14ac:dyDescent="0.2">
      <c r="A43" s="144"/>
      <c r="B43" s="144"/>
      <c r="C43" s="144"/>
      <c r="D43" s="144"/>
      <c r="E43" s="144"/>
      <c r="F43" s="144"/>
      <c r="G43" s="144"/>
      <c r="H43" s="144"/>
      <c r="I43" s="144"/>
      <c r="J43" s="144"/>
      <c r="K43" s="144"/>
      <c r="L43" s="144"/>
      <c r="M43" s="144"/>
      <c r="N43" s="144"/>
      <c r="O43" s="144"/>
      <c r="P43" s="144"/>
      <c r="Q43" s="145"/>
      <c r="R43" s="144"/>
      <c r="S43" s="144"/>
      <c r="T43" s="144"/>
      <c r="U43" s="144"/>
      <c r="V43" s="144"/>
      <c r="W43" s="144"/>
      <c r="X43" s="144"/>
      <c r="Y43" s="144"/>
      <c r="Z43" s="144"/>
      <c r="AA43" s="144"/>
      <c r="AB43" s="144"/>
    </row>
    <row r="44" spans="1:28" x14ac:dyDescent="0.2">
      <c r="A44" s="144"/>
      <c r="B44" s="144"/>
      <c r="C44" s="144"/>
      <c r="D44" s="144"/>
      <c r="E44" s="144"/>
      <c r="F44" s="144"/>
      <c r="G44" s="144"/>
      <c r="H44" s="144"/>
      <c r="I44" s="144"/>
      <c r="J44" s="144"/>
      <c r="K44" s="144"/>
      <c r="L44" s="144"/>
      <c r="M44" s="144"/>
      <c r="N44" s="144"/>
      <c r="O44" s="144"/>
      <c r="P44" s="144"/>
      <c r="Q44" s="145"/>
      <c r="R44" s="144"/>
      <c r="S44" s="144"/>
      <c r="T44" s="144"/>
      <c r="U44" s="144"/>
      <c r="V44" s="144"/>
      <c r="W44" s="144"/>
      <c r="X44" s="144"/>
      <c r="Y44" s="144"/>
      <c r="Z44" s="144"/>
      <c r="AA44" s="144"/>
      <c r="AB44" s="144"/>
    </row>
    <row r="45" spans="1:28" x14ac:dyDescent="0.2">
      <c r="A45" s="144"/>
      <c r="B45" s="144"/>
      <c r="C45" s="144"/>
      <c r="D45" s="144"/>
      <c r="E45" s="144"/>
      <c r="F45" s="144"/>
      <c r="G45" s="144"/>
      <c r="H45" s="144"/>
      <c r="I45" s="144"/>
      <c r="J45" s="144"/>
      <c r="K45" s="144"/>
      <c r="L45" s="144"/>
      <c r="M45" s="144"/>
      <c r="N45" s="144"/>
      <c r="O45" s="144"/>
      <c r="P45" s="144"/>
      <c r="Q45" s="145"/>
      <c r="R45" s="144"/>
      <c r="S45" s="144"/>
      <c r="T45" s="144"/>
      <c r="U45" s="144"/>
      <c r="V45" s="144"/>
      <c r="W45" s="144"/>
      <c r="X45" s="144"/>
      <c r="Y45" s="144"/>
      <c r="Z45" s="144"/>
      <c r="AA45" s="144"/>
      <c r="AB45" s="144"/>
    </row>
    <row r="46" spans="1:28" x14ac:dyDescent="0.2">
      <c r="A46" s="144"/>
      <c r="B46" s="144"/>
      <c r="C46" s="144"/>
      <c r="D46" s="144"/>
      <c r="E46" s="144"/>
      <c r="F46" s="144"/>
      <c r="G46" s="144"/>
      <c r="H46" s="144"/>
      <c r="I46" s="144"/>
      <c r="J46" s="144"/>
      <c r="K46" s="144"/>
      <c r="L46" s="144"/>
      <c r="M46" s="144"/>
      <c r="N46" s="144"/>
      <c r="O46" s="144"/>
      <c r="P46" s="144"/>
      <c r="Q46" s="145"/>
      <c r="R46" s="144"/>
      <c r="S46" s="144"/>
      <c r="T46" s="144"/>
      <c r="U46" s="144"/>
      <c r="V46" s="144"/>
      <c r="W46" s="144"/>
      <c r="X46" s="144"/>
      <c r="Y46" s="144"/>
      <c r="Z46" s="144"/>
      <c r="AA46" s="144"/>
      <c r="AB46" s="144"/>
    </row>
    <row r="47" spans="1:28" x14ac:dyDescent="0.2">
      <c r="A47" s="144"/>
      <c r="B47" s="144"/>
      <c r="C47" s="144"/>
      <c r="D47" s="144"/>
      <c r="E47" s="144"/>
      <c r="F47" s="144"/>
      <c r="G47" s="144"/>
      <c r="H47" s="144"/>
      <c r="I47" s="144"/>
      <c r="J47" s="144"/>
      <c r="K47" s="144"/>
      <c r="L47" s="144"/>
      <c r="M47" s="144"/>
      <c r="N47" s="144"/>
      <c r="O47" s="144"/>
      <c r="P47" s="144"/>
      <c r="Q47" s="145"/>
      <c r="R47" s="144"/>
      <c r="S47" s="144"/>
      <c r="T47" s="144"/>
      <c r="U47" s="144"/>
      <c r="V47" s="144"/>
      <c r="W47" s="144"/>
      <c r="X47" s="144"/>
      <c r="Y47" s="144"/>
      <c r="Z47" s="144"/>
      <c r="AA47" s="144"/>
      <c r="AB47" s="144"/>
    </row>
    <row r="48" spans="1:28" x14ac:dyDescent="0.2">
      <c r="A48" s="144"/>
      <c r="B48" s="144"/>
      <c r="C48" s="144"/>
      <c r="D48" s="144"/>
      <c r="E48" s="144"/>
      <c r="F48" s="144"/>
      <c r="G48" s="144"/>
      <c r="H48" s="144"/>
      <c r="I48" s="144"/>
      <c r="J48" s="144"/>
      <c r="K48" s="144"/>
      <c r="L48" s="144"/>
      <c r="M48" s="144"/>
      <c r="N48" s="144"/>
      <c r="O48" s="144"/>
      <c r="P48" s="144"/>
      <c r="Q48" s="145"/>
      <c r="R48" s="144"/>
      <c r="S48" s="144"/>
      <c r="T48" s="144"/>
      <c r="U48" s="144"/>
      <c r="V48" s="144"/>
      <c r="W48" s="144"/>
      <c r="X48" s="144"/>
      <c r="Y48" s="144"/>
      <c r="Z48" s="144"/>
      <c r="AA48" s="144"/>
      <c r="AB48" s="144"/>
    </row>
    <row r="49" spans="1:28" x14ac:dyDescent="0.2">
      <c r="A49" s="144"/>
      <c r="B49" s="144"/>
      <c r="C49" s="144"/>
      <c r="D49" s="144"/>
      <c r="E49" s="144"/>
      <c r="F49" s="144"/>
      <c r="G49" s="144"/>
      <c r="H49" s="144"/>
      <c r="I49" s="144"/>
      <c r="J49" s="144"/>
      <c r="K49" s="144"/>
      <c r="L49" s="144"/>
      <c r="M49" s="144"/>
      <c r="N49" s="144"/>
      <c r="O49" s="144"/>
      <c r="P49" s="144"/>
      <c r="Q49" s="145"/>
      <c r="R49" s="144"/>
      <c r="S49" s="144"/>
      <c r="T49" s="144"/>
      <c r="U49" s="144"/>
      <c r="V49" s="144"/>
      <c r="W49" s="144"/>
      <c r="X49" s="144"/>
      <c r="Y49" s="144"/>
      <c r="Z49" s="144"/>
      <c r="AA49" s="144"/>
      <c r="AB49" s="144"/>
    </row>
    <row r="50" spans="1:28" x14ac:dyDescent="0.2">
      <c r="A50" s="144"/>
      <c r="B50" s="144"/>
      <c r="C50" s="144"/>
      <c r="D50" s="144"/>
      <c r="E50" s="144"/>
      <c r="F50" s="144"/>
      <c r="G50" s="144"/>
      <c r="H50" s="144"/>
      <c r="I50" s="144"/>
      <c r="J50" s="144"/>
      <c r="K50" s="144"/>
      <c r="L50" s="144"/>
      <c r="M50" s="144"/>
      <c r="N50" s="144"/>
      <c r="O50" s="144"/>
      <c r="P50" s="144"/>
      <c r="Q50" s="145"/>
      <c r="R50" s="144"/>
      <c r="S50" s="144"/>
      <c r="T50" s="144"/>
      <c r="U50" s="144"/>
      <c r="V50" s="144"/>
      <c r="W50" s="144"/>
      <c r="X50" s="144"/>
      <c r="Y50" s="144"/>
      <c r="Z50" s="144"/>
      <c r="AA50" s="144"/>
      <c r="AB50" s="144"/>
    </row>
    <row r="51" spans="1:28" x14ac:dyDescent="0.2">
      <c r="A51" s="144"/>
      <c r="B51" s="144"/>
      <c r="C51" s="144"/>
      <c r="D51" s="144"/>
      <c r="E51" s="144"/>
      <c r="F51" s="144"/>
      <c r="G51" s="144"/>
      <c r="H51" s="144"/>
      <c r="I51" s="144"/>
      <c r="J51" s="144"/>
      <c r="K51" s="144"/>
      <c r="L51" s="144"/>
      <c r="M51" s="144"/>
      <c r="N51" s="144"/>
      <c r="O51" s="144"/>
      <c r="P51" s="144"/>
      <c r="Q51" s="145"/>
      <c r="R51" s="144"/>
      <c r="S51" s="144"/>
      <c r="T51" s="144"/>
      <c r="U51" s="144"/>
      <c r="V51" s="144"/>
      <c r="W51" s="144"/>
      <c r="X51" s="144"/>
      <c r="Y51" s="144"/>
      <c r="Z51" s="144"/>
      <c r="AA51" s="144"/>
      <c r="AB51" s="144"/>
    </row>
    <row r="52" spans="1:28" x14ac:dyDescent="0.2">
      <c r="A52" s="144"/>
      <c r="B52" s="144"/>
      <c r="C52" s="144"/>
      <c r="D52" s="144"/>
      <c r="E52" s="144"/>
      <c r="F52" s="144"/>
      <c r="G52" s="144"/>
      <c r="H52" s="144"/>
      <c r="I52" s="144"/>
      <c r="J52" s="144"/>
      <c r="K52" s="144"/>
      <c r="L52" s="144"/>
      <c r="M52" s="144"/>
      <c r="N52" s="144"/>
      <c r="O52" s="144"/>
      <c r="P52" s="144"/>
      <c r="Q52" s="145"/>
      <c r="R52" s="144"/>
      <c r="S52" s="144"/>
      <c r="T52" s="144"/>
      <c r="U52" s="144"/>
      <c r="V52" s="144"/>
      <c r="W52" s="144"/>
      <c r="X52" s="144"/>
      <c r="Y52" s="144"/>
      <c r="Z52" s="144"/>
      <c r="AA52" s="144"/>
      <c r="AB52" s="144"/>
    </row>
    <row r="53" spans="1:28" x14ac:dyDescent="0.2">
      <c r="A53" s="144"/>
      <c r="B53" s="144"/>
      <c r="C53" s="144"/>
      <c r="D53" s="144"/>
      <c r="E53" s="144"/>
      <c r="F53" s="144"/>
      <c r="G53" s="144"/>
      <c r="H53" s="144"/>
      <c r="I53" s="144"/>
      <c r="J53" s="144"/>
      <c r="K53" s="144"/>
      <c r="L53" s="144"/>
      <c r="M53" s="144"/>
      <c r="N53" s="144"/>
      <c r="O53" s="144"/>
      <c r="P53" s="144"/>
      <c r="Q53" s="145"/>
      <c r="R53" s="144"/>
      <c r="S53" s="144"/>
      <c r="T53" s="144"/>
      <c r="U53" s="144"/>
      <c r="V53" s="144"/>
      <c r="W53" s="144"/>
      <c r="X53" s="144"/>
      <c r="Y53" s="144"/>
      <c r="Z53" s="144"/>
      <c r="AA53" s="144"/>
      <c r="AB53" s="144"/>
    </row>
    <row r="54" spans="1:28" x14ac:dyDescent="0.2">
      <c r="A54" s="144"/>
      <c r="B54" s="144"/>
      <c r="C54" s="144"/>
      <c r="D54" s="144"/>
      <c r="E54" s="144"/>
      <c r="F54" s="144"/>
      <c r="G54" s="144"/>
      <c r="H54" s="144"/>
      <c r="I54" s="144"/>
      <c r="J54" s="144"/>
      <c r="K54" s="144"/>
      <c r="L54" s="144"/>
      <c r="M54" s="144"/>
      <c r="N54" s="144"/>
      <c r="O54" s="144"/>
      <c r="P54" s="144"/>
      <c r="Q54" s="145"/>
      <c r="R54" s="144"/>
      <c r="S54" s="144"/>
      <c r="T54" s="144"/>
      <c r="U54" s="144"/>
      <c r="V54" s="144"/>
      <c r="W54" s="144"/>
      <c r="X54" s="144"/>
      <c r="Y54" s="144"/>
      <c r="Z54" s="144"/>
      <c r="AA54" s="144"/>
      <c r="AB54" s="144"/>
    </row>
    <row r="55" spans="1:28" x14ac:dyDescent="0.2">
      <c r="A55" s="144"/>
      <c r="B55" s="144"/>
      <c r="C55" s="144"/>
      <c r="D55" s="144"/>
      <c r="E55" s="144"/>
      <c r="F55" s="144"/>
      <c r="G55" s="144"/>
      <c r="H55" s="144"/>
      <c r="I55" s="144"/>
      <c r="J55" s="144"/>
      <c r="K55" s="144"/>
      <c r="L55" s="144"/>
      <c r="M55" s="144"/>
      <c r="N55" s="144"/>
      <c r="O55" s="144"/>
      <c r="P55" s="144"/>
      <c r="Q55" s="145"/>
      <c r="R55" s="144"/>
      <c r="S55" s="144"/>
      <c r="T55" s="144"/>
      <c r="U55" s="144"/>
      <c r="V55" s="144"/>
      <c r="W55" s="144"/>
      <c r="X55" s="144"/>
      <c r="Y55" s="144"/>
      <c r="Z55" s="144"/>
      <c r="AA55" s="144"/>
      <c r="AB55" s="144"/>
    </row>
    <row r="56" spans="1:28" x14ac:dyDescent="0.2">
      <c r="A56" s="144"/>
      <c r="B56" s="144"/>
      <c r="C56" s="144"/>
      <c r="D56" s="144"/>
      <c r="E56" s="144"/>
      <c r="F56" s="144"/>
      <c r="G56" s="144"/>
      <c r="H56" s="144"/>
      <c r="I56" s="144"/>
      <c r="J56" s="144"/>
      <c r="K56" s="144"/>
      <c r="L56" s="144"/>
      <c r="M56" s="144"/>
      <c r="N56" s="144"/>
      <c r="O56" s="144"/>
      <c r="P56" s="144"/>
      <c r="Q56" s="145"/>
      <c r="R56" s="144"/>
      <c r="S56" s="144"/>
      <c r="T56" s="144"/>
      <c r="U56" s="144"/>
      <c r="V56" s="144"/>
      <c r="W56" s="144"/>
      <c r="X56" s="144"/>
      <c r="Y56" s="144"/>
      <c r="Z56" s="144"/>
      <c r="AA56" s="144"/>
      <c r="AB56" s="144"/>
    </row>
    <row r="57" spans="1:28" x14ac:dyDescent="0.2">
      <c r="A57" s="144"/>
      <c r="B57" s="144"/>
      <c r="C57" s="144"/>
      <c r="D57" s="144"/>
      <c r="E57" s="144"/>
      <c r="F57" s="144"/>
      <c r="G57" s="144"/>
      <c r="H57" s="144"/>
      <c r="I57" s="144"/>
      <c r="J57" s="144"/>
      <c r="K57" s="144"/>
      <c r="L57" s="144"/>
      <c r="M57" s="144"/>
      <c r="N57" s="144"/>
      <c r="O57" s="144"/>
      <c r="P57" s="144"/>
      <c r="Q57" s="145"/>
      <c r="R57" s="144"/>
      <c r="S57" s="144"/>
      <c r="T57" s="144"/>
      <c r="U57" s="144"/>
      <c r="V57" s="144"/>
      <c r="W57" s="144"/>
      <c r="X57" s="144"/>
      <c r="Y57" s="144"/>
      <c r="Z57" s="144"/>
      <c r="AA57" s="144"/>
      <c r="AB57" s="144"/>
    </row>
  </sheetData>
  <mergeCells count="19">
    <mergeCell ref="B2:N2"/>
    <mergeCell ref="C39:I39"/>
    <mergeCell ref="B32:B39"/>
    <mergeCell ref="C22:G22"/>
    <mergeCell ref="C16:G16"/>
    <mergeCell ref="C34:I34"/>
    <mergeCell ref="C37:I37"/>
    <mergeCell ref="C29:I29"/>
    <mergeCell ref="C7:G7"/>
    <mergeCell ref="C10:G10"/>
    <mergeCell ref="C31:I31"/>
    <mergeCell ref="B27:B31"/>
    <mergeCell ref="C24:G24"/>
    <mergeCell ref="C41:I41"/>
    <mergeCell ref="B40:B41"/>
    <mergeCell ref="C13:G13"/>
    <mergeCell ref="C19:G19"/>
    <mergeCell ref="C26:G26"/>
    <mergeCell ref="B5:B26"/>
  </mergeCells>
  <pageMargins left="0.7" right="0.7" top="0.75" bottom="0.75" header="0.3" footer="0.3"/>
  <pageSetup paperSize="0" orientation="portrait" horizontalDpi="0" verticalDpi="0" copies="0"/>
  <ignoredErrors>
    <ignoredError sqref="H7:K13 L7:L13 J27:L29 J22:L22 J32:L38 H16:L16 L14:L15 J39:L39"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9" tint="-0.249977111117893"/>
  </sheetPr>
  <dimension ref="A1:ARM39"/>
  <sheetViews>
    <sheetView topLeftCell="DJ1" zoomScale="73" zoomScaleNormal="73" workbookViewId="0">
      <selection activeCell="DL34" sqref="DL34"/>
    </sheetView>
  </sheetViews>
  <sheetFormatPr defaultColWidth="3.59765625" defaultRowHeight="14.25" x14ac:dyDescent="0.2"/>
  <cols>
    <col min="1" max="1" width="3.5" style="4" bestFit="1" customWidth="1"/>
    <col min="2" max="2" width="11.8984375" style="4" customWidth="1"/>
    <col min="3" max="3" width="6.3984375" style="4" customWidth="1"/>
    <col min="4" max="4" width="11.5" style="4" customWidth="1"/>
    <col min="5" max="5" width="15.09765625" style="4" bestFit="1" customWidth="1"/>
    <col min="6" max="6" width="16.296875" style="4" bestFit="1" customWidth="1"/>
    <col min="7" max="7" width="1.796875" style="4" customWidth="1"/>
    <col min="8" max="8" width="19.796875" style="4" customWidth="1"/>
    <col min="9" max="9" width="13.796875" style="4" bestFit="1" customWidth="1"/>
    <col min="10" max="11" width="12.8984375" style="4" customWidth="1"/>
    <col min="12" max="12" width="3.5" style="4" bestFit="1" customWidth="1"/>
    <col min="13" max="13" width="11.8984375" style="4" customWidth="1"/>
    <col min="14" max="14" width="6.3984375" style="4" customWidth="1"/>
    <col min="15" max="15" width="11.5" style="4" customWidth="1"/>
    <col min="16" max="16" width="15.09765625" style="4" bestFit="1" customWidth="1"/>
    <col min="17" max="17" width="19.296875" style="4" customWidth="1"/>
    <col min="18" max="18" width="1.796875" style="4" customWidth="1"/>
    <col min="19" max="19" width="19.796875" style="4" customWidth="1"/>
    <col min="20" max="20" width="14.3984375" style="4" bestFit="1" customWidth="1"/>
    <col min="21" max="22" width="12.8984375" style="4" customWidth="1"/>
    <col min="23" max="23" width="3.5" style="4" bestFit="1" customWidth="1"/>
    <col min="24" max="24" width="11.8984375" style="4" customWidth="1"/>
    <col min="25" max="25" width="6.3984375" style="4" customWidth="1"/>
    <col min="26" max="26" width="11.5" style="4" customWidth="1"/>
    <col min="27" max="27" width="15.09765625" style="4" bestFit="1" customWidth="1"/>
    <col min="28" max="28" width="18.8984375" style="4" customWidth="1"/>
    <col min="29" max="29" width="1.796875" style="4" customWidth="1"/>
    <col min="30" max="30" width="19.796875" style="4" customWidth="1"/>
    <col min="31" max="31" width="14.3984375" style="4" bestFit="1" customWidth="1"/>
    <col min="32" max="33" width="12.8984375" style="4" customWidth="1"/>
    <col min="34" max="34" width="3.5" style="4" bestFit="1" customWidth="1"/>
    <col min="35" max="35" width="11.8984375" style="4" customWidth="1"/>
    <col min="36" max="36" width="6.3984375" style="4" customWidth="1"/>
    <col min="37" max="37" width="11.5" style="4" customWidth="1"/>
    <col min="38" max="38" width="15.09765625" style="4" bestFit="1" customWidth="1"/>
    <col min="39" max="39" width="20" style="4" customWidth="1"/>
    <col min="40" max="40" width="1.796875" style="4" customWidth="1"/>
    <col min="41" max="41" width="19.796875" style="4" customWidth="1"/>
    <col min="42" max="42" width="14.3984375" style="4" bestFit="1" customWidth="1"/>
    <col min="43" max="44" width="12.8984375" style="4" customWidth="1"/>
    <col min="45" max="45" width="3.5" style="4" bestFit="1" customWidth="1"/>
    <col min="46" max="46" width="11.8984375" style="4" customWidth="1"/>
    <col min="47" max="47" width="6.3984375" style="4" customWidth="1"/>
    <col min="48" max="48" width="11.5" style="4" customWidth="1"/>
    <col min="49" max="49" width="15.09765625" style="4" bestFit="1" customWidth="1"/>
    <col min="50" max="50" width="17.69921875" style="4" bestFit="1" customWidth="1"/>
    <col min="51" max="51" width="1.796875" style="4" customWidth="1"/>
    <col min="52" max="52" width="19.796875" style="4" customWidth="1"/>
    <col min="53" max="53" width="14.3984375" style="4" bestFit="1" customWidth="1"/>
    <col min="54" max="55" width="12.8984375" style="4" customWidth="1"/>
    <col min="56" max="56" width="3.5" style="4" bestFit="1" customWidth="1"/>
    <col min="57" max="57" width="11.8984375" style="4" customWidth="1"/>
    <col min="58" max="58" width="6.3984375" style="4" customWidth="1"/>
    <col min="59" max="59" width="11.5" style="4" customWidth="1"/>
    <col min="60" max="60" width="15.09765625" style="4" bestFit="1" customWidth="1"/>
    <col min="61" max="61" width="17.69921875" style="4" bestFit="1" customWidth="1"/>
    <col min="62" max="62" width="1.796875" style="4" customWidth="1"/>
    <col min="63" max="63" width="19.796875" style="4" customWidth="1"/>
    <col min="64" max="64" width="14.3984375" style="4" bestFit="1" customWidth="1"/>
    <col min="65" max="66" width="12.8984375" style="4" customWidth="1"/>
    <col min="67" max="67" width="3.5" style="4" bestFit="1" customWidth="1"/>
    <col min="68" max="68" width="11.8984375" style="4" customWidth="1"/>
    <col min="69" max="69" width="6.3984375" style="4" customWidth="1"/>
    <col min="70" max="70" width="11.5" style="4" customWidth="1"/>
    <col min="71" max="71" width="15.09765625" style="4" bestFit="1" customWidth="1"/>
    <col min="72" max="72" width="17.69921875" style="4" bestFit="1" customWidth="1"/>
    <col min="73" max="73" width="1.796875" style="4" customWidth="1"/>
    <col min="74" max="74" width="19.796875" style="4" customWidth="1"/>
    <col min="75" max="75" width="14.3984375" style="4" bestFit="1" customWidth="1"/>
    <col min="76" max="77" width="12.8984375" style="4" customWidth="1"/>
    <col min="78" max="78" width="3.5" style="4" customWidth="1"/>
    <col min="79" max="79" width="11.8984375" style="4" customWidth="1"/>
    <col min="80" max="80" width="6.3984375" style="4" customWidth="1"/>
    <col min="81" max="81" width="12.59765625" style="4" customWidth="1"/>
    <col min="82" max="82" width="15.09765625" style="4" bestFit="1" customWidth="1"/>
    <col min="83" max="83" width="19.09765625" style="4" bestFit="1" customWidth="1"/>
    <col min="84" max="84" width="1.796875" style="4" customWidth="1"/>
    <col min="85" max="85" width="19.796875" style="4" customWidth="1"/>
    <col min="86" max="86" width="14.3984375" style="4" bestFit="1" customWidth="1"/>
    <col min="87" max="88" width="12.8984375" style="4" customWidth="1"/>
    <col min="89" max="89" width="3.59765625" style="4"/>
    <col min="90" max="90" width="11.8984375" style="4" customWidth="1"/>
    <col min="91" max="91" width="6.3984375" style="4" customWidth="1"/>
    <col min="92" max="92" width="11.5" style="4" customWidth="1"/>
    <col min="93" max="93" width="15.09765625" style="4" bestFit="1" customWidth="1"/>
    <col min="94" max="94" width="17.69921875" style="4" bestFit="1" customWidth="1"/>
    <col min="95" max="95" width="1.796875" style="4" customWidth="1"/>
    <col min="96" max="96" width="19.796875" style="4" customWidth="1"/>
    <col min="97" max="97" width="14.3984375" style="4" bestFit="1" customWidth="1"/>
    <col min="98" max="99" width="12.8984375" style="4" customWidth="1"/>
    <col min="100" max="100" width="3.59765625" style="4"/>
    <col min="101" max="101" width="11.8984375" style="4" customWidth="1"/>
    <col min="102" max="102" width="6.3984375" style="4" customWidth="1"/>
    <col min="103" max="103" width="12.59765625" style="4" customWidth="1"/>
    <col min="104" max="104" width="15.09765625" style="4" bestFit="1" customWidth="1"/>
    <col min="105" max="105" width="19.09765625" style="4" bestFit="1" customWidth="1"/>
    <col min="106" max="106" width="1.796875" style="4" customWidth="1"/>
    <col min="107" max="107" width="19.796875" style="4" customWidth="1"/>
    <col min="108" max="108" width="14.3984375" style="4" bestFit="1" customWidth="1"/>
    <col min="109" max="110" width="12.8984375" style="4" customWidth="1"/>
    <col min="111" max="111" width="3.59765625" style="4"/>
    <col min="112" max="112" width="3.5" style="4" customWidth="1"/>
    <col min="113" max="113" width="11.8984375" style="4" customWidth="1"/>
    <col min="114" max="114" width="6.3984375" style="4" customWidth="1"/>
    <col min="115" max="115" width="12.59765625" style="4" customWidth="1"/>
    <col min="116" max="116" width="15.09765625" style="4" bestFit="1" customWidth="1"/>
    <col min="117" max="117" width="19.09765625" style="4" bestFit="1" customWidth="1"/>
    <col min="118" max="118" width="1.796875" style="4" customWidth="1"/>
    <col min="119" max="119" width="19.796875" style="4" customWidth="1"/>
    <col min="120" max="120" width="14.3984375" style="4" bestFit="1" customWidth="1"/>
    <col min="121" max="122" width="12.8984375" style="4" customWidth="1"/>
    <col min="123" max="1157" width="3.59765625" style="4"/>
    <col min="1158" max="16384" width="3.59765625" style="2"/>
  </cols>
  <sheetData>
    <row r="1" spans="1:122" ht="15" thickBot="1" x14ac:dyDescent="0.25"/>
    <row r="2" spans="1:122" ht="15" thickBot="1" x14ac:dyDescent="0.25">
      <c r="B2" s="419" t="s">
        <v>270</v>
      </c>
      <c r="C2" s="420"/>
      <c r="D2" s="420"/>
      <c r="E2" s="420"/>
      <c r="F2" s="420"/>
      <c r="G2" s="420"/>
      <c r="H2" s="420"/>
      <c r="I2" s="420"/>
      <c r="J2" s="420"/>
      <c r="K2" s="421"/>
      <c r="M2" s="419" t="s">
        <v>271</v>
      </c>
      <c r="N2" s="420"/>
      <c r="O2" s="420"/>
      <c r="P2" s="420"/>
      <c r="Q2" s="420"/>
      <c r="R2" s="420"/>
      <c r="S2" s="420"/>
      <c r="T2" s="420"/>
      <c r="U2" s="420"/>
      <c r="V2" s="421"/>
      <c r="X2" s="419" t="s">
        <v>272</v>
      </c>
      <c r="Y2" s="420"/>
      <c r="Z2" s="420"/>
      <c r="AA2" s="420"/>
      <c r="AB2" s="420"/>
      <c r="AC2" s="420"/>
      <c r="AD2" s="420"/>
      <c r="AE2" s="420"/>
      <c r="AF2" s="420"/>
      <c r="AG2" s="421"/>
      <c r="AI2" s="419" t="s">
        <v>273</v>
      </c>
      <c r="AJ2" s="420"/>
      <c r="AK2" s="420"/>
      <c r="AL2" s="420"/>
      <c r="AM2" s="420"/>
      <c r="AN2" s="420"/>
      <c r="AO2" s="420"/>
      <c r="AP2" s="420"/>
      <c r="AQ2" s="420"/>
      <c r="AR2" s="421"/>
      <c r="AT2" s="419" t="s">
        <v>274</v>
      </c>
      <c r="AU2" s="420"/>
      <c r="AV2" s="420"/>
      <c r="AW2" s="420"/>
      <c r="AX2" s="420"/>
      <c r="AY2" s="420"/>
      <c r="AZ2" s="420"/>
      <c r="BA2" s="420"/>
      <c r="BB2" s="420"/>
      <c r="BC2" s="421"/>
      <c r="BE2" s="419" t="s">
        <v>275</v>
      </c>
      <c r="BF2" s="420"/>
      <c r="BG2" s="420"/>
      <c r="BH2" s="420"/>
      <c r="BI2" s="420"/>
      <c r="BJ2" s="420"/>
      <c r="BK2" s="420"/>
      <c r="BL2" s="420"/>
      <c r="BM2" s="420"/>
      <c r="BN2" s="421"/>
      <c r="BP2" s="419" t="s">
        <v>276</v>
      </c>
      <c r="BQ2" s="420"/>
      <c r="BR2" s="420"/>
      <c r="BS2" s="420"/>
      <c r="BT2" s="420"/>
      <c r="BU2" s="420"/>
      <c r="BV2" s="420"/>
      <c r="BW2" s="420"/>
      <c r="BX2" s="420"/>
      <c r="BY2" s="421"/>
      <c r="CA2" s="419" t="s">
        <v>277</v>
      </c>
      <c r="CB2" s="420"/>
      <c r="CC2" s="420"/>
      <c r="CD2" s="420"/>
      <c r="CE2" s="420"/>
      <c r="CF2" s="420"/>
      <c r="CG2" s="420"/>
      <c r="CH2" s="420"/>
      <c r="CI2" s="420"/>
      <c r="CJ2" s="421"/>
      <c r="CL2" s="419" t="s">
        <v>278</v>
      </c>
      <c r="CM2" s="420"/>
      <c r="CN2" s="420"/>
      <c r="CO2" s="420"/>
      <c r="CP2" s="420"/>
      <c r="CQ2" s="420"/>
      <c r="CR2" s="420"/>
      <c r="CS2" s="420"/>
      <c r="CT2" s="420"/>
      <c r="CU2" s="421"/>
      <c r="CW2" s="419" t="s">
        <v>279</v>
      </c>
      <c r="CX2" s="420"/>
      <c r="CY2" s="420"/>
      <c r="CZ2" s="420"/>
      <c r="DA2" s="420"/>
      <c r="DB2" s="420"/>
      <c r="DC2" s="420"/>
      <c r="DD2" s="420"/>
      <c r="DE2" s="420"/>
      <c r="DF2" s="421"/>
      <c r="DI2" s="419" t="s">
        <v>280</v>
      </c>
      <c r="DJ2" s="420"/>
      <c r="DK2" s="420"/>
      <c r="DL2" s="420"/>
      <c r="DM2" s="420"/>
      <c r="DN2" s="420"/>
      <c r="DO2" s="420"/>
      <c r="DP2" s="420"/>
      <c r="DQ2" s="420"/>
      <c r="DR2" s="421"/>
    </row>
    <row r="3" spans="1:122" ht="8.25" customHeight="1" thickBot="1" x14ac:dyDescent="0.25"/>
    <row r="4" spans="1:122" ht="15" thickBot="1" x14ac:dyDescent="0.25">
      <c r="A4" s="382"/>
      <c r="B4" s="488" t="s">
        <v>281</v>
      </c>
      <c r="C4" s="489"/>
      <c r="D4" s="489"/>
      <c r="E4" s="489"/>
      <c r="F4" s="490"/>
      <c r="G4" s="382"/>
      <c r="H4" s="491" t="s">
        <v>21</v>
      </c>
      <c r="I4" s="492"/>
      <c r="J4" s="493"/>
      <c r="K4" s="494"/>
      <c r="L4" s="382"/>
      <c r="M4" s="488" t="s">
        <v>281</v>
      </c>
      <c r="N4" s="489"/>
      <c r="O4" s="489"/>
      <c r="P4" s="489"/>
      <c r="Q4" s="490"/>
      <c r="R4" s="382"/>
      <c r="S4" s="491" t="s">
        <v>21</v>
      </c>
      <c r="T4" s="492"/>
      <c r="U4" s="493"/>
      <c r="V4" s="494"/>
      <c r="W4" s="382"/>
      <c r="X4" s="488" t="s">
        <v>281</v>
      </c>
      <c r="Y4" s="489"/>
      <c r="Z4" s="489"/>
      <c r="AA4" s="489"/>
      <c r="AB4" s="490"/>
      <c r="AC4" s="382"/>
      <c r="AD4" s="491" t="s">
        <v>21</v>
      </c>
      <c r="AE4" s="492"/>
      <c r="AF4" s="493"/>
      <c r="AG4" s="494"/>
      <c r="AH4" s="382"/>
      <c r="AI4" s="488" t="s">
        <v>281</v>
      </c>
      <c r="AJ4" s="489"/>
      <c r="AK4" s="489"/>
      <c r="AL4" s="489"/>
      <c r="AM4" s="490"/>
      <c r="AN4" s="382"/>
      <c r="AO4" s="491" t="s">
        <v>21</v>
      </c>
      <c r="AP4" s="492"/>
      <c r="AQ4" s="493"/>
      <c r="AR4" s="494"/>
      <c r="AS4" s="382"/>
      <c r="AT4" s="488" t="s">
        <v>281</v>
      </c>
      <c r="AU4" s="489"/>
      <c r="AV4" s="489"/>
      <c r="AW4" s="489"/>
      <c r="AX4" s="490"/>
      <c r="AY4" s="382"/>
      <c r="AZ4" s="491" t="s">
        <v>21</v>
      </c>
      <c r="BA4" s="492"/>
      <c r="BB4" s="493"/>
      <c r="BC4" s="494"/>
      <c r="BD4" s="382"/>
      <c r="BE4" s="488" t="s">
        <v>281</v>
      </c>
      <c r="BF4" s="489"/>
      <c r="BG4" s="489"/>
      <c r="BH4" s="489"/>
      <c r="BI4" s="490"/>
      <c r="BJ4" s="382"/>
      <c r="BK4" s="491" t="s">
        <v>21</v>
      </c>
      <c r="BL4" s="492"/>
      <c r="BM4" s="493"/>
      <c r="BN4" s="494"/>
      <c r="BO4" s="382"/>
      <c r="BP4" s="488" t="s">
        <v>281</v>
      </c>
      <c r="BQ4" s="489"/>
      <c r="BR4" s="489"/>
      <c r="BS4" s="489"/>
      <c r="BT4" s="490"/>
      <c r="BU4" s="382"/>
      <c r="BV4" s="491" t="s">
        <v>21</v>
      </c>
      <c r="BW4" s="492"/>
      <c r="BX4" s="493"/>
      <c r="BY4" s="494"/>
      <c r="BZ4" s="382"/>
      <c r="CA4" s="488" t="s">
        <v>281</v>
      </c>
      <c r="CB4" s="489"/>
      <c r="CC4" s="489"/>
      <c r="CD4" s="489"/>
      <c r="CE4" s="490"/>
      <c r="CF4" s="382"/>
      <c r="CG4" s="491" t="s">
        <v>21</v>
      </c>
      <c r="CH4" s="492"/>
      <c r="CI4" s="493"/>
      <c r="CJ4" s="494"/>
      <c r="CL4" s="488" t="s">
        <v>281</v>
      </c>
      <c r="CM4" s="489"/>
      <c r="CN4" s="489"/>
      <c r="CO4" s="489"/>
      <c r="CP4" s="490"/>
      <c r="CQ4" s="382"/>
      <c r="CR4" s="491" t="s">
        <v>21</v>
      </c>
      <c r="CS4" s="492"/>
      <c r="CT4" s="493"/>
      <c r="CU4" s="494"/>
      <c r="CW4" s="488" t="s">
        <v>281</v>
      </c>
      <c r="CX4" s="489"/>
      <c r="CY4" s="489"/>
      <c r="CZ4" s="489"/>
      <c r="DA4" s="490"/>
      <c r="DB4" s="382"/>
      <c r="DC4" s="491" t="s">
        <v>21</v>
      </c>
      <c r="DD4" s="492"/>
      <c r="DE4" s="493"/>
      <c r="DF4" s="494"/>
      <c r="DH4" s="382"/>
      <c r="DI4" s="488" t="s">
        <v>281</v>
      </c>
      <c r="DJ4" s="489"/>
      <c r="DK4" s="489"/>
      <c r="DL4" s="489"/>
      <c r="DM4" s="490"/>
      <c r="DN4" s="382"/>
      <c r="DO4" s="491" t="s">
        <v>21</v>
      </c>
      <c r="DP4" s="492"/>
      <c r="DQ4" s="493"/>
      <c r="DR4" s="494"/>
    </row>
    <row r="5" spans="1:122" ht="15" thickBot="1" x14ac:dyDescent="0.25">
      <c r="A5" s="382"/>
      <c r="B5" s="15" t="s">
        <v>282</v>
      </c>
      <c r="C5" s="403" t="s">
        <v>283</v>
      </c>
      <c r="D5" s="404"/>
      <c r="E5" s="404"/>
      <c r="F5" s="405"/>
      <c r="G5" s="382"/>
      <c r="H5" s="66" t="s">
        <v>22</v>
      </c>
      <c r="I5" s="67" t="s">
        <v>23</v>
      </c>
      <c r="J5" s="68" t="s">
        <v>24</v>
      </c>
      <c r="K5" s="69" t="s">
        <v>25</v>
      </c>
      <c r="L5" s="382"/>
      <c r="M5" s="15" t="s">
        <v>282</v>
      </c>
      <c r="N5" s="403" t="s">
        <v>284</v>
      </c>
      <c r="O5" s="404"/>
      <c r="P5" s="404"/>
      <c r="Q5" s="405"/>
      <c r="R5" s="382"/>
      <c r="S5" s="66" t="s">
        <v>22</v>
      </c>
      <c r="T5" s="67" t="s">
        <v>23</v>
      </c>
      <c r="U5" s="68" t="s">
        <v>24</v>
      </c>
      <c r="V5" s="69" t="s">
        <v>25</v>
      </c>
      <c r="W5" s="382"/>
      <c r="X5" s="15" t="s">
        <v>282</v>
      </c>
      <c r="Y5" s="403" t="s">
        <v>283</v>
      </c>
      <c r="Z5" s="404"/>
      <c r="AA5" s="404"/>
      <c r="AB5" s="405"/>
      <c r="AC5" s="382"/>
      <c r="AD5" s="66" t="s">
        <v>22</v>
      </c>
      <c r="AE5" s="67" t="s">
        <v>23</v>
      </c>
      <c r="AF5" s="68" t="s">
        <v>24</v>
      </c>
      <c r="AG5" s="69" t="s">
        <v>25</v>
      </c>
      <c r="AH5" s="382"/>
      <c r="AI5" s="15" t="s">
        <v>282</v>
      </c>
      <c r="AJ5" s="403" t="s">
        <v>283</v>
      </c>
      <c r="AK5" s="404"/>
      <c r="AL5" s="404"/>
      <c r="AM5" s="405"/>
      <c r="AN5" s="382"/>
      <c r="AO5" s="66" t="s">
        <v>22</v>
      </c>
      <c r="AP5" s="67" t="s">
        <v>23</v>
      </c>
      <c r="AQ5" s="68" t="s">
        <v>24</v>
      </c>
      <c r="AR5" s="69" t="s">
        <v>25</v>
      </c>
      <c r="AS5" s="382"/>
      <c r="AT5" s="15" t="s">
        <v>282</v>
      </c>
      <c r="AU5" s="403" t="s">
        <v>285</v>
      </c>
      <c r="AV5" s="404"/>
      <c r="AW5" s="404"/>
      <c r="AX5" s="405"/>
      <c r="AY5" s="382"/>
      <c r="AZ5" s="66" t="s">
        <v>22</v>
      </c>
      <c r="BA5" s="67" t="s">
        <v>23</v>
      </c>
      <c r="BB5" s="68" t="s">
        <v>24</v>
      </c>
      <c r="BC5" s="69" t="s">
        <v>25</v>
      </c>
      <c r="BD5" s="382"/>
      <c r="BE5" s="15" t="s">
        <v>282</v>
      </c>
      <c r="BF5" s="403" t="s">
        <v>285</v>
      </c>
      <c r="BG5" s="404"/>
      <c r="BH5" s="404"/>
      <c r="BI5" s="405"/>
      <c r="BJ5" s="382"/>
      <c r="BK5" s="66" t="s">
        <v>22</v>
      </c>
      <c r="BL5" s="67" t="s">
        <v>23</v>
      </c>
      <c r="BM5" s="68" t="s">
        <v>24</v>
      </c>
      <c r="BN5" s="69" t="s">
        <v>25</v>
      </c>
      <c r="BO5" s="382"/>
      <c r="BP5" s="15" t="s">
        <v>282</v>
      </c>
      <c r="BQ5" s="403" t="s">
        <v>285</v>
      </c>
      <c r="BR5" s="404"/>
      <c r="BS5" s="404"/>
      <c r="BT5" s="405"/>
      <c r="BU5" s="382"/>
      <c r="BV5" s="66" t="s">
        <v>22</v>
      </c>
      <c r="BW5" s="67" t="s">
        <v>23</v>
      </c>
      <c r="BX5" s="68" t="s">
        <v>24</v>
      </c>
      <c r="BY5" s="69" t="s">
        <v>25</v>
      </c>
      <c r="BZ5" s="382"/>
      <c r="CA5" s="15" t="s">
        <v>282</v>
      </c>
      <c r="CB5" s="403" t="s">
        <v>285</v>
      </c>
      <c r="CC5" s="404"/>
      <c r="CD5" s="404"/>
      <c r="CE5" s="405"/>
      <c r="CF5" s="382"/>
      <c r="CG5" s="66" t="s">
        <v>22</v>
      </c>
      <c r="CH5" s="67" t="s">
        <v>23</v>
      </c>
      <c r="CI5" s="68" t="s">
        <v>24</v>
      </c>
      <c r="CJ5" s="69" t="s">
        <v>25</v>
      </c>
      <c r="CL5" s="15" t="s">
        <v>282</v>
      </c>
      <c r="CM5" s="403" t="s">
        <v>285</v>
      </c>
      <c r="CN5" s="404"/>
      <c r="CO5" s="404"/>
      <c r="CP5" s="405"/>
      <c r="CQ5" s="382"/>
      <c r="CR5" s="66" t="s">
        <v>22</v>
      </c>
      <c r="CS5" s="67" t="s">
        <v>23</v>
      </c>
      <c r="CT5" s="68" t="s">
        <v>24</v>
      </c>
      <c r="CU5" s="69" t="s">
        <v>25</v>
      </c>
      <c r="CW5" s="15" t="s">
        <v>282</v>
      </c>
      <c r="CX5" s="403" t="s">
        <v>285</v>
      </c>
      <c r="CY5" s="404"/>
      <c r="CZ5" s="404"/>
      <c r="DA5" s="405"/>
      <c r="DB5" s="382"/>
      <c r="DC5" s="66" t="s">
        <v>22</v>
      </c>
      <c r="DD5" s="67" t="s">
        <v>23</v>
      </c>
      <c r="DE5" s="68" t="s">
        <v>24</v>
      </c>
      <c r="DF5" s="69" t="s">
        <v>25</v>
      </c>
      <c r="DH5" s="382"/>
      <c r="DI5" s="15" t="s">
        <v>282</v>
      </c>
      <c r="DJ5" s="403" t="s">
        <v>285</v>
      </c>
      <c r="DK5" s="404"/>
      <c r="DL5" s="404"/>
      <c r="DM5" s="405"/>
      <c r="DN5" s="382"/>
      <c r="DO5" s="66" t="s">
        <v>22</v>
      </c>
      <c r="DP5" s="67" t="s">
        <v>23</v>
      </c>
      <c r="DQ5" s="68" t="s">
        <v>24</v>
      </c>
      <c r="DR5" s="69" t="s">
        <v>25</v>
      </c>
    </row>
    <row r="6" spans="1:122" ht="15" thickBot="1" x14ac:dyDescent="0.25">
      <c r="A6" s="382"/>
      <c r="B6" s="16" t="s">
        <v>286</v>
      </c>
      <c r="C6" s="403" t="s">
        <v>287</v>
      </c>
      <c r="D6" s="404"/>
      <c r="E6" s="404"/>
      <c r="F6" s="405"/>
      <c r="G6" s="382"/>
      <c r="H6" s="62" t="s">
        <v>31</v>
      </c>
      <c r="I6" s="63">
        <f>F22+F38</f>
        <v>1802264.52</v>
      </c>
      <c r="J6" s="64">
        <f>I6/D16</f>
        <v>87.108000000000004</v>
      </c>
      <c r="K6" s="65">
        <f>I6/F17</f>
        <v>76.652587117212249</v>
      </c>
      <c r="L6" s="382"/>
      <c r="M6" s="16" t="s">
        <v>286</v>
      </c>
      <c r="N6" s="403"/>
      <c r="O6" s="404"/>
      <c r="P6" s="404"/>
      <c r="Q6" s="405"/>
      <c r="R6" s="382"/>
      <c r="S6" s="62" t="s">
        <v>31</v>
      </c>
      <c r="T6" s="63">
        <f>Q22+Q38</f>
        <v>1270386</v>
      </c>
      <c r="U6" s="64">
        <f>T6/O16</f>
        <v>59.475000000000001</v>
      </c>
      <c r="V6" s="65">
        <f>T6/Q17</f>
        <v>52.336325237592398</v>
      </c>
      <c r="W6" s="382"/>
      <c r="X6" s="16" t="s">
        <v>286</v>
      </c>
      <c r="Y6" s="403" t="s">
        <v>287</v>
      </c>
      <c r="Z6" s="404"/>
      <c r="AA6" s="404"/>
      <c r="AB6" s="405"/>
      <c r="AC6" s="382"/>
      <c r="AD6" s="62" t="s">
        <v>31</v>
      </c>
      <c r="AE6" s="63">
        <f>AB22+AB38</f>
        <v>1434720</v>
      </c>
      <c r="AF6" s="64">
        <f>AE6/Z16</f>
        <v>67.803402646502832</v>
      </c>
      <c r="AG6" s="65">
        <f>AE6/AB17</f>
        <v>59.665085046201014</v>
      </c>
      <c r="AH6" s="382"/>
      <c r="AI6" s="16" t="s">
        <v>286</v>
      </c>
      <c r="AJ6" s="403" t="s">
        <v>287</v>
      </c>
      <c r="AK6" s="404"/>
      <c r="AL6" s="404"/>
      <c r="AM6" s="405"/>
      <c r="AN6" s="382"/>
      <c r="AO6" s="62" t="s">
        <v>31</v>
      </c>
      <c r="AP6" s="63">
        <f>AM22+AM38</f>
        <v>1413467.5999999999</v>
      </c>
      <c r="AQ6" s="64">
        <f>AP6/AK16</f>
        <v>66.672999999999988</v>
      </c>
      <c r="AR6" s="65">
        <f>AP6/AM17</f>
        <v>58.670362548398444</v>
      </c>
      <c r="AS6" s="382"/>
      <c r="AT6" s="16" t="s">
        <v>286</v>
      </c>
      <c r="AU6" s="403" t="s">
        <v>288</v>
      </c>
      <c r="AV6" s="404"/>
      <c r="AW6" s="404"/>
      <c r="AX6" s="405"/>
      <c r="AY6" s="382"/>
      <c r="AZ6" s="62" t="s">
        <v>31</v>
      </c>
      <c r="BA6" s="63">
        <f>AX22+AX38</f>
        <v>1320930.6000000001</v>
      </c>
      <c r="BB6" s="64">
        <f>BA6/AV16</f>
        <v>62.220000000000006</v>
      </c>
      <c r="BC6" s="65">
        <f>BA6/AX17</f>
        <v>54.751847940865893</v>
      </c>
      <c r="BD6" s="382"/>
      <c r="BE6" s="16" t="s">
        <v>286</v>
      </c>
      <c r="BF6" s="403" t="s">
        <v>288</v>
      </c>
      <c r="BG6" s="404"/>
      <c r="BH6" s="404"/>
      <c r="BI6" s="405"/>
      <c r="BJ6" s="382"/>
      <c r="BK6" s="62" t="s">
        <v>31</v>
      </c>
      <c r="BL6" s="63">
        <f>BI22+BI38</f>
        <v>1337730</v>
      </c>
      <c r="BM6" s="64">
        <f>BL6/BG16</f>
        <v>62.22</v>
      </c>
      <c r="BN6" s="65">
        <f>BL6/BI17</f>
        <v>54.751847940865886</v>
      </c>
      <c r="BO6" s="382"/>
      <c r="BP6" s="16" t="s">
        <v>286</v>
      </c>
      <c r="BQ6" s="403" t="s">
        <v>288</v>
      </c>
      <c r="BR6" s="404"/>
      <c r="BS6" s="404"/>
      <c r="BT6" s="405"/>
      <c r="BU6" s="382"/>
      <c r="BV6" s="62" t="s">
        <v>31</v>
      </c>
      <c r="BW6" s="63">
        <f>BT22+BT38</f>
        <v>1350845</v>
      </c>
      <c r="BX6" s="64">
        <f>BW6/BR16</f>
        <v>62.83</v>
      </c>
      <c r="BY6" s="65">
        <f>BW6/BT17</f>
        <v>55.288630763815554</v>
      </c>
      <c r="BZ6" s="382"/>
      <c r="CA6" s="16" t="s">
        <v>286</v>
      </c>
      <c r="CB6" s="403" t="s">
        <v>288</v>
      </c>
      <c r="CC6" s="404"/>
      <c r="CD6" s="404"/>
      <c r="CE6" s="405"/>
      <c r="CF6" s="382"/>
      <c r="CG6" s="62" t="s">
        <v>31</v>
      </c>
      <c r="CH6" s="63">
        <f>CE22+CE38</f>
        <v>1381558.5</v>
      </c>
      <c r="CI6" s="64">
        <f>CH6/CC16</f>
        <v>64.05</v>
      </c>
      <c r="CJ6" s="65">
        <f>CH6/CE17</f>
        <v>56.362196409714883</v>
      </c>
      <c r="CL6" s="16" t="s">
        <v>286</v>
      </c>
      <c r="CM6" s="403" t="s">
        <v>288</v>
      </c>
      <c r="CN6" s="404"/>
      <c r="CO6" s="404"/>
      <c r="CP6" s="405"/>
      <c r="CQ6" s="382"/>
      <c r="CR6" s="62" t="s">
        <v>31</v>
      </c>
      <c r="CS6" s="63">
        <f>CP22+CP38</f>
        <v>1390190</v>
      </c>
      <c r="CT6" s="64">
        <f>CS6/CN16</f>
        <v>64.66</v>
      </c>
      <c r="CU6" s="65">
        <f>CS6/CP17</f>
        <v>56.898979232664551</v>
      </c>
      <c r="CW6" s="16" t="s">
        <v>286</v>
      </c>
      <c r="CX6" s="403" t="s">
        <v>288</v>
      </c>
      <c r="CY6" s="404"/>
      <c r="CZ6" s="404"/>
      <c r="DA6" s="405"/>
      <c r="DB6" s="382"/>
      <c r="DC6" s="62" t="s">
        <v>31</v>
      </c>
      <c r="DD6" s="63">
        <f>DA22+DA38</f>
        <v>1578924</v>
      </c>
      <c r="DE6" s="64">
        <f>DD6/CY16</f>
        <v>73.2</v>
      </c>
      <c r="DF6" s="65">
        <f>DD6/DA17</f>
        <v>64.413938753959869</v>
      </c>
      <c r="DH6" s="382"/>
      <c r="DI6" s="16" t="s">
        <v>286</v>
      </c>
      <c r="DJ6" s="403" t="s">
        <v>288</v>
      </c>
      <c r="DK6" s="404"/>
      <c r="DL6" s="404"/>
      <c r="DM6" s="405"/>
      <c r="DN6" s="382"/>
      <c r="DO6" s="62" t="s">
        <v>31</v>
      </c>
      <c r="DP6" s="63">
        <f>DM22+DM38</f>
        <v>1830000</v>
      </c>
      <c r="DQ6" s="64">
        <f>DP6/DK16</f>
        <v>84.840055632823365</v>
      </c>
      <c r="DR6" s="65">
        <f>DP6/DM17</f>
        <v>74.656859937366562</v>
      </c>
    </row>
    <row r="7" spans="1:122" ht="15" thickBot="1" x14ac:dyDescent="0.25">
      <c r="B7" s="16" t="s">
        <v>289</v>
      </c>
      <c r="C7" s="403" t="s">
        <v>290</v>
      </c>
      <c r="D7" s="404"/>
      <c r="E7" s="404"/>
      <c r="F7" s="405"/>
      <c r="H7" s="27" t="s">
        <v>44</v>
      </c>
      <c r="I7" s="56">
        <f>K35+J21</f>
        <v>335246.54000000004</v>
      </c>
      <c r="J7" s="10">
        <f>I7/D16</f>
        <v>16.20331271145481</v>
      </c>
      <c r="K7" s="11">
        <f>I7/F17</f>
        <v>14.258458915394939</v>
      </c>
      <c r="M7" s="16" t="s">
        <v>289</v>
      </c>
      <c r="N7" s="403" t="s">
        <v>290</v>
      </c>
      <c r="O7" s="404"/>
      <c r="P7" s="404"/>
      <c r="Q7" s="405"/>
      <c r="S7" s="27" t="s">
        <v>44</v>
      </c>
      <c r="T7" s="56">
        <f>V35+U21</f>
        <v>306172.07</v>
      </c>
      <c r="U7" s="10">
        <f>T7/O16</f>
        <v>14.333898408239701</v>
      </c>
      <c r="V7" s="11">
        <f>T7/Q17</f>
        <v>12.613426969587909</v>
      </c>
      <c r="X7" s="16" t="s">
        <v>289</v>
      </c>
      <c r="Y7" s="403" t="s">
        <v>290</v>
      </c>
      <c r="Z7" s="404"/>
      <c r="AA7" s="404"/>
      <c r="AB7" s="405"/>
      <c r="AD7" s="27" t="s">
        <v>44</v>
      </c>
      <c r="AE7" s="56">
        <f>AG35+AF21</f>
        <v>311309</v>
      </c>
      <c r="AF7" s="10">
        <f>AE7/Z16</f>
        <v>14.712145557655955</v>
      </c>
      <c r="AG7" s="11">
        <f>AE7/AB17</f>
        <v>12.94627380997532</v>
      </c>
      <c r="AI7" s="16" t="s">
        <v>289</v>
      </c>
      <c r="AJ7" s="403" t="s">
        <v>290</v>
      </c>
      <c r="AK7" s="404"/>
      <c r="AL7" s="404"/>
      <c r="AM7" s="405"/>
      <c r="AO7" s="27" t="s">
        <v>44</v>
      </c>
      <c r="AP7" s="56">
        <f>AR35+AQ21</f>
        <v>308737.46000000002</v>
      </c>
      <c r="AQ7" s="10">
        <f>AP7/AK16</f>
        <v>14.563087735849058</v>
      </c>
      <c r="AR7" s="11">
        <f>AP7/AM17</f>
        <v>12.815107124119198</v>
      </c>
      <c r="AT7" s="16" t="s">
        <v>289</v>
      </c>
      <c r="AU7" s="403" t="s">
        <v>290</v>
      </c>
      <c r="AV7" s="404"/>
      <c r="AW7" s="404"/>
      <c r="AX7" s="405"/>
      <c r="AZ7" s="27" t="s">
        <v>44</v>
      </c>
      <c r="BA7" s="56">
        <f>BC35+BB21</f>
        <v>307159.74</v>
      </c>
      <c r="BB7" s="10">
        <f>BA7/AV16</f>
        <v>14.468193122939237</v>
      </c>
      <c r="BC7" s="11">
        <f>BA7/AX17</f>
        <v>12.731602536905347</v>
      </c>
      <c r="BE7" s="16" t="s">
        <v>289</v>
      </c>
      <c r="BF7" s="403" t="s">
        <v>290</v>
      </c>
      <c r="BG7" s="404"/>
      <c r="BH7" s="404"/>
      <c r="BI7" s="405"/>
      <c r="BK7" s="27" t="s">
        <v>44</v>
      </c>
      <c r="BL7" s="56">
        <f>BN35+BM21</f>
        <v>309938.19</v>
      </c>
      <c r="BM7" s="10">
        <f>BL7/BG16</f>
        <v>14.41572976744186</v>
      </c>
      <c r="BN7" s="11">
        <f>BL7/BI17</f>
        <v>12.685436261388471</v>
      </c>
      <c r="BP7" s="16" t="s">
        <v>289</v>
      </c>
      <c r="BQ7" s="403" t="s">
        <v>290</v>
      </c>
      <c r="BR7" s="404"/>
      <c r="BS7" s="404"/>
      <c r="BT7" s="405"/>
      <c r="BV7" s="27" t="s">
        <v>44</v>
      </c>
      <c r="BW7" s="56">
        <f>BY35+BX21</f>
        <v>316450.67</v>
      </c>
      <c r="BX7" s="10">
        <f>BW7/BR16</f>
        <v>14.718635813953487</v>
      </c>
      <c r="BY7" s="11">
        <f>BW7/BT17</f>
        <v>12.951985052757379</v>
      </c>
      <c r="CA7" s="16" t="s">
        <v>289</v>
      </c>
      <c r="CB7" s="403" t="s">
        <v>290</v>
      </c>
      <c r="CC7" s="404"/>
      <c r="CD7" s="404"/>
      <c r="CE7" s="405"/>
      <c r="CG7" s="27" t="s">
        <v>44</v>
      </c>
      <c r="CH7" s="56">
        <f>CJ35+CI21</f>
        <v>320231.29000000004</v>
      </c>
      <c r="CI7" s="10">
        <f>CH7/CC16</f>
        <v>14.846142327306445</v>
      </c>
      <c r="CJ7" s="11">
        <f>CH7/CE17</f>
        <v>13.064187194039462</v>
      </c>
      <c r="CL7" s="16" t="s">
        <v>289</v>
      </c>
      <c r="CM7" s="403" t="s">
        <v>290</v>
      </c>
      <c r="CN7" s="404"/>
      <c r="CO7" s="404"/>
      <c r="CP7" s="405"/>
      <c r="CR7" s="27" t="s">
        <v>44</v>
      </c>
      <c r="CS7" s="56">
        <f>CU35+CT21</f>
        <v>316450.67</v>
      </c>
      <c r="CT7" s="10">
        <f>CS7/CN16</f>
        <v>14.718635813953487</v>
      </c>
      <c r="CU7" s="11">
        <f>CS7/CP17</f>
        <v>12.951985052757379</v>
      </c>
      <c r="CW7" s="16" t="s">
        <v>289</v>
      </c>
      <c r="CX7" s="403" t="s">
        <v>290</v>
      </c>
      <c r="CY7" s="404"/>
      <c r="CZ7" s="404"/>
      <c r="DA7" s="405"/>
      <c r="DC7" s="27" t="s">
        <v>44</v>
      </c>
      <c r="DD7" s="56">
        <f>DF35+DE21</f>
        <v>320231.29000000004</v>
      </c>
      <c r="DE7" s="10">
        <f>DD7/CY16</f>
        <v>14.846142327306445</v>
      </c>
      <c r="DF7" s="11">
        <f>DD7/DA17</f>
        <v>13.064187194039462</v>
      </c>
      <c r="DI7" s="16" t="s">
        <v>289</v>
      </c>
      <c r="DJ7" s="403" t="s">
        <v>290</v>
      </c>
      <c r="DK7" s="404"/>
      <c r="DL7" s="404"/>
      <c r="DM7" s="405"/>
      <c r="DO7" s="27" t="s">
        <v>44</v>
      </c>
      <c r="DP7" s="56">
        <f>DR35+DQ21</f>
        <v>320231.29000000004</v>
      </c>
      <c r="DQ7" s="10">
        <f>DP7/DK16</f>
        <v>14.846142327306445</v>
      </c>
      <c r="DR7" s="11">
        <f>DP7/DM17</f>
        <v>13.064187194039462</v>
      </c>
    </row>
    <row r="8" spans="1:122" ht="15" thickBot="1" x14ac:dyDescent="0.25">
      <c r="B8" s="16" t="s">
        <v>291</v>
      </c>
      <c r="C8" s="459">
        <v>44788</v>
      </c>
      <c r="D8" s="495"/>
      <c r="E8" s="16" t="s">
        <v>292</v>
      </c>
      <c r="F8" s="50">
        <v>44838</v>
      </c>
      <c r="H8" s="22" t="s">
        <v>53</v>
      </c>
      <c r="I8" s="57">
        <f>I6+I7</f>
        <v>2137511.06</v>
      </c>
      <c r="J8" s="12">
        <f>I8/D16</f>
        <v>103.31131271145482</v>
      </c>
      <c r="K8" s="13">
        <f>I8/F17</f>
        <v>90.911046032607189</v>
      </c>
      <c r="M8" s="16" t="s">
        <v>291</v>
      </c>
      <c r="N8" s="459">
        <v>45202</v>
      </c>
      <c r="O8" s="495"/>
      <c r="P8" s="16" t="s">
        <v>292</v>
      </c>
      <c r="Q8" s="50">
        <v>45234</v>
      </c>
      <c r="S8" s="22" t="s">
        <v>53</v>
      </c>
      <c r="T8" s="57">
        <f>T6+T7</f>
        <v>1576558.07</v>
      </c>
      <c r="U8" s="12">
        <f>T8/O16</f>
        <v>73.808898408239699</v>
      </c>
      <c r="V8" s="13">
        <f>T8/Q17</f>
        <v>64.94975220718031</v>
      </c>
      <c r="X8" s="16" t="s">
        <v>291</v>
      </c>
      <c r="Y8" s="459">
        <v>45161</v>
      </c>
      <c r="Z8" s="495"/>
      <c r="AA8" s="16" t="s">
        <v>292</v>
      </c>
      <c r="AB8" s="50">
        <v>45244</v>
      </c>
      <c r="AD8" s="22" t="s">
        <v>53</v>
      </c>
      <c r="AE8" s="57">
        <f>AE6+AE7</f>
        <v>1746029</v>
      </c>
      <c r="AF8" s="12">
        <f>AE8/Z16</f>
        <v>82.51554820415879</v>
      </c>
      <c r="AG8" s="13">
        <f>AE8/AB17</f>
        <v>72.611358856176338</v>
      </c>
      <c r="AI8" s="16" t="s">
        <v>291</v>
      </c>
      <c r="AJ8" s="459">
        <v>45217</v>
      </c>
      <c r="AK8" s="495"/>
      <c r="AL8" s="16" t="s">
        <v>292</v>
      </c>
      <c r="AM8" s="50">
        <v>45244</v>
      </c>
      <c r="AO8" s="22" t="s">
        <v>53</v>
      </c>
      <c r="AP8" s="57">
        <f>AP6+AP7</f>
        <v>1722205.0599999998</v>
      </c>
      <c r="AQ8" s="12">
        <f>AP8/AK16</f>
        <v>81.236087735849054</v>
      </c>
      <c r="AR8" s="13">
        <f>AP8/AM17</f>
        <v>71.485469672517638</v>
      </c>
      <c r="AT8" s="16" t="s">
        <v>291</v>
      </c>
      <c r="AU8" s="459">
        <v>45279</v>
      </c>
      <c r="AV8" s="495"/>
      <c r="AW8" s="16" t="s">
        <v>292</v>
      </c>
      <c r="AX8" s="50">
        <v>45314</v>
      </c>
      <c r="AZ8" s="22" t="s">
        <v>53</v>
      </c>
      <c r="BA8" s="57">
        <f>BA6+BA7</f>
        <v>1628090.34</v>
      </c>
      <c r="BB8" s="12">
        <f>BA8/AV16</f>
        <v>76.688193122939239</v>
      </c>
      <c r="BC8" s="13">
        <f>BA8/AX17</f>
        <v>67.483450477771243</v>
      </c>
      <c r="BE8" s="16" t="s">
        <v>291</v>
      </c>
      <c r="BF8" s="459">
        <v>45420</v>
      </c>
      <c r="BG8" s="495"/>
      <c r="BH8" s="16" t="s">
        <v>292</v>
      </c>
      <c r="BI8" s="50">
        <v>45494</v>
      </c>
      <c r="BK8" s="22" t="s">
        <v>53</v>
      </c>
      <c r="BL8" s="57">
        <f>BL6+BL7</f>
        <v>1647668.19</v>
      </c>
      <c r="BM8" s="12">
        <f>BL8/BG16</f>
        <v>76.635729767441859</v>
      </c>
      <c r="BN8" s="13">
        <f>BL8/BI17</f>
        <v>67.437284202254361</v>
      </c>
      <c r="BP8" s="16" t="s">
        <v>291</v>
      </c>
      <c r="BQ8" s="459">
        <v>45433</v>
      </c>
      <c r="BR8" s="495"/>
      <c r="BS8" s="16" t="s">
        <v>292</v>
      </c>
      <c r="BT8" s="50">
        <v>45517</v>
      </c>
      <c r="BV8" s="22" t="s">
        <v>53</v>
      </c>
      <c r="BW8" s="57">
        <f>BW6+BW7</f>
        <v>1667295.67</v>
      </c>
      <c r="BX8" s="12">
        <f>BW8/BR16</f>
        <v>77.548635813953481</v>
      </c>
      <c r="BY8" s="13">
        <f>BW8/BT17</f>
        <v>68.240615816572927</v>
      </c>
      <c r="CA8" s="16" t="s">
        <v>291</v>
      </c>
      <c r="CB8" s="459">
        <v>45515</v>
      </c>
      <c r="CC8" s="495"/>
      <c r="CD8" s="16" t="s">
        <v>292</v>
      </c>
      <c r="CE8" s="50">
        <v>45547</v>
      </c>
      <c r="CG8" s="22" t="s">
        <v>53</v>
      </c>
      <c r="CH8" s="57">
        <f>CH6+CH7</f>
        <v>1701789.79</v>
      </c>
      <c r="CI8" s="12">
        <f>CH8/CC16</f>
        <v>78.89614232730645</v>
      </c>
      <c r="CJ8" s="13">
        <f>CH8/CE17</f>
        <v>69.426383603754346</v>
      </c>
      <c r="CL8" s="16" t="s">
        <v>291</v>
      </c>
      <c r="CM8" s="459">
        <v>45433</v>
      </c>
      <c r="CN8" s="495"/>
      <c r="CO8" s="16" t="s">
        <v>292</v>
      </c>
      <c r="CP8" s="50">
        <v>45314</v>
      </c>
      <c r="CR8" s="22" t="s">
        <v>53</v>
      </c>
      <c r="CS8" s="57">
        <f>CS6+CS7</f>
        <v>1706640.67</v>
      </c>
      <c r="CT8" s="12">
        <f>CS8/CN16</f>
        <v>79.37863581395348</v>
      </c>
      <c r="CU8" s="13">
        <f>CS8/CP17</f>
        <v>69.850964285421924</v>
      </c>
      <c r="CW8" s="16" t="s">
        <v>291</v>
      </c>
      <c r="CX8" s="459">
        <v>45515</v>
      </c>
      <c r="CY8" s="495"/>
      <c r="CZ8" s="16" t="s">
        <v>292</v>
      </c>
      <c r="DA8" s="50">
        <v>45547</v>
      </c>
      <c r="DC8" s="22" t="s">
        <v>53</v>
      </c>
      <c r="DD8" s="57">
        <f>DD6+DD7</f>
        <v>1899155.29</v>
      </c>
      <c r="DE8" s="12">
        <f>DD8/CY16</f>
        <v>88.046142327306441</v>
      </c>
      <c r="DF8" s="13">
        <f>DD8/DA17</f>
        <v>77.478125947999331</v>
      </c>
      <c r="DI8" s="16" t="s">
        <v>291</v>
      </c>
      <c r="DJ8" s="459">
        <v>45515</v>
      </c>
      <c r="DK8" s="495"/>
      <c r="DL8" s="16" t="s">
        <v>292</v>
      </c>
      <c r="DM8" s="50">
        <v>45547</v>
      </c>
      <c r="DO8" s="22" t="s">
        <v>53</v>
      </c>
      <c r="DP8" s="57">
        <f>DP6+DP7</f>
        <v>2150231.29</v>
      </c>
      <c r="DQ8" s="12">
        <f>DP8/DK16</f>
        <v>99.686197960129817</v>
      </c>
      <c r="DR8" s="13">
        <f>DP8/DM17</f>
        <v>87.721047131406024</v>
      </c>
    </row>
    <row r="9" spans="1:122" ht="15" thickBot="1" x14ac:dyDescent="0.25">
      <c r="B9" s="17" t="s">
        <v>293</v>
      </c>
      <c r="C9" s="403" t="s">
        <v>294</v>
      </c>
      <c r="D9" s="404"/>
      <c r="E9" s="404"/>
      <c r="F9" s="405"/>
      <c r="H9" s="60" t="s">
        <v>57</v>
      </c>
      <c r="I9" s="58">
        <f>I8-J21</f>
        <v>1949168.09</v>
      </c>
      <c r="J9" s="59">
        <f>I9/D16</f>
        <v>94.208220879652004</v>
      </c>
      <c r="K9" s="61">
        <f>I9/F17</f>
        <v>82.900581555483981</v>
      </c>
      <c r="M9" s="17" t="s">
        <v>293</v>
      </c>
      <c r="N9" s="403" t="s">
        <v>294</v>
      </c>
      <c r="O9" s="404"/>
      <c r="P9" s="404"/>
      <c r="Q9" s="405"/>
      <c r="S9" s="60" t="s">
        <v>57</v>
      </c>
      <c r="T9" s="58">
        <f>T8-U21</f>
        <v>1387954.79</v>
      </c>
      <c r="U9" s="59">
        <f>T9/O16</f>
        <v>64.979156835205998</v>
      </c>
      <c r="V9" s="61">
        <f>T9/Q17</f>
        <v>57.179828260476938</v>
      </c>
      <c r="X9" s="17" t="s">
        <v>293</v>
      </c>
      <c r="Y9" s="403" t="s">
        <v>294</v>
      </c>
      <c r="Z9" s="404"/>
      <c r="AA9" s="404"/>
      <c r="AB9" s="405"/>
      <c r="AD9" s="60" t="s">
        <v>57</v>
      </c>
      <c r="AE9" s="58">
        <f>AE8-AF21</f>
        <v>1558761.49</v>
      </c>
      <c r="AF9" s="59">
        <f>AE9/Z16</f>
        <v>73.665476843100194</v>
      </c>
      <c r="AG9" s="61">
        <f>AE9/AB17</f>
        <v>64.823545268479563</v>
      </c>
      <c r="AI9" s="17" t="s">
        <v>293</v>
      </c>
      <c r="AJ9" s="403" t="s">
        <v>294</v>
      </c>
      <c r="AK9" s="404"/>
      <c r="AL9" s="404"/>
      <c r="AM9" s="405"/>
      <c r="AO9" s="60" t="s">
        <v>57</v>
      </c>
      <c r="AP9" s="58">
        <f>AP8-AQ21</f>
        <v>1537491.7699999998</v>
      </c>
      <c r="AQ9" s="59">
        <f>AP9/AK16</f>
        <v>72.523196698113196</v>
      </c>
      <c r="AR9" s="61">
        <f>AP9/AM17</f>
        <v>63.818370906470605</v>
      </c>
      <c r="AT9" s="17" t="s">
        <v>293</v>
      </c>
      <c r="AU9" s="403" t="s">
        <v>294</v>
      </c>
      <c r="AV9" s="404"/>
      <c r="AW9" s="404"/>
      <c r="AX9" s="405"/>
      <c r="AZ9" s="60" t="s">
        <v>57</v>
      </c>
      <c r="BA9" s="58">
        <f>BA8-BB21</f>
        <v>1444938.54</v>
      </c>
      <c r="BB9" s="59">
        <f>BA9/AV16</f>
        <v>68.061165332077252</v>
      </c>
      <c r="BC9" s="61">
        <f>BA9/AX17</f>
        <v>59.891908951141545</v>
      </c>
      <c r="BE9" s="17" t="s">
        <v>293</v>
      </c>
      <c r="BF9" s="403" t="s">
        <v>294</v>
      </c>
      <c r="BG9" s="404"/>
      <c r="BH9" s="404"/>
      <c r="BI9" s="405"/>
      <c r="BK9" s="60" t="s">
        <v>57</v>
      </c>
      <c r="BL9" s="58">
        <f>BL8-BM21</f>
        <v>1452477.45</v>
      </c>
      <c r="BM9" s="59">
        <f>BL9/BG16</f>
        <v>67.557090697674411</v>
      </c>
      <c r="BN9" s="61">
        <f>BL9/BI17</f>
        <v>59.448337467154531</v>
      </c>
      <c r="BP9" s="17" t="s">
        <v>293</v>
      </c>
      <c r="BQ9" s="403" t="s">
        <v>294</v>
      </c>
      <c r="BR9" s="404"/>
      <c r="BS9" s="404"/>
      <c r="BT9" s="405"/>
      <c r="BV9" s="60" t="s">
        <v>57</v>
      </c>
      <c r="BW9" s="58">
        <f>BW8-BX21</f>
        <v>1473192.8399999999</v>
      </c>
      <c r="BX9" s="59">
        <f>BW9/BR16</f>
        <v>68.520597209302323</v>
      </c>
      <c r="BY9" s="61">
        <f>BW9/BT17</f>
        <v>60.296196065911928</v>
      </c>
      <c r="CA9" s="17" t="s">
        <v>293</v>
      </c>
      <c r="CB9" s="403" t="s">
        <v>294</v>
      </c>
      <c r="CC9" s="404"/>
      <c r="CD9" s="404"/>
      <c r="CE9" s="405"/>
      <c r="CG9" s="60" t="s">
        <v>57</v>
      </c>
      <c r="CH9" s="58">
        <f>CH8-CI21</f>
        <v>1512809.58</v>
      </c>
      <c r="CI9" s="59">
        <f>CH9/CC16</f>
        <v>70.134890125173854</v>
      </c>
      <c r="CJ9" s="61">
        <f>CH9/CE17</f>
        <v>61.716728374844998</v>
      </c>
      <c r="CL9" s="17" t="s">
        <v>293</v>
      </c>
      <c r="CM9" s="403" t="s">
        <v>294</v>
      </c>
      <c r="CN9" s="404"/>
      <c r="CO9" s="404"/>
      <c r="CP9" s="405"/>
      <c r="CR9" s="60" t="s">
        <v>57</v>
      </c>
      <c r="CS9" s="58">
        <f>CS8-CT21</f>
        <v>1512537.8399999999</v>
      </c>
      <c r="CT9" s="59">
        <f>CS9/CN16</f>
        <v>70.350597209302322</v>
      </c>
      <c r="CU9" s="61">
        <f>CS9/CP17</f>
        <v>61.906544534760926</v>
      </c>
      <c r="CW9" s="17" t="s">
        <v>293</v>
      </c>
      <c r="CX9" s="403" t="s">
        <v>294</v>
      </c>
      <c r="CY9" s="404"/>
      <c r="CZ9" s="404"/>
      <c r="DA9" s="405"/>
      <c r="DC9" s="60" t="s">
        <v>57</v>
      </c>
      <c r="DD9" s="58">
        <f>DD8-DE21</f>
        <v>1710175.08</v>
      </c>
      <c r="DE9" s="59">
        <f>DD9/CY16</f>
        <v>79.28489012517386</v>
      </c>
      <c r="DF9" s="61">
        <f>DD9/DA17</f>
        <v>69.768470719089976</v>
      </c>
      <c r="DI9" s="17" t="s">
        <v>293</v>
      </c>
      <c r="DJ9" s="403" t="s">
        <v>294</v>
      </c>
      <c r="DK9" s="404"/>
      <c r="DL9" s="404"/>
      <c r="DM9" s="405"/>
      <c r="DO9" s="60" t="s">
        <v>57</v>
      </c>
      <c r="DP9" s="58">
        <f>DP8-DQ21</f>
        <v>1961251.08</v>
      </c>
      <c r="DQ9" s="59">
        <f>DP9/DK16</f>
        <v>90.924945757997222</v>
      </c>
      <c r="DR9" s="61">
        <f>DP9/DM17</f>
        <v>80.011391902496669</v>
      </c>
    </row>
    <row r="10" spans="1:122" ht="15" thickBot="1" x14ac:dyDescent="0.25">
      <c r="B10" s="17"/>
      <c r="C10" s="403"/>
      <c r="D10" s="404"/>
      <c r="E10" s="404"/>
      <c r="F10" s="405"/>
      <c r="H10" s="70" t="s">
        <v>61</v>
      </c>
      <c r="I10" s="89">
        <f>F22+J21+F38</f>
        <v>1990607.49</v>
      </c>
      <c r="J10" s="71">
        <f>I10/D16</f>
        <v>96.211091831802804</v>
      </c>
      <c r="K10" s="239">
        <f>I10/F17</f>
        <v>84.663051594335442</v>
      </c>
      <c r="M10" s="17"/>
      <c r="N10" s="403"/>
      <c r="O10" s="404"/>
      <c r="P10" s="404"/>
      <c r="Q10" s="405"/>
      <c r="S10" s="70" t="s">
        <v>61</v>
      </c>
      <c r="T10" s="89">
        <f>Q22+U21+Q38</f>
        <v>1458989.28</v>
      </c>
      <c r="U10" s="71">
        <f>T10/O16</f>
        <v>68.304741573033709</v>
      </c>
      <c r="V10" s="238">
        <f>T10/Q17</f>
        <v>60.106249184295763</v>
      </c>
      <c r="X10" s="17"/>
      <c r="Y10" s="403"/>
      <c r="Z10" s="404"/>
      <c r="AA10" s="404"/>
      <c r="AB10" s="405"/>
      <c r="AD10" s="70" t="s">
        <v>61</v>
      </c>
      <c r="AE10" s="89">
        <f>AB22+AF21+AB38</f>
        <v>1621987.51</v>
      </c>
      <c r="AF10" s="71">
        <f>AE10/Z16</f>
        <v>76.653474007561442</v>
      </c>
      <c r="AG10" s="238">
        <f>AE10/AB17</f>
        <v>67.452898633897775</v>
      </c>
      <c r="AI10" s="17"/>
      <c r="AJ10" s="403"/>
      <c r="AK10" s="404"/>
      <c r="AL10" s="404"/>
      <c r="AM10" s="405"/>
      <c r="AO10" s="70" t="s">
        <v>61</v>
      </c>
      <c r="AP10" s="89">
        <f>AM22+AQ21+AM38</f>
        <v>1598180.89</v>
      </c>
      <c r="AQ10" s="71">
        <f>AP10/AK16</f>
        <v>75.385891037735846</v>
      </c>
      <c r="AR10" s="238">
        <f>AP10/AM17</f>
        <v>66.337461314445477</v>
      </c>
      <c r="AT10" s="17"/>
      <c r="AU10" s="403"/>
      <c r="AV10" s="404"/>
      <c r="AW10" s="404"/>
      <c r="AX10" s="405"/>
      <c r="AZ10" s="70" t="s">
        <v>61</v>
      </c>
      <c r="BA10" s="89">
        <f>AX22+BB21+AX38</f>
        <v>1504082.4000000001</v>
      </c>
      <c r="BB10" s="71">
        <f>BA10/AV16</f>
        <v>70.847027790862001</v>
      </c>
      <c r="BC10" s="238">
        <f>BA10/AX17</f>
        <v>62.343389467495591</v>
      </c>
      <c r="BE10" s="17"/>
      <c r="BF10" s="403" t="s">
        <v>295</v>
      </c>
      <c r="BG10" s="404"/>
      <c r="BH10" s="404"/>
      <c r="BI10" s="405"/>
      <c r="BK10" s="70" t="s">
        <v>61</v>
      </c>
      <c r="BL10" s="89">
        <f>BI22+BM21+BI38</f>
        <v>1532920.74</v>
      </c>
      <c r="BM10" s="71">
        <f>BL10/BG16</f>
        <v>71.298639069767447</v>
      </c>
      <c r="BN10" s="238">
        <f>BL10/BI17</f>
        <v>62.740794675965709</v>
      </c>
      <c r="BP10" s="17"/>
      <c r="BQ10" s="403" t="s">
        <v>296</v>
      </c>
      <c r="BR10" s="404"/>
      <c r="BS10" s="404"/>
      <c r="BT10" s="405"/>
      <c r="BV10" s="70" t="s">
        <v>61</v>
      </c>
      <c r="BW10" s="89">
        <f>BT22+BX21+BT38</f>
        <v>1544947.83</v>
      </c>
      <c r="BX10" s="71">
        <f>BW10/BR16</f>
        <v>71.858038604651171</v>
      </c>
      <c r="BY10" s="238">
        <f>BW10/BT17</f>
        <v>63.23305051447656</v>
      </c>
      <c r="CA10" s="17"/>
      <c r="CB10" s="403" t="s">
        <v>297</v>
      </c>
      <c r="CC10" s="404"/>
      <c r="CD10" s="404"/>
      <c r="CE10" s="405"/>
      <c r="CG10" s="70" t="s">
        <v>61</v>
      </c>
      <c r="CH10" s="89">
        <f>CE22+CI21+CE38</f>
        <v>1570538.71</v>
      </c>
      <c r="CI10" s="71">
        <f>CH10/CC16</f>
        <v>72.811252202132593</v>
      </c>
      <c r="CJ10" s="238">
        <f>CH10/CE17</f>
        <v>64.071851638624238</v>
      </c>
      <c r="CL10" s="17"/>
      <c r="CM10" s="403" t="s">
        <v>296</v>
      </c>
      <c r="CN10" s="404"/>
      <c r="CO10" s="404"/>
      <c r="CP10" s="405"/>
      <c r="CR10" s="70" t="s">
        <v>61</v>
      </c>
      <c r="CS10" s="89">
        <f>CP22+CT21+CP38</f>
        <v>1584292.83</v>
      </c>
      <c r="CT10" s="71">
        <f>CS10/CN16</f>
        <v>73.688038604651169</v>
      </c>
      <c r="CU10" s="238">
        <f>CS10/CP17</f>
        <v>64.843398983325557</v>
      </c>
      <c r="CW10" s="17"/>
      <c r="CX10" s="403" t="s">
        <v>297</v>
      </c>
      <c r="CY10" s="404"/>
      <c r="CZ10" s="404"/>
      <c r="DA10" s="405"/>
      <c r="DC10" s="70" t="s">
        <v>61</v>
      </c>
      <c r="DD10" s="89">
        <f>DA22+DE21+DA38</f>
        <v>1767904.21</v>
      </c>
      <c r="DE10" s="71">
        <f>DD10/CY16</f>
        <v>81.961252202132584</v>
      </c>
      <c r="DF10" s="238">
        <f>DD10/DA17</f>
        <v>72.123593982869224</v>
      </c>
      <c r="DI10" s="17"/>
      <c r="DJ10" s="403" t="s">
        <v>297</v>
      </c>
      <c r="DK10" s="404"/>
      <c r="DL10" s="404"/>
      <c r="DM10" s="405"/>
      <c r="DO10" s="70" t="s">
        <v>61</v>
      </c>
      <c r="DP10" s="89">
        <f>DM22+DQ21+DM38</f>
        <v>2018980.21</v>
      </c>
      <c r="DQ10" s="71">
        <f>DP10/DK16</f>
        <v>93.601307834955961</v>
      </c>
      <c r="DR10" s="238">
        <f>DP10/DM17</f>
        <v>82.366515166275917</v>
      </c>
    </row>
    <row r="11" spans="1:122" ht="8.25" customHeight="1" thickBot="1" x14ac:dyDescent="0.25">
      <c r="H11" s="5"/>
      <c r="I11" s="5"/>
      <c r="J11" s="5"/>
      <c r="K11" s="5"/>
      <c r="S11" s="5"/>
      <c r="T11" s="5"/>
      <c r="U11" s="5"/>
      <c r="V11" s="5"/>
      <c r="AD11" s="5"/>
      <c r="AE11" s="5"/>
      <c r="AF11" s="5"/>
      <c r="AG11" s="5"/>
      <c r="AO11" s="5"/>
      <c r="AP11" s="5"/>
      <c r="AQ11" s="5"/>
      <c r="AR11" s="5"/>
      <c r="AZ11" s="5"/>
      <c r="BA11" s="5"/>
      <c r="BB11" s="5"/>
      <c r="BC11" s="5"/>
      <c r="BK11" s="5"/>
      <c r="BL11" s="5"/>
      <c r="BM11" s="5"/>
      <c r="BN11" s="5"/>
      <c r="BV11" s="5"/>
      <c r="BW11" s="5"/>
      <c r="BX11" s="5"/>
      <c r="BY11" s="5"/>
      <c r="CG11" s="5"/>
      <c r="CH11" s="5"/>
      <c r="CI11" s="5"/>
      <c r="CJ11" s="5"/>
      <c r="CR11" s="5"/>
      <c r="CS11" s="5"/>
      <c r="CT11" s="5"/>
      <c r="CU11" s="5"/>
      <c r="DC11" s="5"/>
      <c r="DD11" s="5"/>
      <c r="DE11" s="5"/>
      <c r="DF11" s="5"/>
      <c r="DO11" s="5"/>
      <c r="DP11" s="5"/>
      <c r="DQ11" s="5"/>
      <c r="DR11" s="5"/>
    </row>
    <row r="12" spans="1:122" ht="18.75" thickBot="1" x14ac:dyDescent="0.25">
      <c r="B12" s="416" t="s">
        <v>72</v>
      </c>
      <c r="C12" s="417"/>
      <c r="D12" s="417"/>
      <c r="E12" s="417"/>
      <c r="F12" s="417"/>
      <c r="G12" s="417"/>
      <c r="H12" s="417"/>
      <c r="I12" s="417"/>
      <c r="J12" s="417"/>
      <c r="K12" s="418"/>
      <c r="M12" s="416" t="s">
        <v>72</v>
      </c>
      <c r="N12" s="417"/>
      <c r="O12" s="417"/>
      <c r="P12" s="417"/>
      <c r="Q12" s="417"/>
      <c r="R12" s="417"/>
      <c r="S12" s="417"/>
      <c r="T12" s="417"/>
      <c r="U12" s="417"/>
      <c r="V12" s="418"/>
      <c r="X12" s="416" t="s">
        <v>72</v>
      </c>
      <c r="Y12" s="417"/>
      <c r="Z12" s="417"/>
      <c r="AA12" s="417"/>
      <c r="AB12" s="417"/>
      <c r="AC12" s="417"/>
      <c r="AD12" s="417"/>
      <c r="AE12" s="417"/>
      <c r="AF12" s="417"/>
      <c r="AG12" s="418"/>
      <c r="AI12" s="416" t="s">
        <v>72</v>
      </c>
      <c r="AJ12" s="417"/>
      <c r="AK12" s="417"/>
      <c r="AL12" s="417"/>
      <c r="AM12" s="417"/>
      <c r="AN12" s="417"/>
      <c r="AO12" s="417"/>
      <c r="AP12" s="417"/>
      <c r="AQ12" s="417"/>
      <c r="AR12" s="418"/>
      <c r="AT12" s="416" t="s">
        <v>72</v>
      </c>
      <c r="AU12" s="417"/>
      <c r="AV12" s="417"/>
      <c r="AW12" s="417"/>
      <c r="AX12" s="417"/>
      <c r="AY12" s="417"/>
      <c r="AZ12" s="417"/>
      <c r="BA12" s="417"/>
      <c r="BB12" s="417"/>
      <c r="BC12" s="418"/>
      <c r="BE12" s="416" t="s">
        <v>72</v>
      </c>
      <c r="BF12" s="417"/>
      <c r="BG12" s="417"/>
      <c r="BH12" s="417"/>
      <c r="BI12" s="417"/>
      <c r="BJ12" s="417"/>
      <c r="BK12" s="417"/>
      <c r="BL12" s="417"/>
      <c r="BM12" s="417"/>
      <c r="BN12" s="418"/>
      <c r="BP12" s="416" t="s">
        <v>72</v>
      </c>
      <c r="BQ12" s="417"/>
      <c r="BR12" s="417"/>
      <c r="BS12" s="417"/>
      <c r="BT12" s="417"/>
      <c r="BU12" s="417"/>
      <c r="BV12" s="417"/>
      <c r="BW12" s="417"/>
      <c r="BX12" s="417"/>
      <c r="BY12" s="418"/>
      <c r="CA12" s="416" t="s">
        <v>72</v>
      </c>
      <c r="CB12" s="417"/>
      <c r="CC12" s="417"/>
      <c r="CD12" s="417"/>
      <c r="CE12" s="417"/>
      <c r="CF12" s="417"/>
      <c r="CG12" s="417"/>
      <c r="CH12" s="417"/>
      <c r="CI12" s="417"/>
      <c r="CJ12" s="418"/>
      <c r="CL12" s="416" t="s">
        <v>72</v>
      </c>
      <c r="CM12" s="417"/>
      <c r="CN12" s="417"/>
      <c r="CO12" s="417"/>
      <c r="CP12" s="417"/>
      <c r="CQ12" s="417"/>
      <c r="CR12" s="417"/>
      <c r="CS12" s="417"/>
      <c r="CT12" s="417"/>
      <c r="CU12" s="418"/>
      <c r="CW12" s="416" t="s">
        <v>72</v>
      </c>
      <c r="CX12" s="417"/>
      <c r="CY12" s="417"/>
      <c r="CZ12" s="417"/>
      <c r="DA12" s="417"/>
      <c r="DB12" s="417"/>
      <c r="DC12" s="417"/>
      <c r="DD12" s="417"/>
      <c r="DE12" s="417"/>
      <c r="DF12" s="418"/>
      <c r="DI12" s="416" t="s">
        <v>72</v>
      </c>
      <c r="DJ12" s="417"/>
      <c r="DK12" s="417"/>
      <c r="DL12" s="417"/>
      <c r="DM12" s="417"/>
      <c r="DN12" s="417"/>
      <c r="DO12" s="417"/>
      <c r="DP12" s="417"/>
      <c r="DQ12" s="417"/>
      <c r="DR12" s="418"/>
    </row>
    <row r="13" spans="1:122" ht="6.75" customHeight="1" x14ac:dyDescent="0.2">
      <c r="H13" s="5"/>
      <c r="I13" s="5"/>
      <c r="J13" s="5"/>
      <c r="K13" s="5"/>
      <c r="S13" s="5"/>
      <c r="T13" s="5"/>
      <c r="U13" s="5"/>
      <c r="V13" s="5"/>
      <c r="AD13" s="5"/>
      <c r="AE13" s="5"/>
      <c r="AF13" s="5"/>
      <c r="AG13" s="5"/>
      <c r="AO13" s="5"/>
      <c r="AP13" s="5"/>
      <c r="AQ13" s="5"/>
      <c r="AR13" s="5"/>
      <c r="AZ13" s="5"/>
      <c r="BA13" s="5"/>
      <c r="BB13" s="5"/>
      <c r="BC13" s="5"/>
      <c r="BK13" s="5"/>
      <c r="BL13" s="5"/>
      <c r="BM13" s="5"/>
      <c r="BN13" s="5"/>
      <c r="BV13" s="5"/>
      <c r="BW13" s="5"/>
      <c r="BX13" s="5"/>
      <c r="BY13" s="5"/>
      <c r="CG13" s="5"/>
      <c r="CH13" s="5"/>
      <c r="CI13" s="5"/>
      <c r="CJ13" s="5"/>
      <c r="CR13" s="5"/>
      <c r="CS13" s="5"/>
      <c r="CT13" s="5"/>
      <c r="CU13" s="5"/>
      <c r="DC13" s="5"/>
      <c r="DD13" s="5"/>
      <c r="DE13" s="5"/>
      <c r="DF13" s="5"/>
      <c r="DO13" s="5"/>
      <c r="DP13" s="5"/>
      <c r="DQ13" s="5"/>
      <c r="DR13" s="5"/>
    </row>
    <row r="14" spans="1:122" s="4" customFormat="1" ht="6.75" customHeight="1" thickBot="1" x14ac:dyDescent="0.25">
      <c r="H14" s="5"/>
      <c r="I14" s="5"/>
      <c r="J14" s="5"/>
      <c r="K14" s="5"/>
      <c r="S14" s="5"/>
      <c r="T14" s="5"/>
      <c r="U14" s="5"/>
      <c r="V14" s="5"/>
      <c r="AD14" s="5"/>
      <c r="AE14" s="5"/>
      <c r="AF14" s="5"/>
      <c r="AG14" s="5"/>
      <c r="AO14" s="5"/>
      <c r="AP14" s="5"/>
      <c r="AQ14" s="5"/>
      <c r="AR14" s="5"/>
      <c r="AZ14" s="5"/>
      <c r="BA14" s="5"/>
      <c r="BB14" s="5"/>
      <c r="BC14" s="5"/>
      <c r="BK14" s="5"/>
      <c r="BL14" s="5"/>
      <c r="BM14" s="5"/>
      <c r="BN14" s="5"/>
      <c r="BV14" s="5"/>
      <c r="BW14" s="5"/>
      <c r="BX14" s="5"/>
      <c r="BY14" s="5"/>
      <c r="CG14" s="5"/>
      <c r="CH14" s="5"/>
      <c r="CI14" s="5"/>
      <c r="CJ14" s="5"/>
      <c r="CR14" s="5"/>
      <c r="CS14" s="5"/>
      <c r="CT14" s="5"/>
      <c r="CU14" s="5"/>
      <c r="DC14" s="5"/>
      <c r="DD14" s="5"/>
      <c r="DE14" s="5"/>
      <c r="DF14" s="5"/>
      <c r="DO14" s="5"/>
      <c r="DP14" s="5"/>
      <c r="DQ14" s="5"/>
      <c r="DR14" s="5"/>
    </row>
    <row r="15" spans="1:122" s="4" customFormat="1" x14ac:dyDescent="0.2">
      <c r="B15" s="449" t="s">
        <v>85</v>
      </c>
      <c r="C15" s="450"/>
      <c r="D15" s="450"/>
      <c r="E15" s="450"/>
      <c r="F15" s="451"/>
      <c r="H15" s="425" t="s">
        <v>86</v>
      </c>
      <c r="I15" s="426"/>
      <c r="J15" s="426"/>
      <c r="K15" s="427"/>
      <c r="M15" s="449" t="s">
        <v>85</v>
      </c>
      <c r="N15" s="450"/>
      <c r="O15" s="450"/>
      <c r="P15" s="450"/>
      <c r="Q15" s="451"/>
      <c r="S15" s="425" t="s">
        <v>86</v>
      </c>
      <c r="T15" s="426"/>
      <c r="U15" s="426"/>
      <c r="V15" s="427"/>
      <c r="X15" s="449" t="s">
        <v>85</v>
      </c>
      <c r="Y15" s="450"/>
      <c r="Z15" s="450"/>
      <c r="AA15" s="450"/>
      <c r="AB15" s="451"/>
      <c r="AD15" s="425" t="s">
        <v>86</v>
      </c>
      <c r="AE15" s="426"/>
      <c r="AF15" s="426"/>
      <c r="AG15" s="427"/>
      <c r="AI15" s="449" t="s">
        <v>85</v>
      </c>
      <c r="AJ15" s="450"/>
      <c r="AK15" s="450"/>
      <c r="AL15" s="450"/>
      <c r="AM15" s="451"/>
      <c r="AO15" s="425" t="s">
        <v>86</v>
      </c>
      <c r="AP15" s="426"/>
      <c r="AQ15" s="426"/>
      <c r="AR15" s="427"/>
      <c r="AT15" s="449" t="s">
        <v>85</v>
      </c>
      <c r="AU15" s="450"/>
      <c r="AV15" s="450"/>
      <c r="AW15" s="450"/>
      <c r="AX15" s="451"/>
      <c r="AZ15" s="425" t="s">
        <v>86</v>
      </c>
      <c r="BA15" s="426"/>
      <c r="BB15" s="426"/>
      <c r="BC15" s="427"/>
      <c r="BE15" s="449" t="s">
        <v>85</v>
      </c>
      <c r="BF15" s="450"/>
      <c r="BG15" s="450"/>
      <c r="BH15" s="450"/>
      <c r="BI15" s="451"/>
      <c r="BK15" s="425" t="s">
        <v>86</v>
      </c>
      <c r="BL15" s="426"/>
      <c r="BM15" s="426"/>
      <c r="BN15" s="427"/>
      <c r="BP15" s="449" t="s">
        <v>85</v>
      </c>
      <c r="BQ15" s="450"/>
      <c r="BR15" s="450"/>
      <c r="BS15" s="450"/>
      <c r="BT15" s="451"/>
      <c r="BV15" s="425" t="s">
        <v>86</v>
      </c>
      <c r="BW15" s="426"/>
      <c r="BX15" s="426"/>
      <c r="BY15" s="427"/>
      <c r="CA15" s="449" t="s">
        <v>85</v>
      </c>
      <c r="CB15" s="450"/>
      <c r="CC15" s="450"/>
      <c r="CD15" s="450"/>
      <c r="CE15" s="451"/>
      <c r="CG15" s="425" t="s">
        <v>86</v>
      </c>
      <c r="CH15" s="426"/>
      <c r="CI15" s="426"/>
      <c r="CJ15" s="427"/>
      <c r="CL15" s="449" t="s">
        <v>85</v>
      </c>
      <c r="CM15" s="450"/>
      <c r="CN15" s="450"/>
      <c r="CO15" s="450"/>
      <c r="CP15" s="451"/>
      <c r="CR15" s="425" t="s">
        <v>86</v>
      </c>
      <c r="CS15" s="426"/>
      <c r="CT15" s="426"/>
      <c r="CU15" s="427"/>
      <c r="CW15" s="449" t="s">
        <v>85</v>
      </c>
      <c r="CX15" s="450"/>
      <c r="CY15" s="450"/>
      <c r="CZ15" s="450"/>
      <c r="DA15" s="451"/>
      <c r="DC15" s="425" t="s">
        <v>86</v>
      </c>
      <c r="DD15" s="426"/>
      <c r="DE15" s="426"/>
      <c r="DF15" s="427"/>
      <c r="DI15" s="449" t="s">
        <v>85</v>
      </c>
      <c r="DJ15" s="450"/>
      <c r="DK15" s="450"/>
      <c r="DL15" s="450"/>
      <c r="DM15" s="451"/>
      <c r="DO15" s="425" t="s">
        <v>86</v>
      </c>
      <c r="DP15" s="426"/>
      <c r="DQ15" s="426"/>
      <c r="DR15" s="427"/>
    </row>
    <row r="16" spans="1:122" s="4" customFormat="1" x14ac:dyDescent="0.2">
      <c r="B16" s="31" t="s">
        <v>99</v>
      </c>
      <c r="C16" s="30"/>
      <c r="D16" s="33">
        <v>20690</v>
      </c>
      <c r="E16" s="6" t="s">
        <v>100</v>
      </c>
      <c r="F16" s="32">
        <v>1.4279999999999999</v>
      </c>
      <c r="H16" s="428" t="s">
        <v>101</v>
      </c>
      <c r="I16" s="429"/>
      <c r="J16" s="3" t="s">
        <v>102</v>
      </c>
      <c r="K16" s="8">
        <f>F35*0.12</f>
        <v>229176.4908</v>
      </c>
      <c r="M16" s="31" t="s">
        <v>99</v>
      </c>
      <c r="N16" s="30"/>
      <c r="O16" s="33">
        <v>21360</v>
      </c>
      <c r="P16" s="6" t="s">
        <v>100</v>
      </c>
      <c r="Q16" s="32">
        <f>20826/O16</f>
        <v>0.97499999999999998</v>
      </c>
      <c r="S16" s="428" t="s">
        <v>101</v>
      </c>
      <c r="T16" s="429"/>
      <c r="U16" s="3" t="s">
        <v>102</v>
      </c>
      <c r="V16" s="8">
        <f>Q35*0.12</f>
        <v>163938.59159999999</v>
      </c>
      <c r="X16" s="31" t="s">
        <v>99</v>
      </c>
      <c r="Y16" s="30"/>
      <c r="Z16" s="33">
        <v>21160</v>
      </c>
      <c r="AA16" s="6" t="s">
        <v>100</v>
      </c>
      <c r="AB16" s="32">
        <v>1.1200000000000001</v>
      </c>
      <c r="AD16" s="428" t="s">
        <v>101</v>
      </c>
      <c r="AE16" s="429"/>
      <c r="AF16" s="3" t="s">
        <v>102</v>
      </c>
      <c r="AG16" s="8">
        <f>AB35*0.12</f>
        <v>185728.57559999998</v>
      </c>
      <c r="AI16" s="31" t="s">
        <v>99</v>
      </c>
      <c r="AJ16" s="30"/>
      <c r="AK16" s="33">
        <v>21200</v>
      </c>
      <c r="AL16" s="6" t="s">
        <v>100</v>
      </c>
      <c r="AM16" s="32">
        <v>1.093</v>
      </c>
      <c r="AO16" s="428" t="s">
        <v>101</v>
      </c>
      <c r="AP16" s="429"/>
      <c r="AQ16" s="3" t="s">
        <v>102</v>
      </c>
      <c r="AR16" s="8">
        <f>AM35*0.12</f>
        <v>181624.65479999996</v>
      </c>
      <c r="AT16" s="31" t="s">
        <v>99</v>
      </c>
      <c r="AU16" s="30"/>
      <c r="AV16" s="33">
        <v>21230</v>
      </c>
      <c r="AW16" s="6" t="s">
        <v>100</v>
      </c>
      <c r="AX16" s="32">
        <v>1.02</v>
      </c>
      <c r="AZ16" s="428" t="s">
        <v>101</v>
      </c>
      <c r="BA16" s="429"/>
      <c r="BB16" s="3" t="s">
        <v>102</v>
      </c>
      <c r="BC16" s="8">
        <f>AX35*0.12</f>
        <v>169057.2672</v>
      </c>
      <c r="BE16" s="31" t="s">
        <v>99</v>
      </c>
      <c r="BF16" s="30"/>
      <c r="BG16" s="33">
        <f>21930/1.02</f>
        <v>21500</v>
      </c>
      <c r="BH16" s="6" t="s">
        <v>100</v>
      </c>
      <c r="BI16" s="32">
        <v>1.02</v>
      </c>
      <c r="BK16" s="428" t="s">
        <v>101</v>
      </c>
      <c r="BL16" s="429"/>
      <c r="BM16" s="3" t="s">
        <v>102</v>
      </c>
      <c r="BN16" s="8">
        <f>BI35*0.12</f>
        <v>171477.15599999999</v>
      </c>
      <c r="BP16" s="31" t="s">
        <v>99</v>
      </c>
      <c r="BQ16" s="30"/>
      <c r="BR16" s="33">
        <v>21500</v>
      </c>
      <c r="BS16" s="6" t="s">
        <v>100</v>
      </c>
      <c r="BT16" s="32">
        <v>1.03</v>
      </c>
      <c r="BV16" s="428" t="s">
        <v>101</v>
      </c>
      <c r="BW16" s="429"/>
      <c r="BX16" s="3" t="s">
        <v>102</v>
      </c>
      <c r="BY16" s="8">
        <f>BT35*0.12</f>
        <v>172653.36480000001</v>
      </c>
      <c r="CA16" s="31" t="s">
        <v>99</v>
      </c>
      <c r="CB16" s="30"/>
      <c r="CC16" s="33">
        <v>21570</v>
      </c>
      <c r="CD16" s="6" t="s">
        <v>100</v>
      </c>
      <c r="CE16" s="32">
        <v>1.05</v>
      </c>
      <c r="CG16" s="428" t="s">
        <v>101</v>
      </c>
      <c r="CH16" s="429"/>
      <c r="CI16" s="3" t="s">
        <v>102</v>
      </c>
      <c r="CJ16" s="8">
        <f>CE35*0.12</f>
        <v>176332.60200000001</v>
      </c>
      <c r="CL16" s="31" t="s">
        <v>99</v>
      </c>
      <c r="CM16" s="30"/>
      <c r="CN16" s="33">
        <v>21500</v>
      </c>
      <c r="CO16" s="6" t="s">
        <v>100</v>
      </c>
      <c r="CP16" s="32">
        <v>1.06</v>
      </c>
      <c r="CR16" s="428" t="s">
        <v>101</v>
      </c>
      <c r="CS16" s="429"/>
      <c r="CT16" s="3" t="s">
        <v>102</v>
      </c>
      <c r="CU16" s="8">
        <f>CP35*0.12</f>
        <v>177374.7648</v>
      </c>
      <c r="CW16" s="31" t="s">
        <v>99</v>
      </c>
      <c r="CX16" s="30"/>
      <c r="CY16" s="33">
        <v>21570</v>
      </c>
      <c r="CZ16" s="6" t="s">
        <v>100</v>
      </c>
      <c r="DA16" s="32">
        <v>1.2</v>
      </c>
      <c r="DC16" s="428" t="s">
        <v>101</v>
      </c>
      <c r="DD16" s="429"/>
      <c r="DE16" s="3" t="s">
        <v>102</v>
      </c>
      <c r="DF16" s="8">
        <f>DA35*0.12</f>
        <v>200016.462</v>
      </c>
      <c r="DI16" s="31" t="s">
        <v>99</v>
      </c>
      <c r="DJ16" s="30"/>
      <c r="DK16" s="33">
        <v>21570</v>
      </c>
      <c r="DL16" s="6" t="s">
        <v>100</v>
      </c>
      <c r="DM16" s="32">
        <v>1.2</v>
      </c>
      <c r="DO16" s="428" t="s">
        <v>101</v>
      </c>
      <c r="DP16" s="429"/>
      <c r="DQ16" s="3" t="s">
        <v>102</v>
      </c>
      <c r="DR16" s="8">
        <f>DM35*0.12</f>
        <v>230145.58199999999</v>
      </c>
    </row>
    <row r="17" spans="1:122" s="4" customFormat="1" x14ac:dyDescent="0.2">
      <c r="B17" s="31" t="s">
        <v>109</v>
      </c>
      <c r="C17" s="30"/>
      <c r="D17" s="34">
        <f>D16*F16</f>
        <v>29545.32</v>
      </c>
      <c r="E17" s="6" t="s">
        <v>110</v>
      </c>
      <c r="F17" s="35">
        <f>D16*1.1364</f>
        <v>23512.116000000002</v>
      </c>
      <c r="H17" s="428" t="s">
        <v>111</v>
      </c>
      <c r="I17" s="429"/>
      <c r="J17" s="241">
        <v>186770.97</v>
      </c>
      <c r="K17" s="8">
        <f>J17-K16</f>
        <v>-42405.520799999998</v>
      </c>
      <c r="M17" s="31" t="s">
        <v>109</v>
      </c>
      <c r="N17" s="30"/>
      <c r="O17" s="34">
        <f>O16*Q16</f>
        <v>20826</v>
      </c>
      <c r="P17" s="6" t="s">
        <v>110</v>
      </c>
      <c r="Q17" s="35">
        <f>O16*1.1364</f>
        <v>24273.504000000001</v>
      </c>
      <c r="S17" s="428" t="s">
        <v>111</v>
      </c>
      <c r="T17" s="429"/>
      <c r="U17" s="241">
        <v>187039.28</v>
      </c>
      <c r="V17" s="8">
        <f>U17-V16</f>
        <v>23100.688400000014</v>
      </c>
      <c r="X17" s="31" t="s">
        <v>109</v>
      </c>
      <c r="Y17" s="30"/>
      <c r="Z17" s="34">
        <f>Z16*AB16</f>
        <v>23699.200000000001</v>
      </c>
      <c r="AA17" s="6" t="s">
        <v>110</v>
      </c>
      <c r="AB17" s="35">
        <f>Z16*1.1364</f>
        <v>24046.224000000002</v>
      </c>
      <c r="AD17" s="428" t="s">
        <v>111</v>
      </c>
      <c r="AE17" s="429"/>
      <c r="AF17" s="241">
        <v>185703.51</v>
      </c>
      <c r="AG17" s="8">
        <f>AF17-AG16</f>
        <v>-25.065599999972619</v>
      </c>
      <c r="AI17" s="31" t="s">
        <v>109</v>
      </c>
      <c r="AJ17" s="30"/>
      <c r="AK17" s="34">
        <f>AK16*AM16</f>
        <v>23171.599999999999</v>
      </c>
      <c r="AL17" s="6" t="s">
        <v>110</v>
      </c>
      <c r="AM17" s="35">
        <f>AK16*1.1364</f>
        <v>24091.68</v>
      </c>
      <c r="AO17" s="428" t="s">
        <v>111</v>
      </c>
      <c r="AP17" s="429"/>
      <c r="AQ17" s="241">
        <v>183154.29</v>
      </c>
      <c r="AR17" s="8">
        <f>AQ17-AR16</f>
        <v>1529.6352000000479</v>
      </c>
      <c r="AT17" s="31" t="s">
        <v>109</v>
      </c>
      <c r="AU17" s="30"/>
      <c r="AV17" s="34">
        <f>AV16*AX16</f>
        <v>21654.600000000002</v>
      </c>
      <c r="AW17" s="6" t="s">
        <v>110</v>
      </c>
      <c r="AX17" s="35">
        <f>AV16*1.1364</f>
        <v>24125.772000000001</v>
      </c>
      <c r="AZ17" s="428" t="s">
        <v>111</v>
      </c>
      <c r="BA17" s="429"/>
      <c r="BB17" s="241">
        <v>181593.8</v>
      </c>
      <c r="BC17" s="8">
        <f>BB17-BC16</f>
        <v>12536.532799999986</v>
      </c>
      <c r="BE17" s="31" t="s">
        <v>109</v>
      </c>
      <c r="BF17" s="30"/>
      <c r="BG17" s="34">
        <f>BG16*BI16</f>
        <v>21930</v>
      </c>
      <c r="BH17" s="6" t="s">
        <v>110</v>
      </c>
      <c r="BI17" s="35">
        <f>BG16*1.1364</f>
        <v>24432.600000000002</v>
      </c>
      <c r="BK17" s="428" t="s">
        <v>111</v>
      </c>
      <c r="BL17" s="429"/>
      <c r="BM17" s="241">
        <v>192769.74</v>
      </c>
      <c r="BN17" s="8">
        <f>BM17-BN16</f>
        <v>21292.584000000003</v>
      </c>
      <c r="BP17" s="31" t="s">
        <v>109</v>
      </c>
      <c r="BQ17" s="30"/>
      <c r="BR17" s="34">
        <f>BR16*BT16</f>
        <v>22145</v>
      </c>
      <c r="BS17" s="6" t="s">
        <v>110</v>
      </c>
      <c r="BT17" s="35">
        <f>BR16*1.1364</f>
        <v>24432.600000000002</v>
      </c>
      <c r="BV17" s="428" t="s">
        <v>111</v>
      </c>
      <c r="BW17" s="429"/>
      <c r="BX17" s="241">
        <v>191681.83</v>
      </c>
      <c r="BY17" s="8">
        <f>BX17-BY16</f>
        <v>19028.465199999977</v>
      </c>
      <c r="CA17" s="31" t="s">
        <v>109</v>
      </c>
      <c r="CB17" s="30"/>
      <c r="CC17" s="34">
        <f>CC16*CE16</f>
        <v>22648.5</v>
      </c>
      <c r="CD17" s="6" t="s">
        <v>110</v>
      </c>
      <c r="CE17" s="35">
        <f>CC16*1.1364</f>
        <v>24512.148000000001</v>
      </c>
      <c r="CG17" s="428" t="s">
        <v>111</v>
      </c>
      <c r="CH17" s="429"/>
      <c r="CI17" s="241">
        <v>186569.21</v>
      </c>
      <c r="CJ17" s="8">
        <f>CI17-CJ16</f>
        <v>10236.607999999978</v>
      </c>
      <c r="CL17" s="31" t="s">
        <v>109</v>
      </c>
      <c r="CM17" s="30"/>
      <c r="CN17" s="34">
        <f>CN16*CP16</f>
        <v>22790</v>
      </c>
      <c r="CO17" s="6" t="s">
        <v>110</v>
      </c>
      <c r="CP17" s="35">
        <f>CN16*1.1364</f>
        <v>24432.600000000002</v>
      </c>
      <c r="CR17" s="428" t="s">
        <v>111</v>
      </c>
      <c r="CS17" s="429"/>
      <c r="CT17" s="241">
        <v>191681.83</v>
      </c>
      <c r="CU17" s="8">
        <f>CT17-CU16</f>
        <v>14307.065199999983</v>
      </c>
      <c r="CW17" s="31" t="s">
        <v>109</v>
      </c>
      <c r="CX17" s="30"/>
      <c r="CY17" s="34">
        <f>CY16*DA16</f>
        <v>25884</v>
      </c>
      <c r="CZ17" s="6" t="s">
        <v>110</v>
      </c>
      <c r="DA17" s="35">
        <f>CY16*1.1364</f>
        <v>24512.148000000001</v>
      </c>
      <c r="DC17" s="428" t="s">
        <v>111</v>
      </c>
      <c r="DD17" s="429"/>
      <c r="DE17" s="241">
        <v>186569.21</v>
      </c>
      <c r="DF17" s="8">
        <f>DE17-DF16</f>
        <v>-13447.252000000008</v>
      </c>
      <c r="DI17" s="31" t="s">
        <v>109</v>
      </c>
      <c r="DJ17" s="30"/>
      <c r="DK17" s="34">
        <v>30000</v>
      </c>
      <c r="DL17" s="6" t="s">
        <v>110</v>
      </c>
      <c r="DM17" s="35">
        <f>DK16*1.1364</f>
        <v>24512.148000000001</v>
      </c>
      <c r="DO17" s="428" t="s">
        <v>111</v>
      </c>
      <c r="DP17" s="429"/>
      <c r="DQ17" s="241">
        <v>186569.21</v>
      </c>
      <c r="DR17" s="8">
        <f>DQ17-DR16</f>
        <v>-43576.372000000003</v>
      </c>
    </row>
    <row r="18" spans="1:122" s="4" customFormat="1" ht="15" thickBot="1" x14ac:dyDescent="0.25">
      <c r="B18" s="485" t="s">
        <v>117</v>
      </c>
      <c r="C18" s="486"/>
      <c r="D18" s="486"/>
      <c r="E18" s="487"/>
      <c r="F18" s="29">
        <v>61</v>
      </c>
      <c r="H18" s="428" t="s">
        <v>118</v>
      </c>
      <c r="I18" s="429"/>
      <c r="J18" s="3" t="s">
        <v>102</v>
      </c>
      <c r="K18" s="8">
        <f>IF(E24+F22+E25&gt;750000,1000,IF(E24+F22+E25&gt;750000,750,IF(E24+F22+E25&gt;P31500000,750,IF(E24+F22+E25&gt;500000,750,IF(E24+F22+E25&gt;250000,500,IF(E24+F22+E25&gt;250000,500,250))))))</f>
        <v>1000</v>
      </c>
      <c r="M18" s="485" t="s">
        <v>117</v>
      </c>
      <c r="N18" s="486"/>
      <c r="O18" s="486"/>
      <c r="P18" s="487"/>
      <c r="Q18" s="29">
        <v>61</v>
      </c>
      <c r="S18" s="428" t="s">
        <v>118</v>
      </c>
      <c r="T18" s="429"/>
      <c r="U18" s="3" t="s">
        <v>102</v>
      </c>
      <c r="V18" s="8">
        <f>IF(P24+Q22+P25&gt;750000,1000,IF(P24+Q22+P25&gt;750000,750,IF(P24+Q22+P25&gt;P31500000,750,IF(P24+Q22+P25&gt;500000,750,IF(P24+Q22+P25&gt;250000,500,IF(P24+Q22+P25&gt;250000,500,250))))))</f>
        <v>1000</v>
      </c>
      <c r="X18" s="485" t="s">
        <v>117</v>
      </c>
      <c r="Y18" s="486"/>
      <c r="Z18" s="486"/>
      <c r="AA18" s="487"/>
      <c r="AB18" s="29">
        <v>61</v>
      </c>
      <c r="AD18" s="428" t="s">
        <v>118</v>
      </c>
      <c r="AE18" s="429"/>
      <c r="AF18" s="3" t="s">
        <v>102</v>
      </c>
      <c r="AG18" s="8">
        <f>IF(AA24+AB22+AA25&gt;750000,1000,IF(AA24+AB22+AA25&gt;750000,750,IF(AA24+AB22+AA25&gt;P31500000,750,IF(AA24+AB22+AA25&gt;500000,750,IF(AA24+AB22+AA25&gt;250000,500,IF(AA24+AB22+AA25&gt;250000,500,250))))))</f>
        <v>1000</v>
      </c>
      <c r="AI18" s="485" t="s">
        <v>117</v>
      </c>
      <c r="AJ18" s="486"/>
      <c r="AK18" s="486"/>
      <c r="AL18" s="487"/>
      <c r="AM18" s="29">
        <v>61</v>
      </c>
      <c r="AO18" s="428" t="s">
        <v>118</v>
      </c>
      <c r="AP18" s="429"/>
      <c r="AQ18" s="3" t="s">
        <v>102</v>
      </c>
      <c r="AR18" s="8">
        <f>IF(AL24+AM22+AL25&gt;750000,1000,IF(AL24+AM22+AL25&gt;750000,750,IF(AL24+AM22+AL25&gt;P31500000,750,IF(AL24+AM22+AL25&gt;500000,750,IF(AL24+AM22+AL25&gt;250000,500,IF(AL24+AM22+AL25&gt;250000,500,250))))))</f>
        <v>1000</v>
      </c>
      <c r="AT18" s="485" t="s">
        <v>117</v>
      </c>
      <c r="AU18" s="486"/>
      <c r="AV18" s="486"/>
      <c r="AW18" s="487"/>
      <c r="AX18" s="29">
        <v>61</v>
      </c>
      <c r="AZ18" s="428" t="s">
        <v>118</v>
      </c>
      <c r="BA18" s="429"/>
      <c r="BB18" s="3" t="s">
        <v>102</v>
      </c>
      <c r="BC18" s="8">
        <f>IF(AW24+AX22+AW25&gt;750000,1000,IF(AW24+AX22+AW25&gt;750000,750,IF(AW24+AX22+AW25&gt;P31500000,750,IF(AW24+AX22+AW25&gt;500000,750,IF(AW24+AX22+AW25&gt;250000,500,IF(AW24+AX22+AW25&gt;250000,500,250))))))</f>
        <v>1000</v>
      </c>
      <c r="BE18" s="485" t="s">
        <v>117</v>
      </c>
      <c r="BF18" s="486"/>
      <c r="BG18" s="486"/>
      <c r="BH18" s="487"/>
      <c r="BI18" s="29">
        <v>61</v>
      </c>
      <c r="BK18" s="428" t="s">
        <v>118</v>
      </c>
      <c r="BL18" s="429"/>
      <c r="BM18" s="3" t="s">
        <v>102</v>
      </c>
      <c r="BN18" s="8">
        <v>2000</v>
      </c>
      <c r="BP18" s="485" t="s">
        <v>117</v>
      </c>
      <c r="BQ18" s="486"/>
      <c r="BR18" s="486"/>
      <c r="BS18" s="487"/>
      <c r="BT18" s="29">
        <v>61</v>
      </c>
      <c r="BV18" s="428" t="s">
        <v>118</v>
      </c>
      <c r="BW18" s="429"/>
      <c r="BX18" s="3" t="s">
        <v>102</v>
      </c>
      <c r="BY18" s="8">
        <v>2000</v>
      </c>
      <c r="CA18" s="485" t="s">
        <v>117</v>
      </c>
      <c r="CB18" s="486"/>
      <c r="CC18" s="486"/>
      <c r="CD18" s="487"/>
      <c r="CE18" s="29">
        <v>61</v>
      </c>
      <c r="CG18" s="428" t="s">
        <v>118</v>
      </c>
      <c r="CH18" s="429"/>
      <c r="CI18" s="3" t="s">
        <v>102</v>
      </c>
      <c r="CJ18" s="8">
        <v>2000</v>
      </c>
      <c r="CL18" s="485" t="s">
        <v>117</v>
      </c>
      <c r="CM18" s="486"/>
      <c r="CN18" s="486"/>
      <c r="CO18" s="487"/>
      <c r="CP18" s="29">
        <v>61</v>
      </c>
      <c r="CR18" s="428" t="s">
        <v>118</v>
      </c>
      <c r="CS18" s="429"/>
      <c r="CT18" s="3" t="s">
        <v>102</v>
      </c>
      <c r="CU18" s="8">
        <v>2000</v>
      </c>
      <c r="CW18" s="485" t="s">
        <v>117</v>
      </c>
      <c r="CX18" s="486"/>
      <c r="CY18" s="486"/>
      <c r="CZ18" s="487"/>
      <c r="DA18" s="29">
        <v>61</v>
      </c>
      <c r="DC18" s="428" t="s">
        <v>118</v>
      </c>
      <c r="DD18" s="429"/>
      <c r="DE18" s="3" t="s">
        <v>102</v>
      </c>
      <c r="DF18" s="8">
        <v>2000</v>
      </c>
      <c r="DI18" s="485" t="s">
        <v>117</v>
      </c>
      <c r="DJ18" s="486"/>
      <c r="DK18" s="486"/>
      <c r="DL18" s="487"/>
      <c r="DM18" s="29">
        <v>61</v>
      </c>
      <c r="DO18" s="428" t="s">
        <v>118</v>
      </c>
      <c r="DP18" s="429"/>
      <c r="DQ18" s="3" t="s">
        <v>102</v>
      </c>
      <c r="DR18" s="8">
        <v>2000</v>
      </c>
    </row>
    <row r="19" spans="1:122" s="4" customFormat="1" ht="15" thickBot="1" x14ac:dyDescent="0.25">
      <c r="H19" s="428" t="s">
        <v>123</v>
      </c>
      <c r="I19" s="429"/>
      <c r="J19" s="3" t="s">
        <v>124</v>
      </c>
      <c r="K19" s="8">
        <v>280</v>
      </c>
      <c r="S19" s="428" t="s">
        <v>123</v>
      </c>
      <c r="T19" s="429"/>
      <c r="U19" s="3" t="s">
        <v>124</v>
      </c>
      <c r="V19" s="8">
        <v>280</v>
      </c>
      <c r="AD19" s="428" t="s">
        <v>123</v>
      </c>
      <c r="AE19" s="429"/>
      <c r="AF19" s="3" t="s">
        <v>124</v>
      </c>
      <c r="AG19" s="8">
        <v>280</v>
      </c>
      <c r="AO19" s="428" t="s">
        <v>123</v>
      </c>
      <c r="AP19" s="429"/>
      <c r="AQ19" s="3" t="s">
        <v>124</v>
      </c>
      <c r="AR19" s="8">
        <v>280</v>
      </c>
      <c r="AZ19" s="428" t="s">
        <v>123</v>
      </c>
      <c r="BA19" s="429"/>
      <c r="BB19" s="3" t="s">
        <v>124</v>
      </c>
      <c r="BC19" s="8">
        <v>280</v>
      </c>
      <c r="BK19" s="428" t="s">
        <v>123</v>
      </c>
      <c r="BL19" s="429"/>
      <c r="BM19" s="3" t="s">
        <v>124</v>
      </c>
      <c r="BN19" s="8">
        <v>130</v>
      </c>
      <c r="BV19" s="428" t="s">
        <v>123</v>
      </c>
      <c r="BW19" s="429"/>
      <c r="BX19" s="3" t="s">
        <v>124</v>
      </c>
      <c r="BY19" s="8">
        <v>130</v>
      </c>
      <c r="CG19" s="428" t="s">
        <v>123</v>
      </c>
      <c r="CH19" s="429"/>
      <c r="CI19" s="3" t="s">
        <v>124</v>
      </c>
      <c r="CJ19" s="8">
        <v>130</v>
      </c>
      <c r="CR19" s="428" t="s">
        <v>123</v>
      </c>
      <c r="CS19" s="429"/>
      <c r="CT19" s="3" t="s">
        <v>124</v>
      </c>
      <c r="CU19" s="8">
        <v>130</v>
      </c>
      <c r="DC19" s="428" t="s">
        <v>123</v>
      </c>
      <c r="DD19" s="429"/>
      <c r="DE19" s="3" t="s">
        <v>124</v>
      </c>
      <c r="DF19" s="8">
        <v>130</v>
      </c>
      <c r="DO19" s="428" t="s">
        <v>123</v>
      </c>
      <c r="DP19" s="429"/>
      <c r="DQ19" s="3" t="s">
        <v>124</v>
      </c>
      <c r="DR19" s="8">
        <v>130</v>
      </c>
    </row>
    <row r="20" spans="1:122" s="4" customFormat="1" ht="15" thickBot="1" x14ac:dyDescent="0.25">
      <c r="B20" s="433" t="s">
        <v>128</v>
      </c>
      <c r="C20" s="434"/>
      <c r="D20" s="434"/>
      <c r="E20" s="434"/>
      <c r="F20" s="435"/>
      <c r="H20" s="428" t="s">
        <v>129</v>
      </c>
      <c r="I20" s="429"/>
      <c r="J20" s="3" t="s">
        <v>124</v>
      </c>
      <c r="K20" s="8">
        <v>292</v>
      </c>
      <c r="M20" s="433" t="s">
        <v>128</v>
      </c>
      <c r="N20" s="434"/>
      <c r="O20" s="434"/>
      <c r="P20" s="434"/>
      <c r="Q20" s="435"/>
      <c r="S20" s="428" t="s">
        <v>129</v>
      </c>
      <c r="T20" s="429"/>
      <c r="U20" s="3" t="s">
        <v>124</v>
      </c>
      <c r="V20" s="8">
        <v>284</v>
      </c>
      <c r="X20" s="433" t="s">
        <v>128</v>
      </c>
      <c r="Y20" s="434"/>
      <c r="Z20" s="434"/>
      <c r="AA20" s="434"/>
      <c r="AB20" s="435"/>
      <c r="AD20" s="428" t="s">
        <v>129</v>
      </c>
      <c r="AE20" s="429"/>
      <c r="AF20" s="3" t="s">
        <v>124</v>
      </c>
      <c r="AG20" s="8">
        <v>284</v>
      </c>
      <c r="AI20" s="433" t="s">
        <v>128</v>
      </c>
      <c r="AJ20" s="434"/>
      <c r="AK20" s="434"/>
      <c r="AL20" s="434"/>
      <c r="AM20" s="435"/>
      <c r="AO20" s="428" t="s">
        <v>129</v>
      </c>
      <c r="AP20" s="429"/>
      <c r="AQ20" s="3" t="s">
        <v>124</v>
      </c>
      <c r="AR20" s="8">
        <v>279</v>
      </c>
      <c r="AT20" s="433" t="s">
        <v>128</v>
      </c>
      <c r="AU20" s="434"/>
      <c r="AV20" s="434"/>
      <c r="AW20" s="434"/>
      <c r="AX20" s="435"/>
      <c r="AZ20" s="428" t="s">
        <v>129</v>
      </c>
      <c r="BA20" s="429"/>
      <c r="BB20" s="3" t="s">
        <v>124</v>
      </c>
      <c r="BC20" s="8">
        <v>278</v>
      </c>
      <c r="BE20" s="433" t="s">
        <v>128</v>
      </c>
      <c r="BF20" s="434"/>
      <c r="BG20" s="434"/>
      <c r="BH20" s="434"/>
      <c r="BI20" s="435"/>
      <c r="BK20" s="428" t="s">
        <v>129</v>
      </c>
      <c r="BL20" s="429"/>
      <c r="BM20" s="3" t="s">
        <v>124</v>
      </c>
      <c r="BN20" s="8">
        <v>291</v>
      </c>
      <c r="BP20" s="433" t="s">
        <v>128</v>
      </c>
      <c r="BQ20" s="434"/>
      <c r="BR20" s="434"/>
      <c r="BS20" s="434"/>
      <c r="BT20" s="435"/>
      <c r="BV20" s="428" t="s">
        <v>129</v>
      </c>
      <c r="BW20" s="429"/>
      <c r="BX20" s="3" t="s">
        <v>124</v>
      </c>
      <c r="BY20" s="8">
        <v>291</v>
      </c>
      <c r="CA20" s="433" t="s">
        <v>128</v>
      </c>
      <c r="CB20" s="434"/>
      <c r="CC20" s="434"/>
      <c r="CD20" s="434"/>
      <c r="CE20" s="435"/>
      <c r="CG20" s="428" t="s">
        <v>129</v>
      </c>
      <c r="CH20" s="429"/>
      <c r="CI20" s="3" t="s">
        <v>124</v>
      </c>
      <c r="CJ20" s="8">
        <v>281</v>
      </c>
      <c r="CL20" s="433" t="s">
        <v>128</v>
      </c>
      <c r="CM20" s="434"/>
      <c r="CN20" s="434"/>
      <c r="CO20" s="434"/>
      <c r="CP20" s="435"/>
      <c r="CR20" s="428" t="s">
        <v>129</v>
      </c>
      <c r="CS20" s="429"/>
      <c r="CT20" s="3" t="s">
        <v>124</v>
      </c>
      <c r="CU20" s="8">
        <v>291</v>
      </c>
      <c r="CW20" s="433" t="s">
        <v>128</v>
      </c>
      <c r="CX20" s="434"/>
      <c r="CY20" s="434"/>
      <c r="CZ20" s="434"/>
      <c r="DA20" s="435"/>
      <c r="DC20" s="428" t="s">
        <v>129</v>
      </c>
      <c r="DD20" s="429"/>
      <c r="DE20" s="3" t="s">
        <v>124</v>
      </c>
      <c r="DF20" s="8">
        <v>281</v>
      </c>
      <c r="DI20" s="433" t="s">
        <v>128</v>
      </c>
      <c r="DJ20" s="434"/>
      <c r="DK20" s="434"/>
      <c r="DL20" s="434"/>
      <c r="DM20" s="435"/>
      <c r="DO20" s="428" t="s">
        <v>129</v>
      </c>
      <c r="DP20" s="429"/>
      <c r="DQ20" s="3" t="s">
        <v>124</v>
      </c>
      <c r="DR20" s="8">
        <v>281</v>
      </c>
    </row>
    <row r="21" spans="1:122" s="4" customFormat="1" ht="15" thickBot="1" x14ac:dyDescent="0.25">
      <c r="B21" s="436" t="s">
        <v>136</v>
      </c>
      <c r="C21" s="437"/>
      <c r="D21" s="437"/>
      <c r="E21" s="437"/>
      <c r="F21" s="438"/>
      <c r="H21" s="9" t="s">
        <v>137</v>
      </c>
      <c r="I21" s="23"/>
      <c r="J21" s="439">
        <f>SUM(K16:K20)</f>
        <v>188342.97</v>
      </c>
      <c r="K21" s="440"/>
      <c r="M21" s="436" t="s">
        <v>136</v>
      </c>
      <c r="N21" s="437"/>
      <c r="O21" s="437"/>
      <c r="P21" s="437"/>
      <c r="Q21" s="438"/>
      <c r="S21" s="9" t="s">
        <v>137</v>
      </c>
      <c r="T21" s="23"/>
      <c r="U21" s="439">
        <f>SUM(V16:V20)</f>
        <v>188603.28</v>
      </c>
      <c r="V21" s="440"/>
      <c r="X21" s="436" t="s">
        <v>136</v>
      </c>
      <c r="Y21" s="437"/>
      <c r="Z21" s="437"/>
      <c r="AA21" s="437"/>
      <c r="AB21" s="438"/>
      <c r="AD21" s="9" t="s">
        <v>137</v>
      </c>
      <c r="AE21" s="23"/>
      <c r="AF21" s="439">
        <f>SUM(AG16:AG20)</f>
        <v>187267.51</v>
      </c>
      <c r="AG21" s="440"/>
      <c r="AI21" s="436" t="s">
        <v>136</v>
      </c>
      <c r="AJ21" s="437"/>
      <c r="AK21" s="437"/>
      <c r="AL21" s="437"/>
      <c r="AM21" s="438"/>
      <c r="AO21" s="9" t="s">
        <v>137</v>
      </c>
      <c r="AP21" s="23"/>
      <c r="AQ21" s="439">
        <f>SUM(AR16:AR20)</f>
        <v>184713.29</v>
      </c>
      <c r="AR21" s="440"/>
      <c r="AT21" s="436" t="s">
        <v>136</v>
      </c>
      <c r="AU21" s="437"/>
      <c r="AV21" s="437"/>
      <c r="AW21" s="437"/>
      <c r="AX21" s="438"/>
      <c r="AZ21" s="9" t="s">
        <v>137</v>
      </c>
      <c r="BA21" s="23"/>
      <c r="BB21" s="439">
        <f>SUM(BC16:BC20)</f>
        <v>183151.8</v>
      </c>
      <c r="BC21" s="440"/>
      <c r="BE21" s="436" t="s">
        <v>136</v>
      </c>
      <c r="BF21" s="437"/>
      <c r="BG21" s="437"/>
      <c r="BH21" s="437"/>
      <c r="BI21" s="438"/>
      <c r="BK21" s="9" t="s">
        <v>137</v>
      </c>
      <c r="BL21" s="23"/>
      <c r="BM21" s="439">
        <f>SUM(BN16:BN20)</f>
        <v>195190.74</v>
      </c>
      <c r="BN21" s="440"/>
      <c r="BP21" s="436" t="s">
        <v>136</v>
      </c>
      <c r="BQ21" s="437"/>
      <c r="BR21" s="437"/>
      <c r="BS21" s="437"/>
      <c r="BT21" s="438"/>
      <c r="BV21" s="9" t="s">
        <v>137</v>
      </c>
      <c r="BW21" s="23"/>
      <c r="BX21" s="439">
        <f>SUM(BY16:BY20)</f>
        <v>194102.83</v>
      </c>
      <c r="BY21" s="440"/>
      <c r="CA21" s="436" t="s">
        <v>136</v>
      </c>
      <c r="CB21" s="437"/>
      <c r="CC21" s="437"/>
      <c r="CD21" s="437"/>
      <c r="CE21" s="438"/>
      <c r="CG21" s="9" t="s">
        <v>137</v>
      </c>
      <c r="CH21" s="23"/>
      <c r="CI21" s="439">
        <f>SUM(CJ16:CJ20)</f>
        <v>188980.21</v>
      </c>
      <c r="CJ21" s="440"/>
      <c r="CL21" s="436" t="s">
        <v>136</v>
      </c>
      <c r="CM21" s="437"/>
      <c r="CN21" s="437"/>
      <c r="CO21" s="437"/>
      <c r="CP21" s="438"/>
      <c r="CR21" s="9" t="s">
        <v>137</v>
      </c>
      <c r="CS21" s="23"/>
      <c r="CT21" s="439">
        <f>SUM(CU16:CU20)</f>
        <v>194102.83</v>
      </c>
      <c r="CU21" s="440"/>
      <c r="CW21" s="436" t="s">
        <v>136</v>
      </c>
      <c r="CX21" s="437"/>
      <c r="CY21" s="437"/>
      <c r="CZ21" s="437"/>
      <c r="DA21" s="438"/>
      <c r="DC21" s="9" t="s">
        <v>137</v>
      </c>
      <c r="DD21" s="23"/>
      <c r="DE21" s="439">
        <f>SUM(DF16:DF20)</f>
        <v>188980.21</v>
      </c>
      <c r="DF21" s="440"/>
      <c r="DI21" s="436" t="s">
        <v>136</v>
      </c>
      <c r="DJ21" s="437"/>
      <c r="DK21" s="437"/>
      <c r="DL21" s="437"/>
      <c r="DM21" s="438"/>
      <c r="DO21" s="9" t="s">
        <v>137</v>
      </c>
      <c r="DP21" s="23"/>
      <c r="DQ21" s="439">
        <f>SUM(DR16:DR20)</f>
        <v>188980.21</v>
      </c>
      <c r="DR21" s="440"/>
    </row>
    <row r="22" spans="1:122" s="4" customFormat="1" ht="15" thickBot="1" x14ac:dyDescent="0.25">
      <c r="B22" s="457" t="s">
        <v>142</v>
      </c>
      <c r="C22" s="458"/>
      <c r="D22" s="458"/>
      <c r="E22" s="39" t="s">
        <v>102</v>
      </c>
      <c r="F22" s="49">
        <f>D17*F18</f>
        <v>1802264.52</v>
      </c>
      <c r="M22" s="457" t="s">
        <v>142</v>
      </c>
      <c r="N22" s="458"/>
      <c r="O22" s="458"/>
      <c r="P22" s="39" t="s">
        <v>102</v>
      </c>
      <c r="Q22" s="49">
        <f>O17*Q18</f>
        <v>1270386</v>
      </c>
      <c r="X22" s="457" t="s">
        <v>142</v>
      </c>
      <c r="Y22" s="458"/>
      <c r="Z22" s="458"/>
      <c r="AA22" s="39" t="s">
        <v>102</v>
      </c>
      <c r="AB22" s="49">
        <f>Z17*AB18</f>
        <v>1445651.2</v>
      </c>
      <c r="AI22" s="457" t="s">
        <v>142</v>
      </c>
      <c r="AJ22" s="458"/>
      <c r="AK22" s="458"/>
      <c r="AL22" s="39" t="s">
        <v>102</v>
      </c>
      <c r="AM22" s="49">
        <f>AK17*AM18</f>
        <v>1413467.5999999999</v>
      </c>
      <c r="AT22" s="457" t="s">
        <v>142</v>
      </c>
      <c r="AU22" s="458"/>
      <c r="AV22" s="458"/>
      <c r="AW22" s="39" t="s">
        <v>102</v>
      </c>
      <c r="AX22" s="49">
        <f>AV17*AX18</f>
        <v>1320930.6000000001</v>
      </c>
      <c r="BE22" s="457" t="s">
        <v>142</v>
      </c>
      <c r="BF22" s="458"/>
      <c r="BG22" s="458"/>
      <c r="BH22" s="39" t="s">
        <v>102</v>
      </c>
      <c r="BI22" s="49">
        <f>BG17*BI18</f>
        <v>1337730</v>
      </c>
      <c r="BP22" s="457" t="s">
        <v>142</v>
      </c>
      <c r="BQ22" s="458"/>
      <c r="BR22" s="458"/>
      <c r="BS22" s="39" t="s">
        <v>102</v>
      </c>
      <c r="BT22" s="49">
        <f>BR17*BT18</f>
        <v>1350845</v>
      </c>
      <c r="CA22" s="457" t="s">
        <v>142</v>
      </c>
      <c r="CB22" s="458"/>
      <c r="CC22" s="458"/>
      <c r="CD22" s="39" t="s">
        <v>102</v>
      </c>
      <c r="CE22" s="49">
        <f>CC17*CE18</f>
        <v>1381558.5</v>
      </c>
      <c r="CL22" s="457" t="s">
        <v>142</v>
      </c>
      <c r="CM22" s="458"/>
      <c r="CN22" s="458"/>
      <c r="CO22" s="39" t="s">
        <v>102</v>
      </c>
      <c r="CP22" s="49">
        <f>CN17*CP18</f>
        <v>1390190</v>
      </c>
      <c r="CW22" s="457" t="s">
        <v>142</v>
      </c>
      <c r="CX22" s="458"/>
      <c r="CY22" s="458"/>
      <c r="CZ22" s="39" t="s">
        <v>102</v>
      </c>
      <c r="DA22" s="49">
        <f>CY17*DA18</f>
        <v>1578924</v>
      </c>
      <c r="DI22" s="457" t="s">
        <v>142</v>
      </c>
      <c r="DJ22" s="458"/>
      <c r="DK22" s="458"/>
      <c r="DL22" s="39" t="s">
        <v>102</v>
      </c>
      <c r="DM22" s="49">
        <f>DK17*DM18</f>
        <v>1830000</v>
      </c>
    </row>
    <row r="23" spans="1:122" s="4" customFormat="1" ht="15" thickBot="1" x14ac:dyDescent="0.25">
      <c r="B23" s="436" t="s">
        <v>148</v>
      </c>
      <c r="C23" s="437"/>
      <c r="D23" s="437"/>
      <c r="E23" s="437"/>
      <c r="F23" s="438"/>
      <c r="H23" s="425" t="s">
        <v>149</v>
      </c>
      <c r="I23" s="426"/>
      <c r="J23" s="426"/>
      <c r="K23" s="427"/>
      <c r="M23" s="436" t="s">
        <v>148</v>
      </c>
      <c r="N23" s="437"/>
      <c r="O23" s="437"/>
      <c r="P23" s="437"/>
      <c r="Q23" s="438"/>
      <c r="S23" s="425" t="s">
        <v>149</v>
      </c>
      <c r="T23" s="426"/>
      <c r="U23" s="426"/>
      <c r="V23" s="427"/>
      <c r="X23" s="436" t="s">
        <v>148</v>
      </c>
      <c r="Y23" s="437"/>
      <c r="Z23" s="437"/>
      <c r="AA23" s="437"/>
      <c r="AB23" s="438"/>
      <c r="AD23" s="425" t="s">
        <v>149</v>
      </c>
      <c r="AE23" s="426"/>
      <c r="AF23" s="426"/>
      <c r="AG23" s="427"/>
      <c r="AI23" s="436" t="s">
        <v>148</v>
      </c>
      <c r="AJ23" s="437"/>
      <c r="AK23" s="437"/>
      <c r="AL23" s="437"/>
      <c r="AM23" s="438"/>
      <c r="AO23" s="425" t="s">
        <v>149</v>
      </c>
      <c r="AP23" s="426"/>
      <c r="AQ23" s="426"/>
      <c r="AR23" s="427"/>
      <c r="AT23" s="436" t="s">
        <v>148</v>
      </c>
      <c r="AU23" s="437"/>
      <c r="AV23" s="437"/>
      <c r="AW23" s="437"/>
      <c r="AX23" s="438"/>
      <c r="AZ23" s="425" t="s">
        <v>149</v>
      </c>
      <c r="BA23" s="426"/>
      <c r="BB23" s="426"/>
      <c r="BC23" s="427"/>
      <c r="BE23" s="436" t="s">
        <v>148</v>
      </c>
      <c r="BF23" s="437"/>
      <c r="BG23" s="437"/>
      <c r="BH23" s="437"/>
      <c r="BI23" s="438"/>
      <c r="BK23" s="425" t="s">
        <v>149</v>
      </c>
      <c r="BL23" s="426"/>
      <c r="BM23" s="426"/>
      <c r="BN23" s="427"/>
      <c r="BP23" s="436" t="s">
        <v>148</v>
      </c>
      <c r="BQ23" s="437"/>
      <c r="BR23" s="437"/>
      <c r="BS23" s="437"/>
      <c r="BT23" s="438"/>
      <c r="BV23" s="425" t="s">
        <v>149</v>
      </c>
      <c r="BW23" s="426"/>
      <c r="BX23" s="426"/>
      <c r="BY23" s="427"/>
      <c r="CA23" s="436" t="s">
        <v>148</v>
      </c>
      <c r="CB23" s="437"/>
      <c r="CC23" s="437"/>
      <c r="CD23" s="437"/>
      <c r="CE23" s="438"/>
      <c r="CG23" s="425" t="s">
        <v>149</v>
      </c>
      <c r="CH23" s="426"/>
      <c r="CI23" s="426"/>
      <c r="CJ23" s="427"/>
      <c r="CL23" s="436" t="s">
        <v>148</v>
      </c>
      <c r="CM23" s="437"/>
      <c r="CN23" s="437"/>
      <c r="CO23" s="437"/>
      <c r="CP23" s="438"/>
      <c r="CR23" s="425" t="s">
        <v>149</v>
      </c>
      <c r="CS23" s="426"/>
      <c r="CT23" s="426"/>
      <c r="CU23" s="427"/>
      <c r="CW23" s="436" t="s">
        <v>148</v>
      </c>
      <c r="CX23" s="437"/>
      <c r="CY23" s="437"/>
      <c r="CZ23" s="437"/>
      <c r="DA23" s="438"/>
      <c r="DC23" s="425" t="s">
        <v>149</v>
      </c>
      <c r="DD23" s="426"/>
      <c r="DE23" s="426"/>
      <c r="DF23" s="427"/>
      <c r="DI23" s="436" t="s">
        <v>148</v>
      </c>
      <c r="DJ23" s="437"/>
      <c r="DK23" s="437"/>
      <c r="DL23" s="437"/>
      <c r="DM23" s="438"/>
      <c r="DO23" s="425" t="s">
        <v>149</v>
      </c>
      <c r="DP23" s="426"/>
      <c r="DQ23" s="426"/>
      <c r="DR23" s="427"/>
    </row>
    <row r="24" spans="1:122" s="4" customFormat="1" x14ac:dyDescent="0.2">
      <c r="A24" s="286">
        <f>F24/F22</f>
        <v>5.1628381387655568E-2</v>
      </c>
      <c r="B24" s="40" t="s">
        <v>157</v>
      </c>
      <c r="C24" s="41"/>
      <c r="D24" s="41" t="s">
        <v>102</v>
      </c>
      <c r="E24" s="42">
        <v>35044</v>
      </c>
      <c r="F24" s="442">
        <f>SUM(E24:E25)</f>
        <v>93048</v>
      </c>
      <c r="H24" s="428" t="s">
        <v>158</v>
      </c>
      <c r="I24" s="429"/>
      <c r="J24" s="7" t="s">
        <v>159</v>
      </c>
      <c r="K24" s="14">
        <v>52192</v>
      </c>
      <c r="L24" s="286">
        <f>Q24/Q22</f>
        <v>6.4247401970739595E-2</v>
      </c>
      <c r="M24" s="40" t="s">
        <v>157</v>
      </c>
      <c r="N24" s="41"/>
      <c r="O24" s="41" t="s">
        <v>102</v>
      </c>
      <c r="P24" s="42">
        <v>34173</v>
      </c>
      <c r="Q24" s="442">
        <f>SUM(P24:P25)</f>
        <v>81619</v>
      </c>
      <c r="S24" s="428" t="s">
        <v>158</v>
      </c>
      <c r="T24" s="429"/>
      <c r="U24" s="7" t="s">
        <v>159</v>
      </c>
      <c r="V24" s="14">
        <v>26659.8</v>
      </c>
      <c r="W24" s="286">
        <f>AB24/AB22</f>
        <v>6.082864248305539E-2</v>
      </c>
      <c r="X24" s="40" t="s">
        <v>157</v>
      </c>
      <c r="Y24" s="41"/>
      <c r="Z24" s="41" t="s">
        <v>102</v>
      </c>
      <c r="AA24" s="42">
        <v>34085</v>
      </c>
      <c r="AB24" s="442">
        <f>SUM(AA24:AA25)</f>
        <v>87937</v>
      </c>
      <c r="AD24" s="428" t="s">
        <v>158</v>
      </c>
      <c r="AE24" s="429"/>
      <c r="AF24" s="7" t="s">
        <v>159</v>
      </c>
      <c r="AG24" s="14">
        <v>38671.56</v>
      </c>
      <c r="AH24" s="286">
        <f>AM24/AM22</f>
        <v>6.040463891779338E-2</v>
      </c>
      <c r="AI24" s="40" t="s">
        <v>157</v>
      </c>
      <c r="AJ24" s="41"/>
      <c r="AK24" s="41" t="s">
        <v>102</v>
      </c>
      <c r="AL24" s="42">
        <v>33551</v>
      </c>
      <c r="AM24" s="442">
        <f>SUM(AL24:AL25)</f>
        <v>85380</v>
      </c>
      <c r="AO24" s="428" t="s">
        <v>158</v>
      </c>
      <c r="AP24" s="429"/>
      <c r="AQ24" s="7" t="s">
        <v>159</v>
      </c>
      <c r="AR24" s="14">
        <v>38112.980000000003</v>
      </c>
      <c r="AS24" s="286">
        <f>AX24/AX22</f>
        <v>5.5419262753092398E-2</v>
      </c>
      <c r="AT24" s="40" t="s">
        <v>157</v>
      </c>
      <c r="AU24" s="41"/>
      <c r="AV24" s="41" t="s">
        <v>102</v>
      </c>
      <c r="AW24" s="42">
        <v>25029</v>
      </c>
      <c r="AX24" s="442">
        <f>SUM(AW24:AW25)</f>
        <v>73205</v>
      </c>
      <c r="AZ24" s="428" t="s">
        <v>158</v>
      </c>
      <c r="BA24" s="429"/>
      <c r="BB24" s="7" t="s">
        <v>159</v>
      </c>
      <c r="BC24" s="14">
        <v>38112.980000000003</v>
      </c>
      <c r="BD24" s="286">
        <f>BI24/BI22</f>
        <v>5.7607289961352441E-2</v>
      </c>
      <c r="BE24" s="40" t="s">
        <v>157</v>
      </c>
      <c r="BF24" s="41"/>
      <c r="BG24" s="41" t="s">
        <v>102</v>
      </c>
      <c r="BH24" s="42">
        <v>26234</v>
      </c>
      <c r="BI24" s="442">
        <f>SUM(BH24:BH25)</f>
        <v>77063</v>
      </c>
      <c r="BK24" s="428" t="s">
        <v>158</v>
      </c>
      <c r="BL24" s="429"/>
      <c r="BM24" s="7" t="s">
        <v>159</v>
      </c>
      <c r="BN24" s="14">
        <v>29344.15</v>
      </c>
      <c r="BO24" s="286" t="e">
        <f>#REF!/#REF!</f>
        <v>#REF!</v>
      </c>
      <c r="BP24" s="40" t="s">
        <v>157</v>
      </c>
      <c r="BQ24" s="41"/>
      <c r="BR24" s="41" t="s">
        <v>102</v>
      </c>
      <c r="BS24" s="42">
        <v>25029</v>
      </c>
      <c r="BT24" s="442">
        <f>SUM(BS24:BS25)</f>
        <v>73205</v>
      </c>
      <c r="BV24" s="428" t="s">
        <v>158</v>
      </c>
      <c r="BW24" s="429"/>
      <c r="BX24" s="7" t="s">
        <v>159</v>
      </c>
      <c r="BY24" s="14">
        <v>36399.800000000003</v>
      </c>
      <c r="BZ24" s="286"/>
      <c r="CA24" s="40" t="s">
        <v>157</v>
      </c>
      <c r="CB24" s="41"/>
      <c r="CC24" s="41" t="s">
        <v>102</v>
      </c>
      <c r="CD24" s="42">
        <v>25029</v>
      </c>
      <c r="CE24" s="442">
        <f>SUM(CD24:CD25)</f>
        <v>73205</v>
      </c>
      <c r="CG24" s="428" t="s">
        <v>158</v>
      </c>
      <c r="CH24" s="429"/>
      <c r="CI24" s="7" t="s">
        <v>159</v>
      </c>
      <c r="CJ24" s="14">
        <v>42510</v>
      </c>
      <c r="CL24" s="40" t="s">
        <v>157</v>
      </c>
      <c r="CM24" s="41"/>
      <c r="CN24" s="41" t="s">
        <v>102</v>
      </c>
      <c r="CO24" s="42">
        <v>25029</v>
      </c>
      <c r="CP24" s="442">
        <f>SUM(CO24:CO25)</f>
        <v>73205</v>
      </c>
      <c r="CR24" s="428" t="s">
        <v>158</v>
      </c>
      <c r="CS24" s="429"/>
      <c r="CT24" s="7" t="s">
        <v>159</v>
      </c>
      <c r="CU24" s="14">
        <v>36399.800000000003</v>
      </c>
      <c r="CW24" s="40" t="s">
        <v>157</v>
      </c>
      <c r="CX24" s="41"/>
      <c r="CY24" s="41" t="s">
        <v>102</v>
      </c>
      <c r="CZ24" s="42">
        <v>25029</v>
      </c>
      <c r="DA24" s="442">
        <f>SUM(CZ24:CZ25)</f>
        <v>73205</v>
      </c>
      <c r="DC24" s="428" t="s">
        <v>158</v>
      </c>
      <c r="DD24" s="429"/>
      <c r="DE24" s="7" t="s">
        <v>159</v>
      </c>
      <c r="DF24" s="14">
        <v>42510</v>
      </c>
      <c r="DH24" s="286"/>
      <c r="DI24" s="40" t="s">
        <v>157</v>
      </c>
      <c r="DJ24" s="41"/>
      <c r="DK24" s="41" t="s">
        <v>102</v>
      </c>
      <c r="DL24" s="42">
        <v>25029</v>
      </c>
      <c r="DM24" s="442">
        <f>SUM(DL24:DL25)</f>
        <v>73205</v>
      </c>
      <c r="DO24" s="428" t="s">
        <v>158</v>
      </c>
      <c r="DP24" s="429"/>
      <c r="DQ24" s="7" t="s">
        <v>159</v>
      </c>
      <c r="DR24" s="14">
        <v>42510</v>
      </c>
    </row>
    <row r="25" spans="1:122" s="4" customFormat="1" x14ac:dyDescent="0.2">
      <c r="B25" s="43" t="s">
        <v>162</v>
      </c>
      <c r="C25" s="36"/>
      <c r="D25" s="41" t="s">
        <v>102</v>
      </c>
      <c r="E25" s="44">
        <v>58004</v>
      </c>
      <c r="F25" s="443"/>
      <c r="H25" s="428" t="s">
        <v>163</v>
      </c>
      <c r="I25" s="429"/>
      <c r="J25" s="7" t="s">
        <v>159</v>
      </c>
      <c r="K25" s="14"/>
      <c r="M25" s="43" t="s">
        <v>162</v>
      </c>
      <c r="N25" s="36"/>
      <c r="O25" s="41" t="s">
        <v>102</v>
      </c>
      <c r="P25" s="44">
        <v>47446</v>
      </c>
      <c r="Q25" s="443"/>
      <c r="S25" s="428" t="s">
        <v>163</v>
      </c>
      <c r="T25" s="429"/>
      <c r="U25" s="7" t="s">
        <v>159</v>
      </c>
      <c r="V25" s="14">
        <v>539.05999999999995</v>
      </c>
      <c r="X25" s="43" t="s">
        <v>162</v>
      </c>
      <c r="Y25" s="36"/>
      <c r="Z25" s="41" t="s">
        <v>102</v>
      </c>
      <c r="AA25" s="44">
        <v>53852</v>
      </c>
      <c r="AB25" s="443"/>
      <c r="AD25" s="428" t="s">
        <v>163</v>
      </c>
      <c r="AE25" s="429"/>
      <c r="AF25" s="7" t="s">
        <v>159</v>
      </c>
      <c r="AG25" s="14">
        <v>0</v>
      </c>
      <c r="AI25" s="43" t="s">
        <v>162</v>
      </c>
      <c r="AJ25" s="36"/>
      <c r="AK25" s="41" t="s">
        <v>102</v>
      </c>
      <c r="AL25" s="44">
        <v>51829</v>
      </c>
      <c r="AM25" s="443"/>
      <c r="AO25" s="428" t="s">
        <v>163</v>
      </c>
      <c r="AP25" s="429"/>
      <c r="AQ25" s="7" t="s">
        <v>159</v>
      </c>
      <c r="AR25" s="14">
        <v>0</v>
      </c>
      <c r="AT25" s="43" t="s">
        <v>162</v>
      </c>
      <c r="AU25" s="36"/>
      <c r="AV25" s="41" t="s">
        <v>102</v>
      </c>
      <c r="AW25" s="44">
        <v>48176</v>
      </c>
      <c r="AX25" s="443"/>
      <c r="AZ25" s="428" t="s">
        <v>163</v>
      </c>
      <c r="BA25" s="429"/>
      <c r="BB25" s="7" t="s">
        <v>159</v>
      </c>
      <c r="BC25" s="14">
        <v>0</v>
      </c>
      <c r="BE25" s="43" t="s">
        <v>162</v>
      </c>
      <c r="BF25" s="36"/>
      <c r="BG25" s="41" t="s">
        <v>102</v>
      </c>
      <c r="BH25" s="44">
        <v>50829</v>
      </c>
      <c r="BI25" s="443"/>
      <c r="BK25" s="428" t="s">
        <v>163</v>
      </c>
      <c r="BL25" s="429"/>
      <c r="BM25" s="7" t="s">
        <v>159</v>
      </c>
      <c r="BN25" s="14">
        <v>0</v>
      </c>
      <c r="BP25" s="43" t="s">
        <v>162</v>
      </c>
      <c r="BQ25" s="36"/>
      <c r="BR25" s="41" t="s">
        <v>102</v>
      </c>
      <c r="BS25" s="44">
        <v>48176</v>
      </c>
      <c r="BT25" s="443"/>
      <c r="BV25" s="428" t="s">
        <v>163</v>
      </c>
      <c r="BW25" s="429"/>
      <c r="BX25" s="7" t="s">
        <v>159</v>
      </c>
      <c r="BY25" s="14">
        <v>0</v>
      </c>
      <c r="CA25" s="43" t="s">
        <v>162</v>
      </c>
      <c r="CB25" s="36"/>
      <c r="CC25" s="41" t="s">
        <v>102</v>
      </c>
      <c r="CD25" s="44">
        <v>48176</v>
      </c>
      <c r="CE25" s="443"/>
      <c r="CG25" s="428" t="s">
        <v>163</v>
      </c>
      <c r="CH25" s="429"/>
      <c r="CI25" s="7" t="s">
        <v>159</v>
      </c>
      <c r="CJ25" s="14">
        <v>2846.23</v>
      </c>
      <c r="CL25" s="43" t="s">
        <v>162</v>
      </c>
      <c r="CM25" s="36"/>
      <c r="CN25" s="41" t="s">
        <v>102</v>
      </c>
      <c r="CO25" s="44">
        <v>48176</v>
      </c>
      <c r="CP25" s="443"/>
      <c r="CR25" s="428" t="s">
        <v>163</v>
      </c>
      <c r="CS25" s="429"/>
      <c r="CT25" s="7" t="s">
        <v>159</v>
      </c>
      <c r="CU25" s="14">
        <v>0</v>
      </c>
      <c r="CW25" s="43" t="s">
        <v>162</v>
      </c>
      <c r="CX25" s="36"/>
      <c r="CY25" s="41" t="s">
        <v>102</v>
      </c>
      <c r="CZ25" s="44">
        <v>48176</v>
      </c>
      <c r="DA25" s="443"/>
      <c r="DC25" s="428" t="s">
        <v>163</v>
      </c>
      <c r="DD25" s="429"/>
      <c r="DE25" s="7" t="s">
        <v>159</v>
      </c>
      <c r="DF25" s="14">
        <v>2846.23</v>
      </c>
      <c r="DI25" s="43" t="s">
        <v>162</v>
      </c>
      <c r="DJ25" s="36"/>
      <c r="DK25" s="41" t="s">
        <v>102</v>
      </c>
      <c r="DL25" s="44">
        <v>48176</v>
      </c>
      <c r="DM25" s="443"/>
      <c r="DO25" s="428" t="s">
        <v>163</v>
      </c>
      <c r="DP25" s="429"/>
      <c r="DQ25" s="7" t="s">
        <v>159</v>
      </c>
      <c r="DR25" s="14">
        <v>2846.23</v>
      </c>
    </row>
    <row r="26" spans="1:122" s="4" customFormat="1" ht="15" thickBot="1" x14ac:dyDescent="0.25">
      <c r="B26" s="446" t="s">
        <v>171</v>
      </c>
      <c r="C26" s="447"/>
      <c r="D26" s="447"/>
      <c r="E26" s="448"/>
      <c r="F26" s="26">
        <f>SUM(F22:F24)</f>
        <v>1895312.52</v>
      </c>
      <c r="H26" s="428" t="s">
        <v>172</v>
      </c>
      <c r="I26" s="429"/>
      <c r="J26" s="7" t="s">
        <v>159</v>
      </c>
      <c r="K26" s="8">
        <v>30000</v>
      </c>
      <c r="M26" s="446" t="s">
        <v>171</v>
      </c>
      <c r="N26" s="447"/>
      <c r="O26" s="447"/>
      <c r="P26" s="448"/>
      <c r="Q26" s="26">
        <f>SUM(Q22:Q24)</f>
        <v>1352005</v>
      </c>
      <c r="S26" s="428" t="s">
        <v>172</v>
      </c>
      <c r="T26" s="429"/>
      <c r="U26" s="7" t="s">
        <v>159</v>
      </c>
      <c r="V26" s="8">
        <v>23000</v>
      </c>
      <c r="X26" s="446" t="s">
        <v>171</v>
      </c>
      <c r="Y26" s="447"/>
      <c r="Z26" s="447"/>
      <c r="AA26" s="448"/>
      <c r="AB26" s="26">
        <f>SUM(AB22:AB24)</f>
        <v>1533588.2</v>
      </c>
      <c r="AD26" s="428" t="s">
        <v>172</v>
      </c>
      <c r="AE26" s="429"/>
      <c r="AF26" s="7" t="s">
        <v>159</v>
      </c>
      <c r="AG26" s="8">
        <v>18000</v>
      </c>
      <c r="AI26" s="446" t="s">
        <v>171</v>
      </c>
      <c r="AJ26" s="447"/>
      <c r="AK26" s="447"/>
      <c r="AL26" s="448"/>
      <c r="AM26" s="26">
        <f>SUM(AM22:AM24)</f>
        <v>1498847.5999999999</v>
      </c>
      <c r="AO26" s="428" t="s">
        <v>172</v>
      </c>
      <c r="AP26" s="429"/>
      <c r="AQ26" s="7" t="s">
        <v>159</v>
      </c>
      <c r="AR26" s="8">
        <v>18000</v>
      </c>
      <c r="AT26" s="446" t="s">
        <v>171</v>
      </c>
      <c r="AU26" s="447"/>
      <c r="AV26" s="447"/>
      <c r="AW26" s="448"/>
      <c r="AX26" s="26">
        <f>SUM(AX22:AX24)</f>
        <v>1394135.6</v>
      </c>
      <c r="AZ26" s="428" t="s">
        <v>172</v>
      </c>
      <c r="BA26" s="429"/>
      <c r="BB26" s="7" t="s">
        <v>159</v>
      </c>
      <c r="BC26" s="8">
        <v>18000</v>
      </c>
      <c r="BE26" s="446" t="s">
        <v>171</v>
      </c>
      <c r="BF26" s="447"/>
      <c r="BG26" s="447"/>
      <c r="BH26" s="448"/>
      <c r="BI26" s="26">
        <f>SUM(BI22:BI24)</f>
        <v>1414793</v>
      </c>
      <c r="BK26" s="428" t="s">
        <v>172</v>
      </c>
      <c r="BL26" s="429"/>
      <c r="BM26" s="7" t="s">
        <v>159</v>
      </c>
      <c r="BN26" s="8">
        <v>18000</v>
      </c>
      <c r="BP26" s="446" t="s">
        <v>171</v>
      </c>
      <c r="BQ26" s="447"/>
      <c r="BR26" s="447"/>
      <c r="BS26" s="448"/>
      <c r="BT26" s="26">
        <f>SUM(BT22:BT24)</f>
        <v>1424050</v>
      </c>
      <c r="BV26" s="428" t="s">
        <v>172</v>
      </c>
      <c r="BW26" s="429"/>
      <c r="BX26" s="7" t="s">
        <v>159</v>
      </c>
      <c r="BY26" s="8">
        <v>18000</v>
      </c>
      <c r="CA26" s="446" t="s">
        <v>171</v>
      </c>
      <c r="CB26" s="447"/>
      <c r="CC26" s="447"/>
      <c r="CD26" s="448"/>
      <c r="CE26" s="26">
        <f>SUM(CE22:CE24)</f>
        <v>1454763.5</v>
      </c>
      <c r="CG26" s="428" t="s">
        <v>172</v>
      </c>
      <c r="CH26" s="429"/>
      <c r="CI26" s="7" t="s">
        <v>159</v>
      </c>
      <c r="CJ26" s="8">
        <v>18000</v>
      </c>
      <c r="CL26" s="446" t="s">
        <v>171</v>
      </c>
      <c r="CM26" s="447"/>
      <c r="CN26" s="447"/>
      <c r="CO26" s="448"/>
      <c r="CP26" s="26">
        <f>SUM(CP22:CP24)</f>
        <v>1463395</v>
      </c>
      <c r="CR26" s="428" t="s">
        <v>172</v>
      </c>
      <c r="CS26" s="429"/>
      <c r="CT26" s="7" t="s">
        <v>159</v>
      </c>
      <c r="CU26" s="8">
        <v>18000</v>
      </c>
      <c r="CW26" s="446" t="s">
        <v>171</v>
      </c>
      <c r="CX26" s="447"/>
      <c r="CY26" s="447"/>
      <c r="CZ26" s="448"/>
      <c r="DA26" s="26">
        <f>SUM(DA22:DA24)</f>
        <v>1652129</v>
      </c>
      <c r="DC26" s="428" t="s">
        <v>172</v>
      </c>
      <c r="DD26" s="429"/>
      <c r="DE26" s="7" t="s">
        <v>159</v>
      </c>
      <c r="DF26" s="8">
        <v>18000</v>
      </c>
      <c r="DI26" s="446" t="s">
        <v>171</v>
      </c>
      <c r="DJ26" s="447"/>
      <c r="DK26" s="447"/>
      <c r="DL26" s="448"/>
      <c r="DM26" s="26">
        <f>SUM(DM22:DM24)</f>
        <v>1903205</v>
      </c>
      <c r="DO26" s="428" t="s">
        <v>172</v>
      </c>
      <c r="DP26" s="429"/>
      <c r="DQ26" s="7" t="s">
        <v>159</v>
      </c>
      <c r="DR26" s="8">
        <v>18000</v>
      </c>
    </row>
    <row r="27" spans="1:122" s="4" customFormat="1" ht="15" thickBot="1" x14ac:dyDescent="0.25">
      <c r="B27" s="436" t="s">
        <v>174</v>
      </c>
      <c r="C27" s="437"/>
      <c r="D27" s="437"/>
      <c r="E27" s="441"/>
      <c r="F27" s="38"/>
      <c r="H27" s="428" t="s">
        <v>175</v>
      </c>
      <c r="I27" s="429"/>
      <c r="J27" s="3" t="s">
        <v>124</v>
      </c>
      <c r="K27" s="8">
        <v>6000</v>
      </c>
      <c r="M27" s="436" t="s">
        <v>174</v>
      </c>
      <c r="N27" s="437"/>
      <c r="O27" s="437"/>
      <c r="P27" s="441"/>
      <c r="Q27" s="38"/>
      <c r="S27" s="428" t="s">
        <v>175</v>
      </c>
      <c r="T27" s="429"/>
      <c r="U27" s="3" t="s">
        <v>124</v>
      </c>
      <c r="V27" s="8">
        <v>6000</v>
      </c>
      <c r="X27" s="436" t="s">
        <v>174</v>
      </c>
      <c r="Y27" s="437"/>
      <c r="Z27" s="437"/>
      <c r="AA27" s="441"/>
      <c r="AB27" s="38"/>
      <c r="AD27" s="428" t="s">
        <v>175</v>
      </c>
      <c r="AE27" s="429"/>
      <c r="AF27" s="3" t="s">
        <v>124</v>
      </c>
      <c r="AG27" s="8">
        <v>6000</v>
      </c>
      <c r="AI27" s="436" t="s">
        <v>174</v>
      </c>
      <c r="AJ27" s="437"/>
      <c r="AK27" s="437"/>
      <c r="AL27" s="441"/>
      <c r="AM27" s="38"/>
      <c r="AO27" s="428" t="s">
        <v>175</v>
      </c>
      <c r="AP27" s="429"/>
      <c r="AQ27" s="3" t="s">
        <v>124</v>
      </c>
      <c r="AR27" s="8">
        <v>6000</v>
      </c>
      <c r="AT27" s="436" t="s">
        <v>174</v>
      </c>
      <c r="AU27" s="437"/>
      <c r="AV27" s="437"/>
      <c r="AW27" s="441"/>
      <c r="AX27" s="38"/>
      <c r="AZ27" s="428" t="s">
        <v>175</v>
      </c>
      <c r="BA27" s="429"/>
      <c r="BB27" s="3" t="s">
        <v>124</v>
      </c>
      <c r="BC27" s="8">
        <v>6000</v>
      </c>
      <c r="BE27" s="436" t="s">
        <v>174</v>
      </c>
      <c r="BF27" s="437"/>
      <c r="BG27" s="437"/>
      <c r="BH27" s="441"/>
      <c r="BI27" s="38"/>
      <c r="BK27" s="428" t="s">
        <v>175</v>
      </c>
      <c r="BL27" s="429"/>
      <c r="BM27" s="3" t="s">
        <v>124</v>
      </c>
      <c r="BN27" s="8">
        <v>6000</v>
      </c>
      <c r="BP27" s="436" t="s">
        <v>174</v>
      </c>
      <c r="BQ27" s="437"/>
      <c r="BR27" s="437"/>
      <c r="BS27" s="441"/>
      <c r="BT27" s="38"/>
      <c r="BV27" s="428" t="s">
        <v>175</v>
      </c>
      <c r="BW27" s="429"/>
      <c r="BX27" s="3" t="s">
        <v>124</v>
      </c>
      <c r="BY27" s="8">
        <v>6000</v>
      </c>
      <c r="CA27" s="436" t="s">
        <v>174</v>
      </c>
      <c r="CB27" s="437"/>
      <c r="CC27" s="437"/>
      <c r="CD27" s="441"/>
      <c r="CE27" s="38"/>
      <c r="CG27" s="428" t="s">
        <v>175</v>
      </c>
      <c r="CH27" s="429"/>
      <c r="CI27" s="3" t="s">
        <v>124</v>
      </c>
      <c r="CJ27" s="8">
        <v>6000</v>
      </c>
      <c r="CL27" s="436" t="s">
        <v>174</v>
      </c>
      <c r="CM27" s="437"/>
      <c r="CN27" s="437"/>
      <c r="CO27" s="441"/>
      <c r="CP27" s="38"/>
      <c r="CR27" s="428" t="s">
        <v>175</v>
      </c>
      <c r="CS27" s="429"/>
      <c r="CT27" s="3" t="s">
        <v>124</v>
      </c>
      <c r="CU27" s="8">
        <v>6000</v>
      </c>
      <c r="CW27" s="436" t="s">
        <v>174</v>
      </c>
      <c r="CX27" s="437"/>
      <c r="CY27" s="437"/>
      <c r="CZ27" s="441"/>
      <c r="DA27" s="38"/>
      <c r="DC27" s="428" t="s">
        <v>175</v>
      </c>
      <c r="DD27" s="429"/>
      <c r="DE27" s="3" t="s">
        <v>124</v>
      </c>
      <c r="DF27" s="8">
        <v>6000</v>
      </c>
      <c r="DI27" s="436" t="s">
        <v>174</v>
      </c>
      <c r="DJ27" s="437"/>
      <c r="DK27" s="437"/>
      <c r="DL27" s="441"/>
      <c r="DM27" s="38"/>
      <c r="DO27" s="428" t="s">
        <v>175</v>
      </c>
      <c r="DP27" s="429"/>
      <c r="DQ27" s="3" t="s">
        <v>124</v>
      </c>
      <c r="DR27" s="8">
        <v>6000</v>
      </c>
    </row>
    <row r="28" spans="1:122" s="4" customFormat="1" x14ac:dyDescent="0.2">
      <c r="B28" s="45" t="s">
        <v>180</v>
      </c>
      <c r="C28" s="46"/>
      <c r="D28" s="21" t="s">
        <v>159</v>
      </c>
      <c r="E28" s="37">
        <v>0</v>
      </c>
      <c r="F28" s="454">
        <f>SUM(E28:E34)</f>
        <v>14491.57</v>
      </c>
      <c r="H28" s="428" t="s">
        <v>181</v>
      </c>
      <c r="I28" s="429"/>
      <c r="J28" s="3" t="s">
        <v>124</v>
      </c>
      <c r="K28" s="8">
        <v>2000</v>
      </c>
      <c r="M28" s="45" t="s">
        <v>180</v>
      </c>
      <c r="N28" s="46"/>
      <c r="O28" s="21" t="s">
        <v>159</v>
      </c>
      <c r="P28" s="37">
        <v>0</v>
      </c>
      <c r="Q28" s="454">
        <f>SUM(P28:P34)</f>
        <v>14149.93</v>
      </c>
      <c r="S28" s="428" t="s">
        <v>181</v>
      </c>
      <c r="T28" s="429"/>
      <c r="U28" s="3" t="s">
        <v>124</v>
      </c>
      <c r="V28" s="8">
        <v>2000</v>
      </c>
      <c r="X28" s="45" t="s">
        <v>180</v>
      </c>
      <c r="Y28" s="46"/>
      <c r="Z28" s="21" t="s">
        <v>159</v>
      </c>
      <c r="AA28" s="37">
        <v>0</v>
      </c>
      <c r="AB28" s="454">
        <f>SUM(AA28:AA34)</f>
        <v>14149.93</v>
      </c>
      <c r="AD28" s="428" t="s">
        <v>181</v>
      </c>
      <c r="AE28" s="429"/>
      <c r="AF28" s="3" t="s">
        <v>124</v>
      </c>
      <c r="AG28" s="8">
        <v>2000</v>
      </c>
      <c r="AI28" s="45" t="s">
        <v>180</v>
      </c>
      <c r="AJ28" s="46"/>
      <c r="AK28" s="21" t="s">
        <v>159</v>
      </c>
      <c r="AL28" s="37">
        <v>0</v>
      </c>
      <c r="AM28" s="454">
        <f>SUM(AL28:AL34)</f>
        <v>14691.189999999999</v>
      </c>
      <c r="AO28" s="428" t="s">
        <v>181</v>
      </c>
      <c r="AP28" s="429"/>
      <c r="AQ28" s="3" t="s">
        <v>124</v>
      </c>
      <c r="AR28" s="8">
        <v>2000</v>
      </c>
      <c r="AT28" s="45" t="s">
        <v>180</v>
      </c>
      <c r="AU28" s="46"/>
      <c r="AV28" s="21" t="s">
        <v>159</v>
      </c>
      <c r="AW28" s="37">
        <v>0</v>
      </c>
      <c r="AX28" s="454">
        <f>SUM(AW28:AW34)</f>
        <v>14674.96</v>
      </c>
      <c r="AZ28" s="428" t="s">
        <v>181</v>
      </c>
      <c r="BA28" s="429"/>
      <c r="BB28" s="3" t="s">
        <v>124</v>
      </c>
      <c r="BC28" s="8">
        <v>2000</v>
      </c>
      <c r="BE28" s="45" t="s">
        <v>180</v>
      </c>
      <c r="BF28" s="46"/>
      <c r="BG28" s="21" t="s">
        <v>159</v>
      </c>
      <c r="BH28" s="37">
        <v>0</v>
      </c>
      <c r="BI28" s="454">
        <f>SUM(BH28:BH34)</f>
        <v>14183.3</v>
      </c>
      <c r="BK28" s="428" t="s">
        <v>181</v>
      </c>
      <c r="BL28" s="429"/>
      <c r="BM28" s="3" t="s">
        <v>124</v>
      </c>
      <c r="BN28" s="8">
        <v>2000</v>
      </c>
      <c r="BP28" s="45" t="s">
        <v>180</v>
      </c>
      <c r="BQ28" s="46"/>
      <c r="BR28" s="21" t="s">
        <v>159</v>
      </c>
      <c r="BS28" s="37">
        <v>0</v>
      </c>
      <c r="BT28" s="454">
        <f>SUM(BS28:BS34)</f>
        <v>14728.04</v>
      </c>
      <c r="BV28" s="428" t="s">
        <v>181</v>
      </c>
      <c r="BW28" s="429"/>
      <c r="BX28" s="3" t="s">
        <v>124</v>
      </c>
      <c r="BY28" s="8">
        <v>2000</v>
      </c>
      <c r="CA28" s="45" t="s">
        <v>180</v>
      </c>
      <c r="CB28" s="46"/>
      <c r="CC28" s="21" t="s">
        <v>159</v>
      </c>
      <c r="CD28" s="37">
        <v>0</v>
      </c>
      <c r="CE28" s="454">
        <f>SUM(CD28:CD34)</f>
        <v>14674.849999999999</v>
      </c>
      <c r="CG28" s="428" t="s">
        <v>181</v>
      </c>
      <c r="CH28" s="429"/>
      <c r="CI28" s="3" t="s">
        <v>124</v>
      </c>
      <c r="CJ28" s="8">
        <v>2000</v>
      </c>
      <c r="CL28" s="45" t="s">
        <v>180</v>
      </c>
      <c r="CM28" s="46"/>
      <c r="CN28" s="21" t="s">
        <v>159</v>
      </c>
      <c r="CO28" s="37">
        <v>0</v>
      </c>
      <c r="CP28" s="454">
        <f>SUM(CO28:CO34)</f>
        <v>14728.04</v>
      </c>
      <c r="CR28" s="428" t="s">
        <v>181</v>
      </c>
      <c r="CS28" s="429"/>
      <c r="CT28" s="3" t="s">
        <v>124</v>
      </c>
      <c r="CU28" s="8">
        <v>2000</v>
      </c>
      <c r="CW28" s="45" t="s">
        <v>180</v>
      </c>
      <c r="CX28" s="46"/>
      <c r="CY28" s="21" t="s">
        <v>159</v>
      </c>
      <c r="CZ28" s="37">
        <v>0</v>
      </c>
      <c r="DA28" s="454">
        <f>SUM(CZ28:CZ34)</f>
        <v>14674.849999999999</v>
      </c>
      <c r="DC28" s="428" t="s">
        <v>181</v>
      </c>
      <c r="DD28" s="429"/>
      <c r="DE28" s="3" t="s">
        <v>124</v>
      </c>
      <c r="DF28" s="8">
        <v>2000</v>
      </c>
      <c r="DI28" s="45" t="s">
        <v>180</v>
      </c>
      <c r="DJ28" s="46"/>
      <c r="DK28" s="21" t="s">
        <v>159</v>
      </c>
      <c r="DL28" s="37">
        <v>0</v>
      </c>
      <c r="DM28" s="454">
        <f>SUM(DL28:DL34)</f>
        <v>14674.849999999999</v>
      </c>
      <c r="DO28" s="428" t="s">
        <v>181</v>
      </c>
      <c r="DP28" s="429"/>
      <c r="DQ28" s="3" t="s">
        <v>124</v>
      </c>
      <c r="DR28" s="8">
        <v>2000</v>
      </c>
    </row>
    <row r="29" spans="1:122" s="4" customFormat="1" x14ac:dyDescent="0.2">
      <c r="B29" s="45" t="s">
        <v>185</v>
      </c>
      <c r="C29" s="46"/>
      <c r="D29" s="21" t="s">
        <v>159</v>
      </c>
      <c r="E29" s="37">
        <v>0</v>
      </c>
      <c r="F29" s="455"/>
      <c r="H29" s="428" t="s">
        <v>186</v>
      </c>
      <c r="I29" s="429"/>
      <c r="J29" s="3" t="s">
        <v>124</v>
      </c>
      <c r="K29" s="8">
        <v>40000</v>
      </c>
      <c r="M29" s="45" t="s">
        <v>185</v>
      </c>
      <c r="N29" s="46"/>
      <c r="O29" s="21" t="s">
        <v>159</v>
      </c>
      <c r="P29" s="37">
        <v>0</v>
      </c>
      <c r="Q29" s="455"/>
      <c r="S29" s="428" t="s">
        <v>186</v>
      </c>
      <c r="T29" s="429"/>
      <c r="U29" s="3" t="s">
        <v>124</v>
      </c>
      <c r="V29" s="8">
        <v>42000</v>
      </c>
      <c r="X29" s="45" t="s">
        <v>185</v>
      </c>
      <c r="Y29" s="46"/>
      <c r="Z29" s="21" t="s">
        <v>159</v>
      </c>
      <c r="AA29" s="37">
        <v>0</v>
      </c>
      <c r="AB29" s="455"/>
      <c r="AD29" s="428" t="s">
        <v>186</v>
      </c>
      <c r="AE29" s="429"/>
      <c r="AF29" s="3" t="s">
        <v>124</v>
      </c>
      <c r="AG29" s="8">
        <v>42000</v>
      </c>
      <c r="AI29" s="45" t="s">
        <v>185</v>
      </c>
      <c r="AJ29" s="46"/>
      <c r="AK29" s="21" t="s">
        <v>159</v>
      </c>
      <c r="AL29" s="37">
        <v>0</v>
      </c>
      <c r="AM29" s="455"/>
      <c r="AO29" s="428" t="s">
        <v>186</v>
      </c>
      <c r="AP29" s="429"/>
      <c r="AQ29" s="3" t="s">
        <v>124</v>
      </c>
      <c r="AR29" s="8">
        <v>42000</v>
      </c>
      <c r="AT29" s="45" t="s">
        <v>185</v>
      </c>
      <c r="AU29" s="46"/>
      <c r="AV29" s="21" t="s">
        <v>159</v>
      </c>
      <c r="AW29" s="37">
        <v>0</v>
      </c>
      <c r="AX29" s="455"/>
      <c r="AZ29" s="428" t="s">
        <v>186</v>
      </c>
      <c r="BA29" s="429"/>
      <c r="BB29" s="3" t="s">
        <v>124</v>
      </c>
      <c r="BC29" s="8">
        <v>42000</v>
      </c>
      <c r="BE29" s="45" t="s">
        <v>185</v>
      </c>
      <c r="BF29" s="46"/>
      <c r="BG29" s="21" t="s">
        <v>159</v>
      </c>
      <c r="BH29" s="37">
        <v>0</v>
      </c>
      <c r="BI29" s="455"/>
      <c r="BK29" s="428" t="s">
        <v>186</v>
      </c>
      <c r="BL29" s="429"/>
      <c r="BM29" s="3" t="s">
        <v>124</v>
      </c>
      <c r="BN29" s="8">
        <v>42000</v>
      </c>
      <c r="BP29" s="45" t="s">
        <v>185</v>
      </c>
      <c r="BQ29" s="46"/>
      <c r="BR29" s="21" t="s">
        <v>159</v>
      </c>
      <c r="BS29" s="37">
        <v>0</v>
      </c>
      <c r="BT29" s="455"/>
      <c r="BV29" s="428" t="s">
        <v>186</v>
      </c>
      <c r="BW29" s="429"/>
      <c r="BX29" s="3" t="s">
        <v>124</v>
      </c>
      <c r="BY29" s="8">
        <v>42000</v>
      </c>
      <c r="CA29" s="45" t="s">
        <v>185</v>
      </c>
      <c r="CB29" s="46"/>
      <c r="CC29" s="21" t="s">
        <v>159</v>
      </c>
      <c r="CD29" s="37">
        <v>0</v>
      </c>
      <c r="CE29" s="455"/>
      <c r="CG29" s="428" t="s">
        <v>186</v>
      </c>
      <c r="CH29" s="429"/>
      <c r="CI29" s="3" t="s">
        <v>124</v>
      </c>
      <c r="CJ29" s="8">
        <v>42000</v>
      </c>
      <c r="CL29" s="45" t="s">
        <v>185</v>
      </c>
      <c r="CM29" s="46"/>
      <c r="CN29" s="21" t="s">
        <v>159</v>
      </c>
      <c r="CO29" s="37">
        <v>0</v>
      </c>
      <c r="CP29" s="455"/>
      <c r="CR29" s="428" t="s">
        <v>186</v>
      </c>
      <c r="CS29" s="429"/>
      <c r="CT29" s="3" t="s">
        <v>124</v>
      </c>
      <c r="CU29" s="8">
        <v>42000</v>
      </c>
      <c r="CW29" s="45" t="s">
        <v>185</v>
      </c>
      <c r="CX29" s="46"/>
      <c r="CY29" s="21" t="s">
        <v>159</v>
      </c>
      <c r="CZ29" s="37">
        <v>0</v>
      </c>
      <c r="DA29" s="455"/>
      <c r="DC29" s="428" t="s">
        <v>186</v>
      </c>
      <c r="DD29" s="429"/>
      <c r="DE29" s="3" t="s">
        <v>124</v>
      </c>
      <c r="DF29" s="8">
        <v>42000</v>
      </c>
      <c r="DI29" s="45" t="s">
        <v>185</v>
      </c>
      <c r="DJ29" s="46"/>
      <c r="DK29" s="21" t="s">
        <v>159</v>
      </c>
      <c r="DL29" s="37">
        <v>0</v>
      </c>
      <c r="DM29" s="455"/>
      <c r="DO29" s="428" t="s">
        <v>186</v>
      </c>
      <c r="DP29" s="429"/>
      <c r="DQ29" s="3" t="s">
        <v>124</v>
      </c>
      <c r="DR29" s="8">
        <v>42000</v>
      </c>
    </row>
    <row r="30" spans="1:122" s="4" customFormat="1" x14ac:dyDescent="0.2">
      <c r="B30" s="45" t="s">
        <v>189</v>
      </c>
      <c r="C30" s="46"/>
      <c r="D30" s="21" t="s">
        <v>102</v>
      </c>
      <c r="E30" s="37">
        <v>7323.34</v>
      </c>
      <c r="F30" s="455"/>
      <c r="H30" s="428" t="s">
        <v>190</v>
      </c>
      <c r="I30" s="429"/>
      <c r="J30" s="3" t="s">
        <v>124</v>
      </c>
      <c r="K30" s="8">
        <v>1500</v>
      </c>
      <c r="M30" s="45" t="s">
        <v>189</v>
      </c>
      <c r="N30" s="46"/>
      <c r="O30" s="21" t="s">
        <v>102</v>
      </c>
      <c r="P30" s="37">
        <v>6981.7</v>
      </c>
      <c r="Q30" s="455"/>
      <c r="S30" s="428" t="s">
        <v>190</v>
      </c>
      <c r="T30" s="429"/>
      <c r="U30" s="3" t="s">
        <v>124</v>
      </c>
      <c r="V30" s="8">
        <v>1500</v>
      </c>
      <c r="X30" s="45" t="s">
        <v>189</v>
      </c>
      <c r="Y30" s="46"/>
      <c r="Z30" s="21" t="s">
        <v>102</v>
      </c>
      <c r="AA30" s="37">
        <v>6981.7</v>
      </c>
      <c r="AB30" s="455"/>
      <c r="AD30" s="428" t="s">
        <v>190</v>
      </c>
      <c r="AE30" s="429"/>
      <c r="AF30" s="3" t="s">
        <v>124</v>
      </c>
      <c r="AG30" s="8">
        <v>1500</v>
      </c>
      <c r="AI30" s="45" t="s">
        <v>189</v>
      </c>
      <c r="AJ30" s="46"/>
      <c r="AK30" s="21" t="s">
        <v>102</v>
      </c>
      <c r="AL30" s="37">
        <v>6941.29</v>
      </c>
      <c r="AM30" s="455"/>
      <c r="AO30" s="428" t="s">
        <v>190</v>
      </c>
      <c r="AP30" s="429"/>
      <c r="AQ30" s="3" t="s">
        <v>124</v>
      </c>
      <c r="AR30" s="8">
        <v>1500</v>
      </c>
      <c r="AT30" s="45" t="s">
        <v>189</v>
      </c>
      <c r="AU30" s="46"/>
      <c r="AV30" s="21" t="s">
        <v>102</v>
      </c>
      <c r="AW30" s="37">
        <v>6925.06</v>
      </c>
      <c r="AX30" s="455"/>
      <c r="AZ30" s="428" t="s">
        <v>190</v>
      </c>
      <c r="BA30" s="429"/>
      <c r="BB30" s="3" t="s">
        <v>124</v>
      </c>
      <c r="BC30" s="8">
        <v>1500</v>
      </c>
      <c r="BE30" s="45" t="s">
        <v>189</v>
      </c>
      <c r="BF30" s="46"/>
      <c r="BG30" s="21" t="s">
        <v>102</v>
      </c>
      <c r="BH30" s="37">
        <v>7015.07</v>
      </c>
      <c r="BI30" s="455"/>
      <c r="BK30" s="428" t="s">
        <v>190</v>
      </c>
      <c r="BL30" s="429"/>
      <c r="BM30" s="3" t="s">
        <v>124</v>
      </c>
      <c r="BN30" s="8">
        <v>1500</v>
      </c>
      <c r="BP30" s="45" t="s">
        <v>189</v>
      </c>
      <c r="BQ30" s="46"/>
      <c r="BR30" s="21" t="s">
        <v>102</v>
      </c>
      <c r="BS30" s="37">
        <v>7028.93</v>
      </c>
      <c r="BT30" s="455"/>
      <c r="BV30" s="428" t="s">
        <v>190</v>
      </c>
      <c r="BW30" s="429"/>
      <c r="BX30" s="3" t="s">
        <v>124</v>
      </c>
      <c r="BY30" s="8">
        <v>1500</v>
      </c>
      <c r="CA30" s="45" t="s">
        <v>189</v>
      </c>
      <c r="CB30" s="46"/>
      <c r="CC30" s="21" t="s">
        <v>102</v>
      </c>
      <c r="CD30" s="37">
        <v>6975.74</v>
      </c>
      <c r="CE30" s="455"/>
      <c r="CG30" s="428" t="s">
        <v>190</v>
      </c>
      <c r="CH30" s="429"/>
      <c r="CI30" s="3" t="s">
        <v>124</v>
      </c>
      <c r="CJ30" s="8">
        <v>1500</v>
      </c>
      <c r="CL30" s="45" t="s">
        <v>189</v>
      </c>
      <c r="CM30" s="46"/>
      <c r="CN30" s="21" t="s">
        <v>102</v>
      </c>
      <c r="CO30" s="37">
        <v>7028.93</v>
      </c>
      <c r="CP30" s="455"/>
      <c r="CR30" s="428" t="s">
        <v>190</v>
      </c>
      <c r="CS30" s="429"/>
      <c r="CT30" s="3" t="s">
        <v>124</v>
      </c>
      <c r="CU30" s="8">
        <v>1500</v>
      </c>
      <c r="CW30" s="45" t="s">
        <v>189</v>
      </c>
      <c r="CX30" s="46"/>
      <c r="CY30" s="21" t="s">
        <v>102</v>
      </c>
      <c r="CZ30" s="37">
        <v>6975.74</v>
      </c>
      <c r="DA30" s="455"/>
      <c r="DC30" s="428" t="s">
        <v>190</v>
      </c>
      <c r="DD30" s="429"/>
      <c r="DE30" s="3" t="s">
        <v>124</v>
      </c>
      <c r="DF30" s="8">
        <v>1500</v>
      </c>
      <c r="DI30" s="45" t="s">
        <v>189</v>
      </c>
      <c r="DJ30" s="46"/>
      <c r="DK30" s="21" t="s">
        <v>102</v>
      </c>
      <c r="DL30" s="37">
        <v>6975.74</v>
      </c>
      <c r="DM30" s="455"/>
      <c r="DO30" s="428" t="s">
        <v>190</v>
      </c>
      <c r="DP30" s="429"/>
      <c r="DQ30" s="3" t="s">
        <v>124</v>
      </c>
      <c r="DR30" s="8">
        <v>1500</v>
      </c>
    </row>
    <row r="31" spans="1:122" s="4" customFormat="1" x14ac:dyDescent="0.2">
      <c r="B31" s="45" t="s">
        <v>194</v>
      </c>
      <c r="C31" s="46"/>
      <c r="D31" s="21" t="s">
        <v>159</v>
      </c>
      <c r="E31" s="37">
        <v>581.66999999999996</v>
      </c>
      <c r="F31" s="455"/>
      <c r="H31" s="428" t="s">
        <v>195</v>
      </c>
      <c r="I31" s="429"/>
      <c r="J31" s="3" t="s">
        <v>124</v>
      </c>
      <c r="K31" s="8">
        <v>1000</v>
      </c>
      <c r="M31" s="45" t="s">
        <v>194</v>
      </c>
      <c r="N31" s="46"/>
      <c r="O31" s="21" t="s">
        <v>159</v>
      </c>
      <c r="P31" s="37">
        <v>581.66999999999996</v>
      </c>
      <c r="Q31" s="455"/>
      <c r="S31" s="428" t="s">
        <v>195</v>
      </c>
      <c r="T31" s="429"/>
      <c r="U31" s="3" t="s">
        <v>124</v>
      </c>
      <c r="V31" s="8">
        <v>2000</v>
      </c>
      <c r="X31" s="45" t="s">
        <v>194</v>
      </c>
      <c r="Y31" s="46"/>
      <c r="Z31" s="21" t="s">
        <v>159</v>
      </c>
      <c r="AA31" s="37">
        <v>581.66999999999996</v>
      </c>
      <c r="AB31" s="455"/>
      <c r="AD31" s="428" t="s">
        <v>195</v>
      </c>
      <c r="AE31" s="429"/>
      <c r="AF31" s="3" t="s">
        <v>124</v>
      </c>
      <c r="AG31" s="8">
        <v>2000</v>
      </c>
      <c r="AI31" s="45" t="s">
        <v>194</v>
      </c>
      <c r="AJ31" s="46"/>
      <c r="AK31" s="21" t="s">
        <v>159</v>
      </c>
      <c r="AL31" s="37">
        <v>581.66999999999996</v>
      </c>
      <c r="AM31" s="455"/>
      <c r="AO31" s="428" t="s">
        <v>195</v>
      </c>
      <c r="AP31" s="429"/>
      <c r="AQ31" s="3" t="s">
        <v>124</v>
      </c>
      <c r="AR31" s="8">
        <v>2000</v>
      </c>
      <c r="AT31" s="45" t="s">
        <v>194</v>
      </c>
      <c r="AU31" s="46"/>
      <c r="AV31" s="21" t="s">
        <v>159</v>
      </c>
      <c r="AW31" s="37">
        <v>581.66999999999996</v>
      </c>
      <c r="AX31" s="455"/>
      <c r="AZ31" s="428" t="s">
        <v>195</v>
      </c>
      <c r="BA31" s="429"/>
      <c r="BB31" s="3" t="s">
        <v>124</v>
      </c>
      <c r="BC31" s="8">
        <v>2000</v>
      </c>
      <c r="BE31" s="45" t="s">
        <v>194</v>
      </c>
      <c r="BF31" s="46"/>
      <c r="BG31" s="21" t="s">
        <v>159</v>
      </c>
      <c r="BH31" s="37">
        <v>581.66999999999996</v>
      </c>
      <c r="BI31" s="455"/>
      <c r="BK31" s="428" t="s">
        <v>195</v>
      </c>
      <c r="BL31" s="429"/>
      <c r="BM31" s="3" t="s">
        <v>124</v>
      </c>
      <c r="BN31" s="8">
        <v>2000</v>
      </c>
      <c r="BP31" s="45" t="s">
        <v>194</v>
      </c>
      <c r="BQ31" s="46"/>
      <c r="BR31" s="21" t="s">
        <v>159</v>
      </c>
      <c r="BS31" s="37">
        <v>581.66999999999996</v>
      </c>
      <c r="BT31" s="455"/>
      <c r="BV31" s="428" t="s">
        <v>195</v>
      </c>
      <c r="BW31" s="429"/>
      <c r="BX31" s="3" t="s">
        <v>124</v>
      </c>
      <c r="BY31" s="8">
        <v>2000</v>
      </c>
      <c r="CA31" s="45" t="s">
        <v>194</v>
      </c>
      <c r="CB31" s="46"/>
      <c r="CC31" s="21" t="s">
        <v>159</v>
      </c>
      <c r="CD31" s="37">
        <v>581.66999999999996</v>
      </c>
      <c r="CE31" s="455"/>
      <c r="CG31" s="428" t="s">
        <v>195</v>
      </c>
      <c r="CH31" s="429"/>
      <c r="CI31" s="3" t="s">
        <v>124</v>
      </c>
      <c r="CJ31" s="8">
        <v>2000</v>
      </c>
      <c r="CL31" s="45" t="s">
        <v>194</v>
      </c>
      <c r="CM31" s="46"/>
      <c r="CN31" s="21" t="s">
        <v>159</v>
      </c>
      <c r="CO31" s="37">
        <v>581.66999999999996</v>
      </c>
      <c r="CP31" s="455"/>
      <c r="CR31" s="428" t="s">
        <v>195</v>
      </c>
      <c r="CS31" s="429"/>
      <c r="CT31" s="3" t="s">
        <v>124</v>
      </c>
      <c r="CU31" s="8">
        <v>2000</v>
      </c>
      <c r="CW31" s="45" t="s">
        <v>194</v>
      </c>
      <c r="CX31" s="46"/>
      <c r="CY31" s="21" t="s">
        <v>159</v>
      </c>
      <c r="CZ31" s="37">
        <v>581.66999999999996</v>
      </c>
      <c r="DA31" s="455"/>
      <c r="DC31" s="428" t="s">
        <v>195</v>
      </c>
      <c r="DD31" s="429"/>
      <c r="DE31" s="3" t="s">
        <v>124</v>
      </c>
      <c r="DF31" s="8">
        <v>2000</v>
      </c>
      <c r="DI31" s="45" t="s">
        <v>194</v>
      </c>
      <c r="DJ31" s="46"/>
      <c r="DK31" s="21" t="s">
        <v>159</v>
      </c>
      <c r="DL31" s="37">
        <v>581.66999999999996</v>
      </c>
      <c r="DM31" s="455"/>
      <c r="DO31" s="428" t="s">
        <v>195</v>
      </c>
      <c r="DP31" s="429"/>
      <c r="DQ31" s="3" t="s">
        <v>124</v>
      </c>
      <c r="DR31" s="8">
        <v>2000</v>
      </c>
    </row>
    <row r="32" spans="1:122" s="4" customFormat="1" x14ac:dyDescent="0.2">
      <c r="B32" s="45" t="s">
        <v>198</v>
      </c>
      <c r="C32" s="46"/>
      <c r="D32" s="21" t="s">
        <v>159</v>
      </c>
      <c r="E32" s="37">
        <v>5306.56</v>
      </c>
      <c r="F32" s="455"/>
      <c r="H32" s="428" t="s">
        <v>199</v>
      </c>
      <c r="I32" s="429"/>
      <c r="J32" s="3" t="s">
        <v>124</v>
      </c>
      <c r="K32" s="8">
        <v>1000</v>
      </c>
      <c r="M32" s="45" t="s">
        <v>198</v>
      </c>
      <c r="N32" s="46"/>
      <c r="O32" s="21" t="s">
        <v>159</v>
      </c>
      <c r="P32" s="37">
        <v>5306.56</v>
      </c>
      <c r="Q32" s="455"/>
      <c r="S32" s="428" t="s">
        <v>199</v>
      </c>
      <c r="T32" s="429"/>
      <c r="U32" s="3" t="s">
        <v>124</v>
      </c>
      <c r="V32" s="8">
        <v>1000</v>
      </c>
      <c r="X32" s="45" t="s">
        <v>198</v>
      </c>
      <c r="Y32" s="46"/>
      <c r="Z32" s="21" t="s">
        <v>159</v>
      </c>
      <c r="AA32" s="37">
        <v>5306.56</v>
      </c>
      <c r="AB32" s="455"/>
      <c r="AD32" s="428" t="s">
        <v>199</v>
      </c>
      <c r="AE32" s="429"/>
      <c r="AF32" s="3" t="s">
        <v>124</v>
      </c>
      <c r="AG32" s="8">
        <v>1000</v>
      </c>
      <c r="AI32" s="45" t="s">
        <v>198</v>
      </c>
      <c r="AJ32" s="46"/>
      <c r="AK32" s="21" t="s">
        <v>159</v>
      </c>
      <c r="AL32" s="37">
        <v>5888.23</v>
      </c>
      <c r="AM32" s="455"/>
      <c r="AO32" s="428" t="s">
        <v>199</v>
      </c>
      <c r="AP32" s="429"/>
      <c r="AQ32" s="3" t="s">
        <v>124</v>
      </c>
      <c r="AR32" s="8">
        <v>1000</v>
      </c>
      <c r="AT32" s="45" t="s">
        <v>198</v>
      </c>
      <c r="AU32" s="46"/>
      <c r="AV32" s="21" t="s">
        <v>159</v>
      </c>
      <c r="AW32" s="37">
        <v>5888.23</v>
      </c>
      <c r="AX32" s="455"/>
      <c r="AZ32" s="428" t="s">
        <v>199</v>
      </c>
      <c r="BA32" s="429"/>
      <c r="BB32" s="3" t="s">
        <v>124</v>
      </c>
      <c r="BC32" s="8">
        <v>1000</v>
      </c>
      <c r="BE32" s="45" t="s">
        <v>198</v>
      </c>
      <c r="BF32" s="46"/>
      <c r="BG32" s="21" t="s">
        <v>159</v>
      </c>
      <c r="BH32" s="37">
        <v>5306.56</v>
      </c>
      <c r="BI32" s="455"/>
      <c r="BK32" s="428" t="s">
        <v>199</v>
      </c>
      <c r="BL32" s="429"/>
      <c r="BM32" s="3" t="s">
        <v>124</v>
      </c>
      <c r="BN32" s="8">
        <v>1000</v>
      </c>
      <c r="BP32" s="45" t="s">
        <v>198</v>
      </c>
      <c r="BQ32" s="46"/>
      <c r="BR32" s="21" t="s">
        <v>159</v>
      </c>
      <c r="BS32" s="37">
        <v>5837.44</v>
      </c>
      <c r="BT32" s="455"/>
      <c r="BV32" s="428" t="s">
        <v>199</v>
      </c>
      <c r="BW32" s="429"/>
      <c r="BX32" s="3" t="s">
        <v>124</v>
      </c>
      <c r="BY32" s="8">
        <v>1000</v>
      </c>
      <c r="CA32" s="45" t="s">
        <v>198</v>
      </c>
      <c r="CB32" s="46"/>
      <c r="CC32" s="21" t="s">
        <v>159</v>
      </c>
      <c r="CD32" s="37">
        <v>5837.44</v>
      </c>
      <c r="CE32" s="455"/>
      <c r="CG32" s="428" t="s">
        <v>199</v>
      </c>
      <c r="CH32" s="429"/>
      <c r="CI32" s="3" t="s">
        <v>124</v>
      </c>
      <c r="CJ32" s="8">
        <v>1000</v>
      </c>
      <c r="CL32" s="45" t="s">
        <v>198</v>
      </c>
      <c r="CM32" s="46"/>
      <c r="CN32" s="21" t="s">
        <v>159</v>
      </c>
      <c r="CO32" s="37">
        <v>5837.44</v>
      </c>
      <c r="CP32" s="455"/>
      <c r="CR32" s="428" t="s">
        <v>199</v>
      </c>
      <c r="CS32" s="429"/>
      <c r="CT32" s="3" t="s">
        <v>124</v>
      </c>
      <c r="CU32" s="8">
        <v>1000</v>
      </c>
      <c r="CW32" s="45" t="s">
        <v>198</v>
      </c>
      <c r="CX32" s="46"/>
      <c r="CY32" s="21" t="s">
        <v>159</v>
      </c>
      <c r="CZ32" s="37">
        <v>5837.44</v>
      </c>
      <c r="DA32" s="455"/>
      <c r="DC32" s="428" t="s">
        <v>199</v>
      </c>
      <c r="DD32" s="429"/>
      <c r="DE32" s="3" t="s">
        <v>124</v>
      </c>
      <c r="DF32" s="8">
        <v>1000</v>
      </c>
      <c r="DI32" s="45" t="s">
        <v>198</v>
      </c>
      <c r="DJ32" s="46"/>
      <c r="DK32" s="21" t="s">
        <v>159</v>
      </c>
      <c r="DL32" s="37">
        <v>5837.44</v>
      </c>
      <c r="DM32" s="455"/>
      <c r="DO32" s="428" t="s">
        <v>199</v>
      </c>
      <c r="DP32" s="429"/>
      <c r="DQ32" s="3" t="s">
        <v>124</v>
      </c>
      <c r="DR32" s="8">
        <v>1000</v>
      </c>
    </row>
    <row r="33" spans="2:122" s="4" customFormat="1" x14ac:dyDescent="0.2">
      <c r="B33" s="45" t="s">
        <v>202</v>
      </c>
      <c r="C33" s="46"/>
      <c r="D33" s="21" t="s">
        <v>124</v>
      </c>
      <c r="E33" s="37">
        <v>280</v>
      </c>
      <c r="F33" s="455"/>
      <c r="H33" s="380" t="s">
        <v>203</v>
      </c>
      <c r="I33" s="28"/>
      <c r="J33" s="3" t="s">
        <v>102</v>
      </c>
      <c r="K33" s="8">
        <f>SUM(E30:E32)</f>
        <v>13211.57</v>
      </c>
      <c r="M33" s="45" t="s">
        <v>202</v>
      </c>
      <c r="N33" s="46"/>
      <c r="O33" s="21" t="s">
        <v>124</v>
      </c>
      <c r="P33" s="37">
        <v>280</v>
      </c>
      <c r="Q33" s="455"/>
      <c r="S33" s="380" t="s">
        <v>203</v>
      </c>
      <c r="T33" s="28"/>
      <c r="U33" s="3" t="s">
        <v>102</v>
      </c>
      <c r="V33" s="8">
        <f>SUM(P30:P32)</f>
        <v>12869.93</v>
      </c>
      <c r="X33" s="45" t="s">
        <v>202</v>
      </c>
      <c r="Y33" s="46"/>
      <c r="Z33" s="21" t="s">
        <v>124</v>
      </c>
      <c r="AA33" s="37">
        <v>280</v>
      </c>
      <c r="AB33" s="455"/>
      <c r="AD33" s="380" t="s">
        <v>203</v>
      </c>
      <c r="AE33" s="28"/>
      <c r="AF33" s="3" t="s">
        <v>102</v>
      </c>
      <c r="AG33" s="8">
        <f>SUM(AA30:AA32)</f>
        <v>12869.93</v>
      </c>
      <c r="AI33" s="45" t="s">
        <v>202</v>
      </c>
      <c r="AJ33" s="46"/>
      <c r="AK33" s="21" t="s">
        <v>124</v>
      </c>
      <c r="AL33" s="37">
        <v>280</v>
      </c>
      <c r="AM33" s="455"/>
      <c r="AO33" s="380" t="s">
        <v>203</v>
      </c>
      <c r="AP33" s="28"/>
      <c r="AQ33" s="3" t="s">
        <v>102</v>
      </c>
      <c r="AR33" s="8">
        <f>SUM(AL30:AL32)</f>
        <v>13411.189999999999</v>
      </c>
      <c r="AT33" s="45" t="s">
        <v>202</v>
      </c>
      <c r="AU33" s="46"/>
      <c r="AV33" s="21" t="s">
        <v>124</v>
      </c>
      <c r="AW33" s="37">
        <v>280</v>
      </c>
      <c r="AX33" s="455"/>
      <c r="AZ33" s="380" t="s">
        <v>203</v>
      </c>
      <c r="BA33" s="28"/>
      <c r="BB33" s="3" t="s">
        <v>102</v>
      </c>
      <c r="BC33" s="8">
        <f>SUM(AW30:AW32)</f>
        <v>13394.96</v>
      </c>
      <c r="BE33" s="45" t="s">
        <v>202</v>
      </c>
      <c r="BF33" s="46"/>
      <c r="BG33" s="21" t="s">
        <v>124</v>
      </c>
      <c r="BH33" s="37">
        <v>280</v>
      </c>
      <c r="BI33" s="455"/>
      <c r="BK33" s="380" t="s">
        <v>203</v>
      </c>
      <c r="BL33" s="28"/>
      <c r="BM33" s="3" t="s">
        <v>102</v>
      </c>
      <c r="BN33" s="8">
        <f>SUM(BH30:BH32)</f>
        <v>12903.3</v>
      </c>
      <c r="BP33" s="45" t="s">
        <v>202</v>
      </c>
      <c r="BQ33" s="46"/>
      <c r="BR33" s="21" t="s">
        <v>124</v>
      </c>
      <c r="BS33" s="37">
        <v>280</v>
      </c>
      <c r="BT33" s="455"/>
      <c r="BV33" s="380" t="s">
        <v>203</v>
      </c>
      <c r="BW33" s="28"/>
      <c r="BX33" s="3" t="s">
        <v>102</v>
      </c>
      <c r="BY33" s="8">
        <f>SUM(BS30:BS32)</f>
        <v>13448.04</v>
      </c>
      <c r="CA33" s="45" t="s">
        <v>202</v>
      </c>
      <c r="CB33" s="46"/>
      <c r="CC33" s="21" t="s">
        <v>124</v>
      </c>
      <c r="CD33" s="37">
        <v>280</v>
      </c>
      <c r="CE33" s="455"/>
      <c r="CG33" s="380" t="s">
        <v>203</v>
      </c>
      <c r="CH33" s="28"/>
      <c r="CI33" s="3" t="s">
        <v>102</v>
      </c>
      <c r="CJ33" s="8">
        <f>SUM(CD30:CD32)</f>
        <v>13394.849999999999</v>
      </c>
      <c r="CL33" s="45" t="s">
        <v>202</v>
      </c>
      <c r="CM33" s="46"/>
      <c r="CN33" s="21" t="s">
        <v>124</v>
      </c>
      <c r="CO33" s="37">
        <v>280</v>
      </c>
      <c r="CP33" s="455"/>
      <c r="CR33" s="380" t="s">
        <v>203</v>
      </c>
      <c r="CS33" s="28"/>
      <c r="CT33" s="3" t="s">
        <v>102</v>
      </c>
      <c r="CU33" s="8">
        <f>SUM(CO30:CO32)</f>
        <v>13448.04</v>
      </c>
      <c r="CW33" s="45" t="s">
        <v>202</v>
      </c>
      <c r="CX33" s="46"/>
      <c r="CY33" s="21" t="s">
        <v>124</v>
      </c>
      <c r="CZ33" s="37">
        <v>280</v>
      </c>
      <c r="DA33" s="455"/>
      <c r="DC33" s="380" t="s">
        <v>203</v>
      </c>
      <c r="DD33" s="28"/>
      <c r="DE33" s="3" t="s">
        <v>102</v>
      </c>
      <c r="DF33" s="8">
        <f>SUM(CZ30:CZ32)</f>
        <v>13394.849999999999</v>
      </c>
      <c r="DI33" s="45" t="s">
        <v>202</v>
      </c>
      <c r="DJ33" s="46"/>
      <c r="DK33" s="21" t="s">
        <v>124</v>
      </c>
      <c r="DL33" s="37">
        <v>280</v>
      </c>
      <c r="DM33" s="455"/>
      <c r="DO33" s="380" t="s">
        <v>203</v>
      </c>
      <c r="DP33" s="28"/>
      <c r="DQ33" s="3" t="s">
        <v>102</v>
      </c>
      <c r="DR33" s="8">
        <f>SUM(DL30:DL32)</f>
        <v>13394.849999999999</v>
      </c>
    </row>
    <row r="34" spans="2:122" s="4" customFormat="1" x14ac:dyDescent="0.2">
      <c r="B34" s="444" t="s">
        <v>209</v>
      </c>
      <c r="C34" s="445"/>
      <c r="D34" s="21" t="s">
        <v>124</v>
      </c>
      <c r="E34" s="37">
        <v>1000</v>
      </c>
      <c r="F34" s="456"/>
      <c r="H34" s="47" t="s">
        <v>210</v>
      </c>
      <c r="I34" s="1"/>
      <c r="J34" s="7" t="s">
        <v>159</v>
      </c>
      <c r="K34" s="48">
        <v>0</v>
      </c>
      <c r="M34" s="444" t="s">
        <v>209</v>
      </c>
      <c r="N34" s="445"/>
      <c r="O34" s="21" t="s">
        <v>124</v>
      </c>
      <c r="P34" s="37">
        <v>1000</v>
      </c>
      <c r="Q34" s="456"/>
      <c r="S34" s="47" t="s">
        <v>210</v>
      </c>
      <c r="T34" s="1"/>
      <c r="U34" s="7" t="s">
        <v>159</v>
      </c>
      <c r="V34" s="48">
        <v>0</v>
      </c>
      <c r="X34" s="444" t="s">
        <v>209</v>
      </c>
      <c r="Y34" s="445"/>
      <c r="Z34" s="21" t="s">
        <v>124</v>
      </c>
      <c r="AA34" s="37">
        <v>1000</v>
      </c>
      <c r="AB34" s="456"/>
      <c r="AD34" s="47" t="s">
        <v>210</v>
      </c>
      <c r="AE34" s="1"/>
      <c r="AF34" s="7" t="s">
        <v>159</v>
      </c>
      <c r="AG34" s="48">
        <v>0</v>
      </c>
      <c r="AI34" s="444" t="s">
        <v>209</v>
      </c>
      <c r="AJ34" s="445"/>
      <c r="AK34" s="21" t="s">
        <v>124</v>
      </c>
      <c r="AL34" s="37">
        <v>1000</v>
      </c>
      <c r="AM34" s="456"/>
      <c r="AO34" s="47" t="s">
        <v>210</v>
      </c>
      <c r="AP34" s="1"/>
      <c r="AQ34" s="7" t="s">
        <v>159</v>
      </c>
      <c r="AR34" s="48">
        <v>0</v>
      </c>
      <c r="AT34" s="444" t="s">
        <v>209</v>
      </c>
      <c r="AU34" s="445"/>
      <c r="AV34" s="21" t="s">
        <v>124</v>
      </c>
      <c r="AW34" s="37">
        <v>1000</v>
      </c>
      <c r="AX34" s="456"/>
      <c r="AZ34" s="47" t="s">
        <v>210</v>
      </c>
      <c r="BA34" s="1"/>
      <c r="BB34" s="7" t="s">
        <v>159</v>
      </c>
      <c r="BC34" s="48">
        <v>0</v>
      </c>
      <c r="BE34" s="444" t="s">
        <v>209</v>
      </c>
      <c r="BF34" s="445"/>
      <c r="BG34" s="21" t="s">
        <v>124</v>
      </c>
      <c r="BH34" s="37">
        <v>1000</v>
      </c>
      <c r="BI34" s="456"/>
      <c r="BK34" s="47" t="s">
        <v>210</v>
      </c>
      <c r="BL34" s="1"/>
      <c r="BM34" s="7" t="s">
        <v>159</v>
      </c>
      <c r="BN34" s="48">
        <v>0</v>
      </c>
      <c r="BP34" s="444" t="s">
        <v>209</v>
      </c>
      <c r="BQ34" s="445"/>
      <c r="BR34" s="21" t="s">
        <v>124</v>
      </c>
      <c r="BS34" s="37">
        <v>1000</v>
      </c>
      <c r="BT34" s="456"/>
      <c r="BV34" s="47" t="s">
        <v>210</v>
      </c>
      <c r="BW34" s="1"/>
      <c r="BX34" s="7" t="s">
        <v>159</v>
      </c>
      <c r="BY34" s="48">
        <v>0</v>
      </c>
      <c r="CA34" s="444" t="s">
        <v>209</v>
      </c>
      <c r="CB34" s="445"/>
      <c r="CC34" s="21" t="s">
        <v>124</v>
      </c>
      <c r="CD34" s="37">
        <v>1000</v>
      </c>
      <c r="CE34" s="456"/>
      <c r="CG34" s="47" t="s">
        <v>210</v>
      </c>
      <c r="CH34" s="1"/>
      <c r="CI34" s="7" t="s">
        <v>159</v>
      </c>
      <c r="CJ34" s="48">
        <v>0</v>
      </c>
      <c r="CL34" s="444" t="s">
        <v>209</v>
      </c>
      <c r="CM34" s="445"/>
      <c r="CN34" s="21" t="s">
        <v>124</v>
      </c>
      <c r="CO34" s="37">
        <v>1000</v>
      </c>
      <c r="CP34" s="456"/>
      <c r="CR34" s="47" t="s">
        <v>210</v>
      </c>
      <c r="CS34" s="1"/>
      <c r="CT34" s="7" t="s">
        <v>159</v>
      </c>
      <c r="CU34" s="48">
        <v>0</v>
      </c>
      <c r="CW34" s="444" t="s">
        <v>209</v>
      </c>
      <c r="CX34" s="445"/>
      <c r="CY34" s="21" t="s">
        <v>124</v>
      </c>
      <c r="CZ34" s="37">
        <v>1000</v>
      </c>
      <c r="DA34" s="456"/>
      <c r="DC34" s="47" t="s">
        <v>210</v>
      </c>
      <c r="DD34" s="1"/>
      <c r="DE34" s="7" t="s">
        <v>159</v>
      </c>
      <c r="DF34" s="48">
        <v>0</v>
      </c>
      <c r="DI34" s="444" t="s">
        <v>209</v>
      </c>
      <c r="DJ34" s="445"/>
      <c r="DK34" s="21" t="s">
        <v>124</v>
      </c>
      <c r="DL34" s="37">
        <v>1000</v>
      </c>
      <c r="DM34" s="456"/>
      <c r="DO34" s="47" t="s">
        <v>210</v>
      </c>
      <c r="DP34" s="1"/>
      <c r="DQ34" s="7" t="s">
        <v>159</v>
      </c>
      <c r="DR34" s="48">
        <v>0</v>
      </c>
    </row>
    <row r="35" spans="2:122" ht="15" thickBot="1" x14ac:dyDescent="0.25">
      <c r="B35" s="446" t="s">
        <v>212</v>
      </c>
      <c r="C35" s="447"/>
      <c r="D35" s="448"/>
      <c r="E35" s="19">
        <f>SUM(E26:E34)</f>
        <v>14491.57</v>
      </c>
      <c r="F35" s="20">
        <f>SUM(F26:F33)</f>
        <v>1909804.09</v>
      </c>
      <c r="H35" s="77" t="s">
        <v>213</v>
      </c>
      <c r="I35" s="78"/>
      <c r="J35" s="79">
        <f>K35/F17</f>
        <v>6.2479944382717401</v>
      </c>
      <c r="K35" s="76">
        <f>SUM(K24:K34)</f>
        <v>146903.57</v>
      </c>
      <c r="M35" s="446" t="s">
        <v>212</v>
      </c>
      <c r="N35" s="447"/>
      <c r="O35" s="448"/>
      <c r="P35" s="19">
        <f>SUM(P26:P34)</f>
        <v>14149.93</v>
      </c>
      <c r="Q35" s="20">
        <f>SUM(Q26:Q33)</f>
        <v>1366154.93</v>
      </c>
      <c r="S35" s="77" t="s">
        <v>213</v>
      </c>
      <c r="T35" s="78"/>
      <c r="U35" s="79">
        <f>V35/Q17</f>
        <v>4.8435030228845415</v>
      </c>
      <c r="V35" s="76">
        <f>SUM(V24:V34)</f>
        <v>117568.79000000001</v>
      </c>
      <c r="X35" s="446" t="s">
        <v>212</v>
      </c>
      <c r="Y35" s="447"/>
      <c r="Z35" s="448"/>
      <c r="AA35" s="19">
        <f>SUM(AA26:AA34)</f>
        <v>14149.93</v>
      </c>
      <c r="AB35" s="20">
        <f>SUM(AB26:AB33)</f>
        <v>1547738.13</v>
      </c>
      <c r="AD35" s="77" t="s">
        <v>213</v>
      </c>
      <c r="AE35" s="78"/>
      <c r="AF35" s="79">
        <f>AG35/AB17</f>
        <v>5.1584602222785572</v>
      </c>
      <c r="AG35" s="76">
        <f>SUM(AG24:AG34)</f>
        <v>124041.48999999999</v>
      </c>
      <c r="AI35" s="446" t="s">
        <v>212</v>
      </c>
      <c r="AJ35" s="447"/>
      <c r="AK35" s="448"/>
      <c r="AL35" s="19">
        <f>SUM(AL26:AL34)</f>
        <v>14691.189999999999</v>
      </c>
      <c r="AM35" s="20">
        <f>SUM(AM26:AM33)</f>
        <v>1513538.7899999998</v>
      </c>
      <c r="AO35" s="77" t="s">
        <v>213</v>
      </c>
      <c r="AP35" s="78"/>
      <c r="AQ35" s="79">
        <f>AR35/AM17</f>
        <v>5.1480083580721647</v>
      </c>
      <c r="AR35" s="76">
        <f>SUM(AR24:AR34)</f>
        <v>124024.17000000001</v>
      </c>
      <c r="AT35" s="446" t="s">
        <v>212</v>
      </c>
      <c r="AU35" s="447"/>
      <c r="AV35" s="448"/>
      <c r="AW35" s="19">
        <f>SUM(AW26:AW34)</f>
        <v>14674.96</v>
      </c>
      <c r="AX35" s="20">
        <f>SUM(AX26:AX33)</f>
        <v>1408810.56</v>
      </c>
      <c r="AZ35" s="77" t="s">
        <v>213</v>
      </c>
      <c r="BA35" s="78"/>
      <c r="BB35" s="79">
        <f>BC35/AX17</f>
        <v>5.1400610102756508</v>
      </c>
      <c r="BC35" s="76">
        <f>SUM(BC24:BC34)</f>
        <v>124007.94</v>
      </c>
      <c r="BE35" s="446" t="s">
        <v>212</v>
      </c>
      <c r="BF35" s="447"/>
      <c r="BG35" s="448"/>
      <c r="BH35" s="19">
        <f>SUM(BH26:BH34)</f>
        <v>14183.3</v>
      </c>
      <c r="BI35" s="20">
        <f>SUM(BI26:BI33)</f>
        <v>1428976.3</v>
      </c>
      <c r="BK35" s="77" t="s">
        <v>213</v>
      </c>
      <c r="BL35" s="78"/>
      <c r="BM35" s="79">
        <f>BN35/BI17</f>
        <v>4.696489526288647</v>
      </c>
      <c r="BN35" s="76">
        <f>SUM(BN24:BN34)</f>
        <v>114747.45</v>
      </c>
      <c r="BP35" s="446" t="s">
        <v>212</v>
      </c>
      <c r="BQ35" s="447"/>
      <c r="BR35" s="448"/>
      <c r="BS35" s="19">
        <f>SUM(BS26:BS34)</f>
        <v>14728.04</v>
      </c>
      <c r="BT35" s="20">
        <f>SUM(BT26:BT33)</f>
        <v>1438778.04</v>
      </c>
      <c r="BV35" s="77" t="s">
        <v>213</v>
      </c>
      <c r="BW35" s="78"/>
      <c r="BX35" s="79">
        <f>BY35/BT17</f>
        <v>5.0075653020963786</v>
      </c>
      <c r="BY35" s="76">
        <f>SUM(BY24:BY34)</f>
        <v>122347.84</v>
      </c>
      <c r="CA35" s="446" t="s">
        <v>212</v>
      </c>
      <c r="CB35" s="447"/>
      <c r="CC35" s="448"/>
      <c r="CD35" s="19">
        <f>SUM(CD26:CD34)</f>
        <v>14674.849999999999</v>
      </c>
      <c r="CE35" s="20">
        <f>SUM(CE26:CE33)</f>
        <v>1469438.35</v>
      </c>
      <c r="CG35" s="77" t="s">
        <v>213</v>
      </c>
      <c r="CH35" s="78"/>
      <c r="CI35" s="79">
        <f>CJ35/CE17</f>
        <v>5.3545319651301062</v>
      </c>
      <c r="CJ35" s="76">
        <f>SUM(CJ24:CJ34)</f>
        <v>131251.08000000002</v>
      </c>
      <c r="CL35" s="446" t="s">
        <v>212</v>
      </c>
      <c r="CM35" s="447"/>
      <c r="CN35" s="448"/>
      <c r="CO35" s="19">
        <f>SUM(CO26:CO34)</f>
        <v>14728.04</v>
      </c>
      <c r="CP35" s="20">
        <f>SUM(CP26:CP33)</f>
        <v>1478123.04</v>
      </c>
      <c r="CR35" s="77" t="s">
        <v>213</v>
      </c>
      <c r="CS35" s="78"/>
      <c r="CT35" s="79">
        <f>CU35/CP17</f>
        <v>5.0075653020963786</v>
      </c>
      <c r="CU35" s="76">
        <f>SUM(CU24:CU34)</f>
        <v>122347.84</v>
      </c>
      <c r="CW35" s="446" t="s">
        <v>212</v>
      </c>
      <c r="CX35" s="447"/>
      <c r="CY35" s="448"/>
      <c r="CZ35" s="19">
        <f>SUM(CZ26:CZ34)</f>
        <v>14674.849999999999</v>
      </c>
      <c r="DA35" s="20">
        <f>SUM(DA26:DA33)</f>
        <v>1666803.85</v>
      </c>
      <c r="DC35" s="77" t="s">
        <v>213</v>
      </c>
      <c r="DD35" s="78"/>
      <c r="DE35" s="79">
        <f>DF35/DA17</f>
        <v>5.3545319651301062</v>
      </c>
      <c r="DF35" s="76">
        <f>SUM(DF24:DF34)</f>
        <v>131251.08000000002</v>
      </c>
      <c r="DI35" s="446" t="s">
        <v>212</v>
      </c>
      <c r="DJ35" s="447"/>
      <c r="DK35" s="448"/>
      <c r="DL35" s="19">
        <f>SUM(DL26:DL34)</f>
        <v>14674.849999999999</v>
      </c>
      <c r="DM35" s="20">
        <f>SUM(DM26:DM33)</f>
        <v>1917879.85</v>
      </c>
      <c r="DO35" s="77" t="s">
        <v>213</v>
      </c>
      <c r="DP35" s="78"/>
      <c r="DQ35" s="79">
        <f>DR35/DM17</f>
        <v>5.3545319651301062</v>
      </c>
      <c r="DR35" s="76">
        <f>SUM(DR24:DR34)</f>
        <v>131251.08000000002</v>
      </c>
    </row>
    <row r="36" spans="2:122" ht="15" thickBot="1" x14ac:dyDescent="0.25">
      <c r="K36" s="286">
        <f>K35/F22</f>
        <v>8.1510548740092822E-2</v>
      </c>
      <c r="V36" s="286">
        <f>V35/Q22</f>
        <v>9.2545722323766164E-2</v>
      </c>
      <c r="AG36" s="286">
        <f>AG35/AB22</f>
        <v>8.5803193744106457E-2</v>
      </c>
      <c r="AR36" s="286">
        <f>AR35/AM22</f>
        <v>8.7744614733298462E-2</v>
      </c>
      <c r="BC36" s="286">
        <f>BC35/AX22</f>
        <v>9.3879224237821426E-2</v>
      </c>
      <c r="BM36" s="4">
        <f>116.86*BI17</f>
        <v>2855193.6360000004</v>
      </c>
      <c r="BN36" s="286">
        <f>BN35/BI22</f>
        <v>8.5777735417460921E-2</v>
      </c>
      <c r="BY36" s="286">
        <f>BY35/BT22</f>
        <v>9.0571338680603616E-2</v>
      </c>
      <c r="CJ36" s="286"/>
      <c r="CU36" s="286">
        <f>CU35/CP22</f>
        <v>8.8007998906624266E-2</v>
      </c>
      <c r="DF36" s="286"/>
      <c r="DR36" s="286"/>
    </row>
    <row r="37" spans="2:122" x14ac:dyDescent="0.2">
      <c r="B37" s="449" t="s">
        <v>218</v>
      </c>
      <c r="C37" s="450"/>
      <c r="D37" s="450"/>
      <c r="E37" s="450"/>
      <c r="F37" s="451"/>
      <c r="M37" s="449" t="s">
        <v>218</v>
      </c>
      <c r="N37" s="450"/>
      <c r="O37" s="450"/>
      <c r="P37" s="450"/>
      <c r="Q37" s="451"/>
      <c r="X37" s="449" t="s">
        <v>218</v>
      </c>
      <c r="Y37" s="450"/>
      <c r="Z37" s="450"/>
      <c r="AA37" s="450"/>
      <c r="AB37" s="451"/>
      <c r="AI37" s="449" t="s">
        <v>218</v>
      </c>
      <c r="AJ37" s="450"/>
      <c r="AK37" s="450"/>
      <c r="AL37" s="450"/>
      <c r="AM37" s="451"/>
      <c r="AT37" s="449" t="s">
        <v>218</v>
      </c>
      <c r="AU37" s="450"/>
      <c r="AV37" s="450"/>
      <c r="AW37" s="450"/>
      <c r="AX37" s="451"/>
      <c r="BE37" s="449" t="s">
        <v>218</v>
      </c>
      <c r="BF37" s="450"/>
      <c r="BG37" s="450"/>
      <c r="BH37" s="450"/>
      <c r="BI37" s="451"/>
      <c r="BM37" s="75">
        <f>BN35/BM36</f>
        <v>4.0189025554412512E-2</v>
      </c>
      <c r="BP37" s="449" t="s">
        <v>218</v>
      </c>
      <c r="BQ37" s="450"/>
      <c r="BR37" s="450"/>
      <c r="BS37" s="450"/>
      <c r="BT37" s="451"/>
      <c r="CA37" s="449" t="s">
        <v>218</v>
      </c>
      <c r="CB37" s="450"/>
      <c r="CC37" s="450"/>
      <c r="CD37" s="450"/>
      <c r="CE37" s="451"/>
      <c r="CL37" s="449" t="s">
        <v>218</v>
      </c>
      <c r="CM37" s="450"/>
      <c r="CN37" s="450"/>
      <c r="CO37" s="450"/>
      <c r="CP37" s="451"/>
      <c r="CW37" s="449" t="s">
        <v>218</v>
      </c>
      <c r="CX37" s="450"/>
      <c r="CY37" s="450"/>
      <c r="CZ37" s="450"/>
      <c r="DA37" s="451"/>
      <c r="DI37" s="449" t="s">
        <v>218</v>
      </c>
      <c r="DJ37" s="450"/>
      <c r="DK37" s="450"/>
      <c r="DL37" s="450"/>
      <c r="DM37" s="451"/>
    </row>
    <row r="38" spans="2:122" ht="15" thickBot="1" x14ac:dyDescent="0.25">
      <c r="B38" s="452" t="s">
        <v>109</v>
      </c>
      <c r="C38" s="453"/>
      <c r="D38" s="129">
        <v>29545.32</v>
      </c>
      <c r="E38" s="51">
        <f>D38-D17</f>
        <v>0</v>
      </c>
      <c r="F38" s="52">
        <f>E38*F18</f>
        <v>0</v>
      </c>
      <c r="K38" s="75"/>
      <c r="M38" s="452" t="s">
        <v>109</v>
      </c>
      <c r="N38" s="453"/>
      <c r="O38" s="237">
        <f>O17</f>
        <v>20826</v>
      </c>
      <c r="P38" s="51">
        <f>O38-O17</f>
        <v>0</v>
      </c>
      <c r="Q38" s="52">
        <f>P38*Q18</f>
        <v>0</v>
      </c>
      <c r="V38" s="75"/>
      <c r="X38" s="452" t="s">
        <v>109</v>
      </c>
      <c r="Y38" s="453"/>
      <c r="Z38" s="237">
        <v>23520</v>
      </c>
      <c r="AA38" s="51">
        <f>Z38-Z17</f>
        <v>-179.20000000000073</v>
      </c>
      <c r="AB38" s="52">
        <f>AA38*AB18</f>
        <v>-10931.200000000044</v>
      </c>
      <c r="AG38" s="75"/>
      <c r="AI38" s="452" t="s">
        <v>109</v>
      </c>
      <c r="AJ38" s="453"/>
      <c r="AK38" s="237">
        <f>AK17</f>
        <v>23171.599999999999</v>
      </c>
      <c r="AL38" s="51">
        <f>AK38-AK17</f>
        <v>0</v>
      </c>
      <c r="AM38" s="52">
        <f>AL38*AM18</f>
        <v>0</v>
      </c>
      <c r="AR38" s="75"/>
      <c r="AT38" s="452" t="s">
        <v>109</v>
      </c>
      <c r="AU38" s="453"/>
      <c r="AV38" s="237">
        <f>AV17</f>
        <v>21654.600000000002</v>
      </c>
      <c r="AW38" s="51">
        <f>AV38-AV17</f>
        <v>0</v>
      </c>
      <c r="AX38" s="52">
        <f>AW38*AX18</f>
        <v>0</v>
      </c>
      <c r="BC38" s="75"/>
      <c r="BE38" s="452" t="s">
        <v>109</v>
      </c>
      <c r="BF38" s="453"/>
      <c r="BG38" s="237">
        <f>BG17</f>
        <v>21930</v>
      </c>
      <c r="BH38" s="51">
        <f>BG38-BG17</f>
        <v>0</v>
      </c>
      <c r="BI38" s="52">
        <f>BH38*BI18</f>
        <v>0</v>
      </c>
      <c r="BN38" s="75"/>
      <c r="BP38" s="452" t="s">
        <v>109</v>
      </c>
      <c r="BQ38" s="453"/>
      <c r="BR38" s="237">
        <f>BR17</f>
        <v>22145</v>
      </c>
      <c r="BS38" s="51">
        <f>BR38-BR17</f>
        <v>0</v>
      </c>
      <c r="BT38" s="52">
        <f>BS38*BT18</f>
        <v>0</v>
      </c>
      <c r="BY38" s="75"/>
      <c r="CA38" s="452" t="s">
        <v>109</v>
      </c>
      <c r="CB38" s="453"/>
      <c r="CC38" s="237">
        <f>CC17</f>
        <v>22648.5</v>
      </c>
      <c r="CD38" s="51">
        <f>CC38-CC17</f>
        <v>0</v>
      </c>
      <c r="CE38" s="52">
        <f>CD38*CE18</f>
        <v>0</v>
      </c>
      <c r="CJ38" s="75"/>
      <c r="CL38" s="452" t="s">
        <v>109</v>
      </c>
      <c r="CM38" s="453"/>
      <c r="CN38" s="237">
        <f>CN17</f>
        <v>22790</v>
      </c>
      <c r="CO38" s="51">
        <f>CN38-CN17</f>
        <v>0</v>
      </c>
      <c r="CP38" s="52">
        <f>CO38*CP18</f>
        <v>0</v>
      </c>
      <c r="CU38" s="75"/>
      <c r="CW38" s="452" t="s">
        <v>109</v>
      </c>
      <c r="CX38" s="453"/>
      <c r="CY38" s="237">
        <f>CY17</f>
        <v>25884</v>
      </c>
      <c r="CZ38" s="51">
        <f>CY38-CY17</f>
        <v>0</v>
      </c>
      <c r="DA38" s="52">
        <f>CZ38*DA18</f>
        <v>0</v>
      </c>
      <c r="DF38" s="75"/>
      <c r="DI38" s="452" t="s">
        <v>109</v>
      </c>
      <c r="DJ38" s="453"/>
      <c r="DK38" s="237">
        <f>DK17</f>
        <v>30000</v>
      </c>
      <c r="DL38" s="51">
        <f>DK38-DK17</f>
        <v>0</v>
      </c>
      <c r="DM38" s="52">
        <f>DL38*DM18</f>
        <v>0</v>
      </c>
      <c r="DR38" s="75"/>
    </row>
    <row r="39" spans="2:122" x14ac:dyDescent="0.2">
      <c r="E39" s="133"/>
      <c r="P39" s="133"/>
      <c r="AA39" s="133"/>
      <c r="AL39" s="133"/>
      <c r="AW39" s="133"/>
      <c r="BC39" s="75"/>
      <c r="BH39" s="133"/>
      <c r="BS39" s="133"/>
      <c r="CD39" s="133"/>
      <c r="CO39" s="133"/>
      <c r="CZ39" s="133"/>
      <c r="DL39" s="133"/>
    </row>
  </sheetData>
  <mergeCells count="451">
    <mergeCell ref="DI35:DK35"/>
    <mergeCell ref="DI37:DM37"/>
    <mergeCell ref="DI38:DJ38"/>
    <mergeCell ref="DI27:DL27"/>
    <mergeCell ref="DO27:DP27"/>
    <mergeCell ref="DM28:DM34"/>
    <mergeCell ref="DO28:DP28"/>
    <mergeCell ref="DO29:DP29"/>
    <mergeCell ref="DO30:DP30"/>
    <mergeCell ref="DO31:DP31"/>
    <mergeCell ref="DO32:DP32"/>
    <mergeCell ref="DI34:DJ34"/>
    <mergeCell ref="DI21:DM21"/>
    <mergeCell ref="DQ21:DR21"/>
    <mergeCell ref="DI22:DK22"/>
    <mergeCell ref="DI23:DM23"/>
    <mergeCell ref="DO23:DR23"/>
    <mergeCell ref="DM24:DM25"/>
    <mergeCell ref="DO24:DP24"/>
    <mergeCell ref="DO25:DP25"/>
    <mergeCell ref="DI26:DL26"/>
    <mergeCell ref="DO26:DP26"/>
    <mergeCell ref="DI12:DR12"/>
    <mergeCell ref="DI15:DM15"/>
    <mergeCell ref="DO15:DR15"/>
    <mergeCell ref="DO16:DP16"/>
    <mergeCell ref="DO17:DP17"/>
    <mergeCell ref="DI18:DL18"/>
    <mergeCell ref="DO18:DP18"/>
    <mergeCell ref="DO19:DP19"/>
    <mergeCell ref="DI20:DM20"/>
    <mergeCell ref="DO20:DP20"/>
    <mergeCell ref="DI2:DR2"/>
    <mergeCell ref="DI4:DM4"/>
    <mergeCell ref="DO4:DR4"/>
    <mergeCell ref="DJ5:DM5"/>
    <mergeCell ref="DJ6:DM6"/>
    <mergeCell ref="DJ7:DM7"/>
    <mergeCell ref="DJ8:DK8"/>
    <mergeCell ref="DJ9:DM9"/>
    <mergeCell ref="DJ10:DM10"/>
    <mergeCell ref="CA35:CC35"/>
    <mergeCell ref="CA37:CE37"/>
    <mergeCell ref="CA38:CB38"/>
    <mergeCell ref="CA27:CD27"/>
    <mergeCell ref="CG27:CH27"/>
    <mergeCell ref="CE28:CE34"/>
    <mergeCell ref="CG28:CH28"/>
    <mergeCell ref="CG29:CH29"/>
    <mergeCell ref="CG30:CH30"/>
    <mergeCell ref="CG31:CH31"/>
    <mergeCell ref="CG32:CH32"/>
    <mergeCell ref="CA34:CB34"/>
    <mergeCell ref="CA21:CE21"/>
    <mergeCell ref="CI21:CJ21"/>
    <mergeCell ref="CA22:CC22"/>
    <mergeCell ref="CA23:CE23"/>
    <mergeCell ref="CG23:CJ23"/>
    <mergeCell ref="CE24:CE25"/>
    <mergeCell ref="CG24:CH24"/>
    <mergeCell ref="CG25:CH25"/>
    <mergeCell ref="CA26:CD26"/>
    <mergeCell ref="CG26:CH26"/>
    <mergeCell ref="CA12:CJ12"/>
    <mergeCell ref="CA15:CE15"/>
    <mergeCell ref="CG15:CJ15"/>
    <mergeCell ref="CG16:CH16"/>
    <mergeCell ref="CG17:CH17"/>
    <mergeCell ref="CA18:CD18"/>
    <mergeCell ref="CG18:CH18"/>
    <mergeCell ref="CG19:CH19"/>
    <mergeCell ref="CA20:CE20"/>
    <mergeCell ref="CG20:CH20"/>
    <mergeCell ref="CA2:CJ2"/>
    <mergeCell ref="CA4:CE4"/>
    <mergeCell ref="CG4:CJ4"/>
    <mergeCell ref="CB5:CE5"/>
    <mergeCell ref="CB6:CE6"/>
    <mergeCell ref="CB7:CE7"/>
    <mergeCell ref="CB8:CC8"/>
    <mergeCell ref="CB9:CE9"/>
    <mergeCell ref="CB10:CE10"/>
    <mergeCell ref="CL35:CN35"/>
    <mergeCell ref="CL37:CP37"/>
    <mergeCell ref="CL38:CM38"/>
    <mergeCell ref="CL27:CO27"/>
    <mergeCell ref="CR27:CS27"/>
    <mergeCell ref="CP28:CP34"/>
    <mergeCell ref="CR28:CS28"/>
    <mergeCell ref="CR29:CS29"/>
    <mergeCell ref="CR30:CS30"/>
    <mergeCell ref="CR31:CS31"/>
    <mergeCell ref="CR32:CS32"/>
    <mergeCell ref="CL34:CM34"/>
    <mergeCell ref="CL21:CP21"/>
    <mergeCell ref="CT21:CU21"/>
    <mergeCell ref="CL22:CN22"/>
    <mergeCell ref="CL23:CP23"/>
    <mergeCell ref="CR23:CU23"/>
    <mergeCell ref="CP24:CP25"/>
    <mergeCell ref="CR24:CS24"/>
    <mergeCell ref="CR25:CS25"/>
    <mergeCell ref="CL26:CO26"/>
    <mergeCell ref="CR26:CS26"/>
    <mergeCell ref="CL12:CU12"/>
    <mergeCell ref="CL15:CP15"/>
    <mergeCell ref="CR15:CU15"/>
    <mergeCell ref="CR16:CS16"/>
    <mergeCell ref="CR17:CS17"/>
    <mergeCell ref="CL18:CO18"/>
    <mergeCell ref="CR18:CS18"/>
    <mergeCell ref="CR19:CS19"/>
    <mergeCell ref="CL20:CP20"/>
    <mergeCell ref="CR20:CS20"/>
    <mergeCell ref="CL2:CU2"/>
    <mergeCell ref="CL4:CP4"/>
    <mergeCell ref="CR4:CU4"/>
    <mergeCell ref="CM5:CP5"/>
    <mergeCell ref="CM6:CP6"/>
    <mergeCell ref="CM7:CP7"/>
    <mergeCell ref="CM8:CN8"/>
    <mergeCell ref="CM9:CP9"/>
    <mergeCell ref="CM10:CP10"/>
    <mergeCell ref="AI35:AK35"/>
    <mergeCell ref="AI37:AM37"/>
    <mergeCell ref="AI38:AJ38"/>
    <mergeCell ref="AI27:AL27"/>
    <mergeCell ref="AO28:AP28"/>
    <mergeCell ref="AM28:AM34"/>
    <mergeCell ref="AO29:AP29"/>
    <mergeCell ref="AO30:AP30"/>
    <mergeCell ref="AO31:AP31"/>
    <mergeCell ref="AO32:AP32"/>
    <mergeCell ref="AI34:AJ34"/>
    <mergeCell ref="AM24:AM25"/>
    <mergeCell ref="AO25:AP25"/>
    <mergeCell ref="AO26:AP26"/>
    <mergeCell ref="AI26:AL26"/>
    <mergeCell ref="AO27:AP27"/>
    <mergeCell ref="AQ21:AR21"/>
    <mergeCell ref="AI21:AM21"/>
    <mergeCell ref="AI22:AK22"/>
    <mergeCell ref="AO23:AR23"/>
    <mergeCell ref="AI23:AM23"/>
    <mergeCell ref="AO24:AP24"/>
    <mergeCell ref="AO18:AP18"/>
    <mergeCell ref="AI18:AL18"/>
    <mergeCell ref="AO19:AP19"/>
    <mergeCell ref="AO20:AP20"/>
    <mergeCell ref="AI20:AM20"/>
    <mergeCell ref="X35:Z35"/>
    <mergeCell ref="X37:AB37"/>
    <mergeCell ref="X38:Y38"/>
    <mergeCell ref="AI2:AR2"/>
    <mergeCell ref="AI4:AM4"/>
    <mergeCell ref="AO4:AR4"/>
    <mergeCell ref="AJ5:AM5"/>
    <mergeCell ref="AJ6:AM6"/>
    <mergeCell ref="AJ7:AM7"/>
    <mergeCell ref="AJ8:AK8"/>
    <mergeCell ref="AJ9:AM9"/>
    <mergeCell ref="AJ10:AM10"/>
    <mergeCell ref="AI12:AR12"/>
    <mergeCell ref="AI15:AM15"/>
    <mergeCell ref="AO15:AR15"/>
    <mergeCell ref="AO16:AP16"/>
    <mergeCell ref="X26:AA26"/>
    <mergeCell ref="AD27:AE27"/>
    <mergeCell ref="X27:AA27"/>
    <mergeCell ref="AD28:AE28"/>
    <mergeCell ref="AB28:AB34"/>
    <mergeCell ref="AD29:AE29"/>
    <mergeCell ref="AD30:AE30"/>
    <mergeCell ref="AD31:AE31"/>
    <mergeCell ref="AD32:AE32"/>
    <mergeCell ref="X34:Y34"/>
    <mergeCell ref="X23:AB23"/>
    <mergeCell ref="AD24:AE24"/>
    <mergeCell ref="AB24:AB25"/>
    <mergeCell ref="AD25:AE25"/>
    <mergeCell ref="AD26:AE26"/>
    <mergeCell ref="AD20:AE20"/>
    <mergeCell ref="X20:AB20"/>
    <mergeCell ref="AF21:AG21"/>
    <mergeCell ref="X21:AB21"/>
    <mergeCell ref="X22:Z22"/>
    <mergeCell ref="AD23:AG23"/>
    <mergeCell ref="X15:AB15"/>
    <mergeCell ref="AD15:AG15"/>
    <mergeCell ref="AD16:AE16"/>
    <mergeCell ref="AD18:AE18"/>
    <mergeCell ref="X18:AA18"/>
    <mergeCell ref="AD19:AE19"/>
    <mergeCell ref="Y7:AB7"/>
    <mergeCell ref="Y8:Z8"/>
    <mergeCell ref="Y9:AB9"/>
    <mergeCell ref="Y10:AB10"/>
    <mergeCell ref="X12:AG12"/>
    <mergeCell ref="X2:AG2"/>
    <mergeCell ref="X4:AB4"/>
    <mergeCell ref="AD4:AG4"/>
    <mergeCell ref="Y5:AB5"/>
    <mergeCell ref="Y6:AB6"/>
    <mergeCell ref="M35:O35"/>
    <mergeCell ref="M37:Q37"/>
    <mergeCell ref="M38:N38"/>
    <mergeCell ref="M26:P26"/>
    <mergeCell ref="S27:T27"/>
    <mergeCell ref="M27:P27"/>
    <mergeCell ref="S28:T28"/>
    <mergeCell ref="Q28:Q34"/>
    <mergeCell ref="S29:T29"/>
    <mergeCell ref="S30:T30"/>
    <mergeCell ref="S31:T31"/>
    <mergeCell ref="S32:T32"/>
    <mergeCell ref="M34:N34"/>
    <mergeCell ref="M23:Q23"/>
    <mergeCell ref="S24:T24"/>
    <mergeCell ref="Q24:Q25"/>
    <mergeCell ref="S25:T25"/>
    <mergeCell ref="S26:T26"/>
    <mergeCell ref="S20:T20"/>
    <mergeCell ref="M20:Q20"/>
    <mergeCell ref="U21:V21"/>
    <mergeCell ref="M21:Q21"/>
    <mergeCell ref="M22:O22"/>
    <mergeCell ref="S23:V23"/>
    <mergeCell ref="M15:Q15"/>
    <mergeCell ref="S15:V15"/>
    <mergeCell ref="S16:T16"/>
    <mergeCell ref="S18:T18"/>
    <mergeCell ref="M18:P18"/>
    <mergeCell ref="S19:T19"/>
    <mergeCell ref="N7:Q7"/>
    <mergeCell ref="N8:O8"/>
    <mergeCell ref="N9:Q9"/>
    <mergeCell ref="N10:Q10"/>
    <mergeCell ref="M12:V12"/>
    <mergeCell ref="M2:V2"/>
    <mergeCell ref="M4:Q4"/>
    <mergeCell ref="S4:V4"/>
    <mergeCell ref="N5:Q5"/>
    <mergeCell ref="N6:Q6"/>
    <mergeCell ref="C5:F5"/>
    <mergeCell ref="C6:F6"/>
    <mergeCell ref="C7:F7"/>
    <mergeCell ref="B2:K2"/>
    <mergeCell ref="B4:F4"/>
    <mergeCell ref="H4:K4"/>
    <mergeCell ref="B37:F37"/>
    <mergeCell ref="B38:C38"/>
    <mergeCell ref="H15:K15"/>
    <mergeCell ref="H16:I16"/>
    <mergeCell ref="C9:F9"/>
    <mergeCell ref="B12:K12"/>
    <mergeCell ref="C10:F10"/>
    <mergeCell ref="H20:I20"/>
    <mergeCell ref="B20:F20"/>
    <mergeCell ref="J21:K21"/>
    <mergeCell ref="H18:I18"/>
    <mergeCell ref="B18:E18"/>
    <mergeCell ref="H19:I19"/>
    <mergeCell ref="C8:D8"/>
    <mergeCell ref="B34:C34"/>
    <mergeCell ref="B35:D35"/>
    <mergeCell ref="F28:F34"/>
    <mergeCell ref="B23:F23"/>
    <mergeCell ref="B15:F15"/>
    <mergeCell ref="H29:I29"/>
    <mergeCell ref="H30:I30"/>
    <mergeCell ref="H31:I31"/>
    <mergeCell ref="H32:I32"/>
    <mergeCell ref="B26:E26"/>
    <mergeCell ref="H27:I27"/>
    <mergeCell ref="B27:E27"/>
    <mergeCell ref="H28:I28"/>
    <mergeCell ref="H17:I17"/>
    <mergeCell ref="H24:I24"/>
    <mergeCell ref="F24:F25"/>
    <mergeCell ref="H25:I25"/>
    <mergeCell ref="H26:I26"/>
    <mergeCell ref="B21:F21"/>
    <mergeCell ref="B22:D22"/>
    <mergeCell ref="H23:K23"/>
    <mergeCell ref="AT2:BC2"/>
    <mergeCell ref="AT4:AX4"/>
    <mergeCell ref="AZ4:BC4"/>
    <mergeCell ref="AU5:AX5"/>
    <mergeCell ref="AU6:AX6"/>
    <mergeCell ref="AU7:AX7"/>
    <mergeCell ref="AU8:AV8"/>
    <mergeCell ref="AU9:AX9"/>
    <mergeCell ref="AU10:AX10"/>
    <mergeCell ref="AZ26:BA26"/>
    <mergeCell ref="AT26:AW26"/>
    <mergeCell ref="AZ27:BA27"/>
    <mergeCell ref="AT12:BC12"/>
    <mergeCell ref="AT15:AX15"/>
    <mergeCell ref="AZ15:BC15"/>
    <mergeCell ref="AZ16:BA16"/>
    <mergeCell ref="AZ18:BA18"/>
    <mergeCell ref="AT18:AW18"/>
    <mergeCell ref="AZ19:BA19"/>
    <mergeCell ref="AZ20:BA20"/>
    <mergeCell ref="AT20:AX20"/>
    <mergeCell ref="BB21:BC21"/>
    <mergeCell ref="BE21:BI21"/>
    <mergeCell ref="BM21:BN21"/>
    <mergeCell ref="AT37:AX37"/>
    <mergeCell ref="AT38:AU38"/>
    <mergeCell ref="AZ17:BA17"/>
    <mergeCell ref="AO17:AP17"/>
    <mergeCell ref="AD17:AE17"/>
    <mergeCell ref="S17:T17"/>
    <mergeCell ref="AT27:AW27"/>
    <mergeCell ref="AZ28:BA28"/>
    <mergeCell ref="AX28:AX34"/>
    <mergeCell ref="AZ29:BA29"/>
    <mergeCell ref="AZ30:BA30"/>
    <mergeCell ref="AZ31:BA31"/>
    <mergeCell ref="AZ32:BA32"/>
    <mergeCell ref="AT34:AU34"/>
    <mergeCell ref="AT35:AV35"/>
    <mergeCell ref="AT21:AX21"/>
    <mergeCell ref="AT22:AV22"/>
    <mergeCell ref="AZ23:BC23"/>
    <mergeCell ref="AT23:AX23"/>
    <mergeCell ref="AZ24:BA24"/>
    <mergeCell ref="AX24:AX25"/>
    <mergeCell ref="AZ25:BA25"/>
    <mergeCell ref="BE12:BN12"/>
    <mergeCell ref="BE15:BI15"/>
    <mergeCell ref="BK15:BN15"/>
    <mergeCell ref="BK16:BL16"/>
    <mergeCell ref="BK17:BL17"/>
    <mergeCell ref="BE18:BH18"/>
    <mergeCell ref="BK18:BL18"/>
    <mergeCell ref="BK19:BL19"/>
    <mergeCell ref="BE20:BI20"/>
    <mergeCell ref="BK20:BL20"/>
    <mergeCell ref="BE2:BN2"/>
    <mergeCell ref="BE4:BI4"/>
    <mergeCell ref="BK4:BN4"/>
    <mergeCell ref="BF5:BI5"/>
    <mergeCell ref="BF6:BI6"/>
    <mergeCell ref="BF7:BI7"/>
    <mergeCell ref="BF8:BG8"/>
    <mergeCell ref="BF9:BI9"/>
    <mergeCell ref="BF10:BI10"/>
    <mergeCell ref="BE22:BG22"/>
    <mergeCell ref="BE23:BI23"/>
    <mergeCell ref="BK23:BN23"/>
    <mergeCell ref="BI24:BI25"/>
    <mergeCell ref="BK24:BL24"/>
    <mergeCell ref="BK25:BL25"/>
    <mergeCell ref="BE26:BH26"/>
    <mergeCell ref="BK26:BL26"/>
    <mergeCell ref="BE27:BH27"/>
    <mergeCell ref="BK27:BL27"/>
    <mergeCell ref="BE38:BF38"/>
    <mergeCell ref="BI28:BI34"/>
    <mergeCell ref="BK28:BL28"/>
    <mergeCell ref="BK29:BL29"/>
    <mergeCell ref="BK30:BL30"/>
    <mergeCell ref="BK31:BL31"/>
    <mergeCell ref="BK32:BL32"/>
    <mergeCell ref="BE34:BF34"/>
    <mergeCell ref="BE35:BG35"/>
    <mergeCell ref="BE37:BI37"/>
    <mergeCell ref="BP2:BY2"/>
    <mergeCell ref="BP4:BT4"/>
    <mergeCell ref="BV4:BY4"/>
    <mergeCell ref="BQ5:BT5"/>
    <mergeCell ref="BQ6:BT6"/>
    <mergeCell ref="BQ7:BT7"/>
    <mergeCell ref="BQ8:BR8"/>
    <mergeCell ref="BQ9:BT9"/>
    <mergeCell ref="BQ10:BT10"/>
    <mergeCell ref="BP12:BY12"/>
    <mergeCell ref="BP15:BT15"/>
    <mergeCell ref="BV15:BY15"/>
    <mergeCell ref="BV16:BW16"/>
    <mergeCell ref="BV17:BW17"/>
    <mergeCell ref="BP18:BS18"/>
    <mergeCell ref="BV18:BW18"/>
    <mergeCell ref="BV19:BW19"/>
    <mergeCell ref="BP20:BT20"/>
    <mergeCell ref="BV20:BW20"/>
    <mergeCell ref="BP21:BT21"/>
    <mergeCell ref="BX21:BY21"/>
    <mergeCell ref="BP22:BR22"/>
    <mergeCell ref="BP23:BT23"/>
    <mergeCell ref="BV23:BY23"/>
    <mergeCell ref="BT24:BT25"/>
    <mergeCell ref="BV24:BW24"/>
    <mergeCell ref="BV25:BW25"/>
    <mergeCell ref="BP26:BS26"/>
    <mergeCell ref="BV26:BW26"/>
    <mergeCell ref="BP35:BR35"/>
    <mergeCell ref="BP37:BT37"/>
    <mergeCell ref="BP38:BQ38"/>
    <mergeCell ref="BP27:BS27"/>
    <mergeCell ref="BV27:BW27"/>
    <mergeCell ref="BT28:BT34"/>
    <mergeCell ref="BV28:BW28"/>
    <mergeCell ref="BV29:BW29"/>
    <mergeCell ref="BV30:BW30"/>
    <mergeCell ref="BV31:BW31"/>
    <mergeCell ref="BV32:BW32"/>
    <mergeCell ref="BP34:BQ34"/>
    <mergeCell ref="CW2:DF2"/>
    <mergeCell ref="CW4:DA4"/>
    <mergeCell ref="DC4:DF4"/>
    <mergeCell ref="CX5:DA5"/>
    <mergeCell ref="CX6:DA6"/>
    <mergeCell ref="CX7:DA7"/>
    <mergeCell ref="CX8:CY8"/>
    <mergeCell ref="CX9:DA9"/>
    <mergeCell ref="CX10:DA10"/>
    <mergeCell ref="CW12:DF12"/>
    <mergeCell ref="CW15:DA15"/>
    <mergeCell ref="DC15:DF15"/>
    <mergeCell ref="DC16:DD16"/>
    <mergeCell ref="DC17:DD17"/>
    <mergeCell ref="CW18:CZ18"/>
    <mergeCell ref="DC18:DD18"/>
    <mergeCell ref="DC19:DD19"/>
    <mergeCell ref="CW20:DA20"/>
    <mergeCell ref="DC20:DD20"/>
    <mergeCell ref="CW21:DA21"/>
    <mergeCell ref="DE21:DF21"/>
    <mergeCell ref="CW22:CY22"/>
    <mergeCell ref="CW23:DA23"/>
    <mergeCell ref="DC23:DF23"/>
    <mergeCell ref="DA24:DA25"/>
    <mergeCell ref="DC24:DD24"/>
    <mergeCell ref="DC25:DD25"/>
    <mergeCell ref="CW26:CZ26"/>
    <mergeCell ref="DC26:DD26"/>
    <mergeCell ref="CW35:CY35"/>
    <mergeCell ref="CW37:DA37"/>
    <mergeCell ref="CW38:CX38"/>
    <mergeCell ref="CW27:CZ27"/>
    <mergeCell ref="DC27:DD27"/>
    <mergeCell ref="DA28:DA34"/>
    <mergeCell ref="DC28:DD28"/>
    <mergeCell ref="DC29:DD29"/>
    <mergeCell ref="DC30:DD30"/>
    <mergeCell ref="DC31:DD31"/>
    <mergeCell ref="DC32:DD32"/>
    <mergeCell ref="CW34:CX34"/>
  </mergeCells>
  <pageMargins left="0.7" right="0.7" top="0.75" bottom="0.75" header="0.3" footer="0.3"/>
  <pageSetup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4" tint="-0.499984740745262"/>
  </sheetPr>
  <dimension ref="A1:Z111"/>
  <sheetViews>
    <sheetView showGridLines="0" zoomScaleNormal="100" workbookViewId="0">
      <pane ySplit="12" topLeftCell="A13" activePane="bottomLeft" state="frozen"/>
      <selection pane="bottomLeft" activeCell="A9" sqref="A9"/>
    </sheetView>
  </sheetViews>
  <sheetFormatPr defaultColWidth="10.5" defaultRowHeight="14.25" x14ac:dyDescent="0.2"/>
  <cols>
    <col min="1" max="1" width="31.19921875" style="81" bestFit="1" customWidth="1"/>
    <col min="2" max="2" width="10.296875" style="81" bestFit="1" customWidth="1"/>
    <col min="3" max="3" width="21.69921875" style="81" customWidth="1"/>
    <col min="4" max="4" width="5.796875" style="81" bestFit="1" customWidth="1"/>
    <col min="5" max="5" width="5.796875" style="90" bestFit="1" customWidth="1"/>
    <col min="6" max="6" width="23.69921875" bestFit="1" customWidth="1"/>
    <col min="7" max="7" width="10.296875" bestFit="1" customWidth="1"/>
    <col min="8" max="8" width="5.69921875" customWidth="1"/>
    <col min="9" max="9" width="6.796875" bestFit="1" customWidth="1"/>
    <col min="10" max="10" width="2" customWidth="1"/>
    <col min="11" max="11" width="22" bestFit="1" customWidth="1"/>
    <col min="13" max="13" width="6.296875" customWidth="1"/>
    <col min="14" max="14" width="4.796875" bestFit="1" customWidth="1"/>
    <col min="15" max="15" width="2.19921875" customWidth="1"/>
    <col min="16" max="16" width="10.5" style="90"/>
    <col min="17" max="18" width="23.796875" bestFit="1" customWidth="1"/>
    <col min="19" max="19" width="13.59765625" customWidth="1"/>
    <col min="20" max="20" width="46.5" bestFit="1" customWidth="1"/>
    <col min="22" max="22" width="2" customWidth="1"/>
    <col min="23" max="23" width="23.796875" bestFit="1" customWidth="1"/>
    <col min="24" max="24" width="16.5" customWidth="1"/>
    <col min="25" max="25" width="18.5" customWidth="1"/>
  </cols>
  <sheetData>
    <row r="1" spans="1:26" x14ac:dyDescent="0.2">
      <c r="A1"/>
      <c r="B1"/>
      <c r="C1"/>
      <c r="D1"/>
    </row>
    <row r="2" spans="1:26" x14ac:dyDescent="0.2">
      <c r="A2"/>
      <c r="B2"/>
      <c r="C2"/>
      <c r="D2"/>
      <c r="K2" s="90"/>
      <c r="L2" s="90"/>
      <c r="M2" s="90"/>
      <c r="N2" s="90"/>
      <c r="O2" s="90"/>
    </row>
    <row r="3" spans="1:26" x14ac:dyDescent="0.2">
      <c r="A3" s="154" t="s">
        <v>298</v>
      </c>
      <c r="B3" s="156"/>
      <c r="C3" s="152"/>
      <c r="D3" s="153">
        <v>2.1</v>
      </c>
      <c r="E3" s="153">
        <v>1.5</v>
      </c>
      <c r="F3" s="152" t="s">
        <v>299</v>
      </c>
      <c r="G3" s="152"/>
      <c r="H3" s="152"/>
      <c r="I3" s="155">
        <v>25</v>
      </c>
      <c r="K3" s="154" t="s">
        <v>300</v>
      </c>
      <c r="L3" s="156"/>
      <c r="M3" s="152"/>
      <c r="N3" s="153">
        <v>0.72</v>
      </c>
      <c r="O3" s="90"/>
    </row>
    <row r="4" spans="1:26" x14ac:dyDescent="0.2">
      <c r="A4" s="154" t="s">
        <v>301</v>
      </c>
      <c r="B4" s="156"/>
      <c r="C4" s="152"/>
      <c r="D4" s="153">
        <v>2.6</v>
      </c>
      <c r="E4" s="153">
        <v>1.95</v>
      </c>
      <c r="F4" s="152" t="s">
        <v>302</v>
      </c>
      <c r="G4" s="152"/>
      <c r="H4" s="152"/>
      <c r="I4" s="155">
        <v>25</v>
      </c>
    </row>
    <row r="5" spans="1:26" x14ac:dyDescent="0.2">
      <c r="A5" s="152" t="s">
        <v>303</v>
      </c>
      <c r="B5" s="152"/>
      <c r="C5" s="152"/>
      <c r="D5" s="155"/>
      <c r="E5" s="155">
        <v>2.5</v>
      </c>
      <c r="F5" s="152" t="s">
        <v>304</v>
      </c>
      <c r="G5" s="152"/>
      <c r="H5" s="152"/>
      <c r="I5" s="155">
        <v>22</v>
      </c>
    </row>
    <row r="6" spans="1:26" x14ac:dyDescent="0.2">
      <c r="A6" s="152" t="s">
        <v>305</v>
      </c>
      <c r="B6" s="152"/>
      <c r="C6" s="152"/>
      <c r="D6" s="155">
        <v>4.7</v>
      </c>
      <c r="E6" s="155">
        <v>4</v>
      </c>
      <c r="F6" s="152" t="s">
        <v>306</v>
      </c>
      <c r="G6" s="152"/>
      <c r="H6" s="152"/>
      <c r="I6" s="155">
        <v>31</v>
      </c>
      <c r="O6" s="53"/>
      <c r="P6" s="264"/>
    </row>
    <row r="7" spans="1:26" x14ac:dyDescent="0.2">
      <c r="A7" s="152" t="s">
        <v>307</v>
      </c>
      <c r="B7" s="152"/>
      <c r="C7" s="152"/>
      <c r="D7" s="155">
        <v>6.17</v>
      </c>
      <c r="E7" s="155">
        <v>4.5</v>
      </c>
      <c r="F7" s="152" t="s">
        <v>308</v>
      </c>
      <c r="G7" s="152"/>
      <c r="H7" s="152"/>
      <c r="I7" s="155">
        <v>27</v>
      </c>
      <c r="P7" s="264"/>
    </row>
    <row r="8" spans="1:26" x14ac:dyDescent="0.2">
      <c r="A8"/>
      <c r="B8"/>
      <c r="C8"/>
      <c r="D8"/>
    </row>
    <row r="9" spans="1:26" s="80" customFormat="1" x14ac:dyDescent="0.2">
      <c r="A9" s="308" t="s">
        <v>309</v>
      </c>
      <c r="B9" s="80" t="s">
        <v>310</v>
      </c>
      <c r="C9" s="74"/>
      <c r="D9" s="74"/>
      <c r="E9" s="90"/>
      <c r="F9" s="308" t="s">
        <v>309</v>
      </c>
      <c r="G9" s="80" t="s">
        <v>80</v>
      </c>
      <c r="H9" s="74"/>
      <c r="I9" s="74"/>
      <c r="K9" s="308" t="s">
        <v>309</v>
      </c>
      <c r="L9" s="80" t="s">
        <v>73</v>
      </c>
      <c r="M9" s="74"/>
      <c r="N9" s="74"/>
      <c r="O9" s="74"/>
      <c r="R9" s="308" t="s">
        <v>309</v>
      </c>
      <c r="S9" s="80" t="s">
        <v>311</v>
      </c>
      <c r="T9" s="74"/>
      <c r="U9" s="74"/>
      <c r="W9" s="308" t="s">
        <v>309</v>
      </c>
      <c r="X9" s="80" t="s">
        <v>312</v>
      </c>
      <c r="Y9" s="74"/>
      <c r="Z9" s="74"/>
    </row>
    <row r="11" spans="1:26" x14ac:dyDescent="0.2">
      <c r="A11" s="309" t="s">
        <v>313</v>
      </c>
      <c r="D11" s="310"/>
      <c r="F11" s="309" t="s">
        <v>313</v>
      </c>
      <c r="G11" s="81"/>
      <c r="H11" s="81"/>
      <c r="I11" s="310"/>
      <c r="K11" s="309" t="s">
        <v>313</v>
      </c>
      <c r="L11" s="81"/>
      <c r="M11" s="81"/>
      <c r="N11" s="310"/>
      <c r="O11" s="310"/>
      <c r="P11" s="127"/>
      <c r="Q11" s="127"/>
      <c r="R11" s="309" t="s">
        <v>313</v>
      </c>
      <c r="S11" s="81"/>
      <c r="T11" s="81"/>
      <c r="U11" s="310"/>
      <c r="W11" s="309" t="s">
        <v>313</v>
      </c>
      <c r="X11" s="81"/>
      <c r="Y11" s="81"/>
      <c r="Z11" s="310"/>
    </row>
    <row r="12" spans="1:26" x14ac:dyDescent="0.2">
      <c r="A12" s="308" t="s">
        <v>314</v>
      </c>
      <c r="B12" s="311" t="s">
        <v>315</v>
      </c>
      <c r="C12" s="312" t="s">
        <v>316</v>
      </c>
      <c r="D12" s="81" t="s">
        <v>317</v>
      </c>
      <c r="F12" s="308" t="s">
        <v>314</v>
      </c>
      <c r="G12" s="311" t="s">
        <v>315</v>
      </c>
      <c r="H12" s="312" t="s">
        <v>316</v>
      </c>
      <c r="I12" s="81" t="s">
        <v>317</v>
      </c>
      <c r="K12" s="308" t="s">
        <v>314</v>
      </c>
      <c r="L12" s="311" t="s">
        <v>315</v>
      </c>
      <c r="M12" s="312" t="s">
        <v>316</v>
      </c>
      <c r="N12" s="81" t="s">
        <v>317</v>
      </c>
      <c r="O12" s="81"/>
      <c r="P12" s="128" t="s">
        <v>318</v>
      </c>
      <c r="Q12" s="128" t="s">
        <v>239</v>
      </c>
      <c r="R12" s="308" t="s">
        <v>314</v>
      </c>
      <c r="S12" s="311" t="s">
        <v>315</v>
      </c>
      <c r="T12" s="308" t="s">
        <v>319</v>
      </c>
      <c r="U12" s="81" t="s">
        <v>317</v>
      </c>
      <c r="W12" s="308" t="s">
        <v>314</v>
      </c>
      <c r="X12" s="311" t="s">
        <v>315</v>
      </c>
      <c r="Y12" s="312" t="s">
        <v>316</v>
      </c>
      <c r="Z12" s="81" t="s">
        <v>317</v>
      </c>
    </row>
    <row r="13" spans="1:26" x14ac:dyDescent="0.2">
      <c r="A13" s="313" t="s">
        <v>320</v>
      </c>
      <c r="B13" s="314">
        <v>45399</v>
      </c>
      <c r="C13" s="81" t="s">
        <v>321</v>
      </c>
      <c r="D13" s="315">
        <v>6.55</v>
      </c>
      <c r="F13" s="313" t="s">
        <v>322</v>
      </c>
      <c r="G13" s="314">
        <v>45540</v>
      </c>
      <c r="H13" s="81" t="s">
        <v>131</v>
      </c>
      <c r="I13" s="315">
        <v>6.4</v>
      </c>
      <c r="K13" s="313" t="s">
        <v>323</v>
      </c>
      <c r="L13" s="314">
        <v>44718</v>
      </c>
      <c r="M13" s="81" t="s">
        <v>324</v>
      </c>
      <c r="N13" s="315">
        <v>0.55000000000000004</v>
      </c>
      <c r="O13" s="315"/>
      <c r="P13" s="221" t="b">
        <f>'Profitability - New'!E7</f>
        <v>1</v>
      </c>
      <c r="Q13" s="92" t="str">
        <f>P13&amp;R13</f>
        <v>TRUERBD SOYA BEAN OIL</v>
      </c>
      <c r="R13" s="313" t="s">
        <v>45</v>
      </c>
      <c r="S13" s="316">
        <v>45314</v>
      </c>
      <c r="T13" s="81" t="s">
        <v>325</v>
      </c>
      <c r="U13" s="315">
        <v>69.078871899999996</v>
      </c>
      <c r="W13" s="313" t="s">
        <v>326</v>
      </c>
      <c r="X13" s="314">
        <v>45482</v>
      </c>
      <c r="Y13" s="81" t="s">
        <v>327</v>
      </c>
      <c r="Z13" s="315">
        <v>35</v>
      </c>
    </row>
    <row r="14" spans="1:26" x14ac:dyDescent="0.2">
      <c r="A14" s="313"/>
      <c r="B14" s="314">
        <v>45334</v>
      </c>
      <c r="C14" s="81" t="s">
        <v>321</v>
      </c>
      <c r="D14" s="315">
        <v>6.55</v>
      </c>
      <c r="F14" s="313"/>
      <c r="G14" s="314">
        <v>45075</v>
      </c>
      <c r="H14" s="81" t="s">
        <v>131</v>
      </c>
      <c r="I14" s="315">
        <v>6.4</v>
      </c>
      <c r="K14" s="313"/>
      <c r="L14" s="314">
        <v>44849</v>
      </c>
      <c r="M14" s="81" t="s">
        <v>324</v>
      </c>
      <c r="N14" s="315">
        <v>0.28999999999999998</v>
      </c>
      <c r="O14" s="315"/>
      <c r="P14" s="221" t="b">
        <f>'Profitability - New'!E8</f>
        <v>0</v>
      </c>
      <c r="Q14" s="92" t="str">
        <f t="shared" ref="Q14:Q45" si="0">P14&amp;R14</f>
        <v>FALSERBD SOYA BEAN OIL</v>
      </c>
      <c r="R14" s="313" t="s">
        <v>45</v>
      </c>
      <c r="S14" s="316">
        <v>45256</v>
      </c>
      <c r="T14" s="81" t="s">
        <v>328</v>
      </c>
      <c r="U14" s="315">
        <v>68.754339999999999</v>
      </c>
      <c r="W14" s="313" t="s">
        <v>326</v>
      </c>
      <c r="X14" s="314">
        <v>44965</v>
      </c>
      <c r="Y14" s="81" t="s">
        <v>329</v>
      </c>
      <c r="Z14" s="315">
        <v>40</v>
      </c>
    </row>
    <row r="15" spans="1:26" x14ac:dyDescent="0.2">
      <c r="A15" s="313"/>
      <c r="B15" s="314">
        <v>45280</v>
      </c>
      <c r="C15" s="81" t="s">
        <v>321</v>
      </c>
      <c r="D15" s="315">
        <v>6.55</v>
      </c>
      <c r="F15" s="81"/>
      <c r="G15" s="81"/>
      <c r="H15" s="81"/>
      <c r="I15" s="315"/>
      <c r="K15" s="313"/>
      <c r="L15" s="314">
        <v>44868</v>
      </c>
      <c r="M15" s="81" t="s">
        <v>324</v>
      </c>
      <c r="N15" s="315">
        <v>0.55000000000000004</v>
      </c>
      <c r="O15" s="315"/>
      <c r="P15" s="221" t="b">
        <f>'Profitability - New'!E9</f>
        <v>0</v>
      </c>
      <c r="Q15" s="92" t="str">
        <f t="shared" si="0"/>
        <v>FALSERBD SOYA BEAN OIL</v>
      </c>
      <c r="R15" s="313" t="s">
        <v>45</v>
      </c>
      <c r="S15" s="316">
        <v>45132</v>
      </c>
      <c r="T15" s="81" t="s">
        <v>328</v>
      </c>
      <c r="U15" s="315">
        <v>64.592929999999996</v>
      </c>
      <c r="W15" s="313" t="s">
        <v>326</v>
      </c>
      <c r="X15" s="314">
        <v>44772</v>
      </c>
      <c r="Y15" s="81" t="s">
        <v>329</v>
      </c>
      <c r="Z15" s="315">
        <v>40</v>
      </c>
    </row>
    <row r="16" spans="1:26" x14ac:dyDescent="0.2">
      <c r="A16" s="313"/>
      <c r="B16" s="314">
        <v>45254</v>
      </c>
      <c r="C16" s="81" t="s">
        <v>321</v>
      </c>
      <c r="D16" s="315">
        <v>6.55</v>
      </c>
      <c r="F16" s="313" t="s">
        <v>330</v>
      </c>
      <c r="G16" s="314">
        <v>45540</v>
      </c>
      <c r="H16" s="81" t="s">
        <v>131</v>
      </c>
      <c r="I16" s="315">
        <v>6.4</v>
      </c>
      <c r="K16" s="313"/>
      <c r="L16" s="314">
        <v>44882</v>
      </c>
      <c r="M16" s="81" t="s">
        <v>324</v>
      </c>
      <c r="N16" s="315">
        <v>0.55000000000000004</v>
      </c>
      <c r="O16" s="315"/>
      <c r="P16" s="221" t="b">
        <f>'Profitability - New'!E10</f>
        <v>0</v>
      </c>
      <c r="Q16" s="92" t="str">
        <f t="shared" si="0"/>
        <v>FALSERBD SOYA BEAN OIL</v>
      </c>
      <c r="R16" s="313" t="s">
        <v>45</v>
      </c>
      <c r="S16" s="316">
        <v>44961</v>
      </c>
      <c r="T16" s="81" t="s">
        <v>328</v>
      </c>
      <c r="U16" s="315">
        <v>81.901482099999996</v>
      </c>
      <c r="W16" s="81"/>
      <c r="X16" s="81"/>
      <c r="Y16" s="81"/>
      <c r="Z16" s="315"/>
    </row>
    <row r="17" spans="1:26" x14ac:dyDescent="0.2">
      <c r="A17" s="313"/>
      <c r="B17" s="314">
        <v>45204</v>
      </c>
      <c r="C17" s="81" t="s">
        <v>321</v>
      </c>
      <c r="D17" s="315">
        <v>6.6</v>
      </c>
      <c r="F17" s="313"/>
      <c r="G17" s="314">
        <v>45075</v>
      </c>
      <c r="H17" s="81" t="s">
        <v>131</v>
      </c>
      <c r="I17" s="315">
        <v>6.4</v>
      </c>
      <c r="K17" s="81"/>
      <c r="L17" s="81"/>
      <c r="M17" s="81"/>
      <c r="N17" s="315"/>
      <c r="O17" s="315"/>
      <c r="P17" s="221" t="b">
        <f>'Profitability - New'!E11</f>
        <v>0</v>
      </c>
      <c r="Q17" s="92" t="str">
        <f t="shared" si="0"/>
        <v>FALSE</v>
      </c>
      <c r="R17" s="81"/>
      <c r="S17" s="81"/>
      <c r="T17" s="81"/>
      <c r="U17" s="315"/>
      <c r="W17" s="313" t="s">
        <v>87</v>
      </c>
      <c r="X17" s="314">
        <v>45482</v>
      </c>
      <c r="Y17" s="81" t="s">
        <v>327</v>
      </c>
      <c r="Z17" s="315">
        <v>25</v>
      </c>
    </row>
    <row r="18" spans="1:26" x14ac:dyDescent="0.2">
      <c r="A18" s="313"/>
      <c r="B18" s="314">
        <v>45182</v>
      </c>
      <c r="C18" s="81" t="s">
        <v>321</v>
      </c>
      <c r="D18" s="315">
        <v>6.55</v>
      </c>
      <c r="F18" s="81"/>
      <c r="G18" s="81"/>
      <c r="H18" s="81"/>
      <c r="I18" s="315"/>
      <c r="K18" s="313" t="s">
        <v>331</v>
      </c>
      <c r="L18" s="314">
        <v>44718</v>
      </c>
      <c r="M18" s="81" t="s">
        <v>324</v>
      </c>
      <c r="N18" s="315">
        <v>0.3</v>
      </c>
      <c r="O18" s="315"/>
      <c r="P18" s="221" t="b">
        <f>'Profitability - New'!E12</f>
        <v>0</v>
      </c>
      <c r="Q18" s="92" t="str">
        <f t="shared" si="0"/>
        <v>FALSERBD COCONUT OIL</v>
      </c>
      <c r="R18" s="313" t="s">
        <v>67</v>
      </c>
      <c r="S18" s="316">
        <v>45468</v>
      </c>
      <c r="T18" s="81" t="s">
        <v>332</v>
      </c>
      <c r="U18" s="315">
        <v>64.678485570000007</v>
      </c>
      <c r="W18" s="313" t="s">
        <v>87</v>
      </c>
      <c r="X18" s="314">
        <v>45371</v>
      </c>
      <c r="Y18" s="81" t="s">
        <v>327</v>
      </c>
      <c r="Z18" s="315">
        <v>25.5</v>
      </c>
    </row>
    <row r="19" spans="1:26" x14ac:dyDescent="0.2">
      <c r="A19" s="313"/>
      <c r="B19" s="314">
        <v>45177</v>
      </c>
      <c r="C19" s="81" t="s">
        <v>321</v>
      </c>
      <c r="D19" s="315">
        <v>6.55</v>
      </c>
      <c r="F19" s="313" t="s">
        <v>333</v>
      </c>
      <c r="G19" s="314">
        <v>45540</v>
      </c>
      <c r="H19" s="81" t="s">
        <v>131</v>
      </c>
      <c r="I19" s="315">
        <v>6.4</v>
      </c>
      <c r="K19" s="313"/>
      <c r="L19" s="314">
        <v>44849</v>
      </c>
      <c r="M19" s="81" t="s">
        <v>324</v>
      </c>
      <c r="N19" s="315">
        <v>0.16</v>
      </c>
      <c r="O19" s="315"/>
      <c r="P19" s="221" t="b">
        <f>'Profitability - New'!E13</f>
        <v>0</v>
      </c>
      <c r="Q19" s="92" t="str">
        <f t="shared" si="0"/>
        <v>FALSERBD COCONUT OIL</v>
      </c>
      <c r="R19" s="313" t="s">
        <v>67</v>
      </c>
      <c r="S19" s="316">
        <v>45222</v>
      </c>
      <c r="T19" s="81" t="s">
        <v>334</v>
      </c>
      <c r="U19" s="315">
        <v>51.478299999999997</v>
      </c>
      <c r="W19" s="313" t="s">
        <v>87</v>
      </c>
      <c r="X19" s="314">
        <v>45366</v>
      </c>
      <c r="Y19" s="81" t="s">
        <v>327</v>
      </c>
      <c r="Z19" s="315">
        <v>30</v>
      </c>
    </row>
    <row r="20" spans="1:26" x14ac:dyDescent="0.2">
      <c r="A20" s="313"/>
      <c r="B20" s="314">
        <v>45155</v>
      </c>
      <c r="C20" s="81" t="s">
        <v>321</v>
      </c>
      <c r="D20" s="315">
        <v>6.55</v>
      </c>
      <c r="F20" s="313"/>
      <c r="G20" s="314">
        <v>45075</v>
      </c>
      <c r="H20" s="81" t="s">
        <v>131</v>
      </c>
      <c r="I20" s="315">
        <v>6.4</v>
      </c>
      <c r="K20" s="81"/>
      <c r="L20" s="81"/>
      <c r="M20" s="81"/>
      <c r="N20" s="315"/>
      <c r="O20" s="315"/>
      <c r="P20" s="221" t="b">
        <f>'Profitability - New'!E14</f>
        <v>0</v>
      </c>
      <c r="Q20" s="92" t="str">
        <f t="shared" si="0"/>
        <v>FALSERBD COCONUT OIL</v>
      </c>
      <c r="R20" s="313" t="s">
        <v>67</v>
      </c>
      <c r="S20" s="316">
        <v>45133</v>
      </c>
      <c r="T20" s="81" t="s">
        <v>335</v>
      </c>
      <c r="U20" s="315">
        <v>54.558999999999997</v>
      </c>
      <c r="W20" s="313" t="s">
        <v>87</v>
      </c>
      <c r="X20" s="314">
        <v>45363</v>
      </c>
      <c r="Y20" s="81" t="s">
        <v>327</v>
      </c>
      <c r="Z20" s="315">
        <v>30</v>
      </c>
    </row>
    <row r="21" spans="1:26" x14ac:dyDescent="0.2">
      <c r="A21" s="313"/>
      <c r="B21" s="314">
        <v>45128</v>
      </c>
      <c r="C21" s="81" t="s">
        <v>321</v>
      </c>
      <c r="D21" s="315">
        <v>6.55</v>
      </c>
      <c r="F21" s="81"/>
      <c r="G21" s="81"/>
      <c r="H21" s="81"/>
      <c r="I21" s="315"/>
      <c r="K21" s="313" t="s">
        <v>336</v>
      </c>
      <c r="L21" s="314">
        <v>44718</v>
      </c>
      <c r="M21" s="81" t="s">
        <v>324</v>
      </c>
      <c r="N21" s="315">
        <v>0.45</v>
      </c>
      <c r="O21" s="315"/>
      <c r="P21" s="221" t="b">
        <f>'Profitability - New'!E15</f>
        <v>0</v>
      </c>
      <c r="Q21" s="92" t="str">
        <f t="shared" si="0"/>
        <v>FALSERBD COCONUT OIL</v>
      </c>
      <c r="R21" s="313" t="s">
        <v>67</v>
      </c>
      <c r="S21" s="316">
        <v>44965</v>
      </c>
      <c r="T21" s="81" t="s">
        <v>335</v>
      </c>
      <c r="U21" s="315">
        <v>52.798299999999998</v>
      </c>
      <c r="W21" s="313" t="s">
        <v>87</v>
      </c>
      <c r="X21" s="314">
        <v>45335</v>
      </c>
      <c r="Y21" s="81" t="s">
        <v>327</v>
      </c>
      <c r="Z21" s="315">
        <v>30</v>
      </c>
    </row>
    <row r="22" spans="1:26" x14ac:dyDescent="0.2">
      <c r="A22" s="313"/>
      <c r="B22" s="314">
        <v>45118</v>
      </c>
      <c r="C22" s="81" t="s">
        <v>321</v>
      </c>
      <c r="D22" s="315">
        <v>6.55</v>
      </c>
      <c r="F22" s="313" t="s">
        <v>337</v>
      </c>
      <c r="G22" s="314">
        <v>45168</v>
      </c>
      <c r="H22" s="81" t="s">
        <v>338</v>
      </c>
      <c r="I22" s="315">
        <v>15</v>
      </c>
      <c r="K22" s="313"/>
      <c r="L22" s="314">
        <v>44849</v>
      </c>
      <c r="M22" s="81" t="s">
        <v>324</v>
      </c>
      <c r="N22" s="315">
        <v>0.16</v>
      </c>
      <c r="O22" s="315"/>
      <c r="P22" s="221" t="b">
        <f>'Profitability - New'!E16</f>
        <v>0</v>
      </c>
      <c r="Q22" s="92" t="str">
        <f t="shared" si="0"/>
        <v>FALSE</v>
      </c>
      <c r="R22" s="81"/>
      <c r="S22" s="81"/>
      <c r="T22" s="81"/>
      <c r="U22" s="315"/>
      <c r="W22" s="313" t="s">
        <v>87</v>
      </c>
      <c r="X22" s="314">
        <v>45334</v>
      </c>
      <c r="Y22" s="81" t="s">
        <v>327</v>
      </c>
      <c r="Z22" s="315">
        <v>30</v>
      </c>
    </row>
    <row r="23" spans="1:26" x14ac:dyDescent="0.2">
      <c r="A23" s="313"/>
      <c r="B23" s="314">
        <v>45034</v>
      </c>
      <c r="C23" s="81" t="s">
        <v>321</v>
      </c>
      <c r="D23" s="315">
        <v>6.55</v>
      </c>
      <c r="F23" s="313"/>
      <c r="G23" s="314">
        <v>45065</v>
      </c>
      <c r="H23" s="81" t="s">
        <v>131</v>
      </c>
      <c r="I23" s="315">
        <v>15.9</v>
      </c>
      <c r="K23" s="81"/>
      <c r="L23" s="81"/>
      <c r="M23" s="81"/>
      <c r="N23" s="315"/>
      <c r="O23" s="315"/>
      <c r="P23" s="221" t="b">
        <f>'Profitability - New'!E17</f>
        <v>1</v>
      </c>
      <c r="Q23" s="92" t="str">
        <f t="shared" si="0"/>
        <v>TRUERBD PALM OLEIN (FOREIGN)</v>
      </c>
      <c r="R23" s="313" t="s">
        <v>58</v>
      </c>
      <c r="S23" s="316">
        <v>45547</v>
      </c>
      <c r="T23" s="81" t="s">
        <v>339</v>
      </c>
      <c r="U23" s="315">
        <v>60.65316</v>
      </c>
      <c r="W23" s="313" t="s">
        <v>87</v>
      </c>
      <c r="X23" s="314">
        <v>45203</v>
      </c>
      <c r="Y23" s="81" t="s">
        <v>327</v>
      </c>
      <c r="Z23" s="315">
        <v>25.5</v>
      </c>
    </row>
    <row r="24" spans="1:26" x14ac:dyDescent="0.2">
      <c r="A24" s="313"/>
      <c r="B24" s="314">
        <v>44985</v>
      </c>
      <c r="C24" s="81" t="s">
        <v>321</v>
      </c>
      <c r="D24" s="315">
        <v>6.55</v>
      </c>
      <c r="F24" s="313"/>
      <c r="G24" s="314">
        <v>44748</v>
      </c>
      <c r="H24" s="81" t="s">
        <v>340</v>
      </c>
      <c r="I24" s="315">
        <v>16</v>
      </c>
      <c r="K24" s="313" t="s">
        <v>341</v>
      </c>
      <c r="L24" s="314">
        <v>44868</v>
      </c>
      <c r="M24" s="81" t="s">
        <v>324</v>
      </c>
      <c r="N24" s="315">
        <v>1.05</v>
      </c>
      <c r="O24" s="315"/>
      <c r="P24" s="221" t="b">
        <f>'Profitability - New'!E18</f>
        <v>0</v>
      </c>
      <c r="Q24" s="92" t="str">
        <f t="shared" si="0"/>
        <v>FALSERBD PALM OLEIN (FOREIGN)</v>
      </c>
      <c r="R24" s="313" t="s">
        <v>58</v>
      </c>
      <c r="S24" s="316">
        <v>45517</v>
      </c>
      <c r="T24" s="81" t="s">
        <v>339</v>
      </c>
      <c r="U24" s="315">
        <v>60.97</v>
      </c>
      <c r="W24" s="313" t="s">
        <v>87</v>
      </c>
      <c r="X24" s="314">
        <v>45074</v>
      </c>
      <c r="Y24" s="81" t="s">
        <v>327</v>
      </c>
      <c r="Z24" s="315">
        <v>27</v>
      </c>
    </row>
    <row r="25" spans="1:26" x14ac:dyDescent="0.2">
      <c r="D25" s="315"/>
      <c r="F25" s="81"/>
      <c r="G25" s="81"/>
      <c r="H25" s="81"/>
      <c r="I25" s="315"/>
      <c r="K25" s="81"/>
      <c r="L25" s="81"/>
      <c r="M25" s="81"/>
      <c r="N25" s="315"/>
      <c r="O25" s="315"/>
      <c r="P25" s="221" t="b">
        <f>'Profitability - New'!E19</f>
        <v>0</v>
      </c>
      <c r="Q25" s="92" t="str">
        <f t="shared" si="0"/>
        <v>FALSERBD PALM OLEIN (FOREIGN)</v>
      </c>
      <c r="R25" s="313" t="s">
        <v>58</v>
      </c>
      <c r="S25" s="316">
        <v>45494</v>
      </c>
      <c r="T25" s="81" t="s">
        <v>339</v>
      </c>
      <c r="U25" s="315">
        <v>60.496870000000001</v>
      </c>
      <c r="W25" s="313" t="s">
        <v>87</v>
      </c>
      <c r="X25" s="314">
        <v>45072</v>
      </c>
      <c r="Y25" s="81" t="s">
        <v>327</v>
      </c>
      <c r="Z25" s="315">
        <v>48</v>
      </c>
    </row>
    <row r="26" spans="1:26" x14ac:dyDescent="0.2">
      <c r="A26" s="313" t="s">
        <v>342</v>
      </c>
      <c r="B26" s="314">
        <v>45504</v>
      </c>
      <c r="C26" s="81" t="s">
        <v>321</v>
      </c>
      <c r="D26" s="315">
        <v>3.35</v>
      </c>
      <c r="F26" s="313" t="s">
        <v>343</v>
      </c>
      <c r="G26" s="314">
        <v>45346</v>
      </c>
      <c r="H26" s="81" t="s">
        <v>340</v>
      </c>
      <c r="I26" s="315">
        <v>31</v>
      </c>
      <c r="K26" s="313" t="s">
        <v>344</v>
      </c>
      <c r="L26" s="314">
        <v>44868</v>
      </c>
      <c r="M26" s="81" t="s">
        <v>324</v>
      </c>
      <c r="N26" s="315">
        <v>1.02</v>
      </c>
      <c r="O26" s="315"/>
      <c r="P26" s="221" t="b">
        <f>'Profitability - New'!E20</f>
        <v>0</v>
      </c>
      <c r="Q26" s="92" t="str">
        <f t="shared" si="0"/>
        <v>FALSERBD PALM OLEIN (FOREIGN)</v>
      </c>
      <c r="R26" s="313" t="s">
        <v>58</v>
      </c>
      <c r="S26" s="316">
        <v>45314</v>
      </c>
      <c r="T26" s="81" t="s">
        <v>345</v>
      </c>
      <c r="U26" s="315">
        <v>57.513559999999998</v>
      </c>
      <c r="W26" s="313" t="s">
        <v>87</v>
      </c>
      <c r="X26" s="314">
        <v>45071</v>
      </c>
      <c r="Y26" s="81" t="s">
        <v>327</v>
      </c>
      <c r="Z26" s="315">
        <v>48</v>
      </c>
    </row>
    <row r="27" spans="1:26" x14ac:dyDescent="0.2">
      <c r="A27" s="313"/>
      <c r="B27" s="314">
        <v>45458</v>
      </c>
      <c r="C27" s="81" t="s">
        <v>321</v>
      </c>
      <c r="D27" s="315">
        <v>3.35</v>
      </c>
      <c r="F27" s="313"/>
      <c r="G27" s="314">
        <v>45345</v>
      </c>
      <c r="H27" s="81" t="s">
        <v>340</v>
      </c>
      <c r="I27" s="315">
        <v>31</v>
      </c>
      <c r="K27" s="81"/>
      <c r="L27" s="81"/>
      <c r="M27" s="81"/>
      <c r="N27" s="315"/>
      <c r="O27" s="315"/>
      <c r="P27" s="221" t="b">
        <f>'Profitability - New'!E21</f>
        <v>0</v>
      </c>
      <c r="Q27" s="92" t="str">
        <f t="shared" si="0"/>
        <v>FALSERBD PALM OLEIN (FOREIGN)</v>
      </c>
      <c r="R27" s="313" t="s">
        <v>58</v>
      </c>
      <c r="S27" s="316">
        <v>45248</v>
      </c>
      <c r="T27" s="81" t="s">
        <v>346</v>
      </c>
      <c r="U27" s="315">
        <v>61.450510000000001</v>
      </c>
      <c r="W27" s="313" t="s">
        <v>87</v>
      </c>
      <c r="X27" s="314">
        <v>45068</v>
      </c>
      <c r="Y27" s="81" t="s">
        <v>327</v>
      </c>
      <c r="Z27" s="315">
        <v>48</v>
      </c>
    </row>
    <row r="28" spans="1:26" x14ac:dyDescent="0.2">
      <c r="A28" s="313"/>
      <c r="B28" s="314">
        <v>45442</v>
      </c>
      <c r="C28" s="81" t="s">
        <v>321</v>
      </c>
      <c r="D28" s="315">
        <v>3.35</v>
      </c>
      <c r="F28" s="313"/>
      <c r="G28" s="314">
        <v>45227</v>
      </c>
      <c r="H28" s="81" t="s">
        <v>340</v>
      </c>
      <c r="I28" s="315">
        <v>31</v>
      </c>
      <c r="K28" s="313" t="s">
        <v>347</v>
      </c>
      <c r="L28" s="314">
        <v>44868</v>
      </c>
      <c r="M28" s="81" t="s">
        <v>324</v>
      </c>
      <c r="N28" s="315">
        <v>1.05</v>
      </c>
      <c r="O28" s="315"/>
      <c r="P28" s="221" t="b">
        <f>'Profitability - New'!E22</f>
        <v>0</v>
      </c>
      <c r="Q28" s="92" t="str">
        <f t="shared" si="0"/>
        <v>FALSERBD PALM OLEIN (FOREIGN)</v>
      </c>
      <c r="R28" s="313" t="s">
        <v>58</v>
      </c>
      <c r="S28" s="316">
        <v>45244</v>
      </c>
      <c r="T28" s="81" t="s">
        <v>346</v>
      </c>
      <c r="U28" s="315">
        <v>63.352640000000001</v>
      </c>
      <c r="W28" s="313" t="s">
        <v>87</v>
      </c>
      <c r="X28" s="314">
        <v>45064</v>
      </c>
      <c r="Y28" s="81" t="s">
        <v>327</v>
      </c>
      <c r="Z28" s="315">
        <v>48</v>
      </c>
    </row>
    <row r="29" spans="1:26" x14ac:dyDescent="0.2">
      <c r="A29" s="313"/>
      <c r="B29" s="314">
        <v>45409</v>
      </c>
      <c r="C29" s="81" t="s">
        <v>321</v>
      </c>
      <c r="D29" s="315">
        <v>3.35</v>
      </c>
      <c r="F29" s="313"/>
      <c r="G29" s="314">
        <v>45198</v>
      </c>
      <c r="H29" s="81" t="s">
        <v>340</v>
      </c>
      <c r="I29" s="315">
        <v>31</v>
      </c>
      <c r="K29" s="81"/>
      <c r="L29" s="81"/>
      <c r="M29" s="81"/>
      <c r="N29" s="315"/>
      <c r="O29" s="315"/>
      <c r="P29" s="221" t="b">
        <f>'Profitability - New'!E23</f>
        <v>0</v>
      </c>
      <c r="Q29" s="92" t="str">
        <f t="shared" si="0"/>
        <v>FALSERBD PALM OLEIN (FOREIGN)</v>
      </c>
      <c r="R29" s="313" t="s">
        <v>58</v>
      </c>
      <c r="S29" s="316">
        <v>45234</v>
      </c>
      <c r="T29" s="81" t="s">
        <v>348</v>
      </c>
      <c r="U29" s="315">
        <v>56.635750000000002</v>
      </c>
      <c r="W29" s="313" t="s">
        <v>87</v>
      </c>
      <c r="X29" s="314">
        <v>44886</v>
      </c>
      <c r="Y29" s="81" t="s">
        <v>349</v>
      </c>
      <c r="Z29" s="315">
        <v>35</v>
      </c>
    </row>
    <row r="30" spans="1:26" x14ac:dyDescent="0.2">
      <c r="A30" s="313"/>
      <c r="B30" s="314">
        <v>45378</v>
      </c>
      <c r="C30" s="81" t="s">
        <v>321</v>
      </c>
      <c r="D30" s="315">
        <v>3.35</v>
      </c>
      <c r="F30" s="313"/>
      <c r="G30" s="314">
        <v>45171</v>
      </c>
      <c r="H30" s="81" t="s">
        <v>340</v>
      </c>
      <c r="I30" s="315">
        <v>31</v>
      </c>
      <c r="K30" s="313" t="s">
        <v>350</v>
      </c>
      <c r="L30" s="314">
        <v>44868</v>
      </c>
      <c r="M30" s="81" t="s">
        <v>324</v>
      </c>
      <c r="N30" s="315">
        <v>0.72</v>
      </c>
      <c r="O30" s="315"/>
      <c r="P30" s="221" t="b">
        <f>'Profitability - New'!E24</f>
        <v>0</v>
      </c>
      <c r="Q30" s="92" t="str">
        <f t="shared" si="0"/>
        <v>FALSE</v>
      </c>
      <c r="R30" s="81"/>
      <c r="S30" s="81"/>
      <c r="T30" s="81"/>
      <c r="U30" s="315"/>
      <c r="W30" s="81"/>
      <c r="X30" s="81"/>
      <c r="Y30" s="81"/>
      <c r="Z30" s="315"/>
    </row>
    <row r="31" spans="1:26" x14ac:dyDescent="0.2">
      <c r="A31" s="313"/>
      <c r="B31" s="314">
        <v>45334</v>
      </c>
      <c r="C31" s="81" t="s">
        <v>321</v>
      </c>
      <c r="D31" s="315">
        <v>3.35</v>
      </c>
      <c r="F31" s="313"/>
      <c r="G31" s="314">
        <v>44968</v>
      </c>
      <c r="H31" s="81" t="s">
        <v>131</v>
      </c>
      <c r="I31" s="315">
        <v>32</v>
      </c>
      <c r="K31" s="81"/>
      <c r="L31" s="81"/>
      <c r="M31" s="81"/>
      <c r="N31" s="315"/>
      <c r="O31" s="315"/>
      <c r="P31" s="221" t="b">
        <f>'Profitability - New'!E25</f>
        <v>0</v>
      </c>
      <c r="Q31" s="92" t="str">
        <f t="shared" si="0"/>
        <v>FALSERBD CANOLA OIL</v>
      </c>
      <c r="R31" s="313" t="s">
        <v>62</v>
      </c>
      <c r="S31" s="316">
        <v>45269</v>
      </c>
      <c r="T31" s="81" t="s">
        <v>351</v>
      </c>
      <c r="U31" s="315">
        <v>73.180847</v>
      </c>
    </row>
    <row r="32" spans="1:26" x14ac:dyDescent="0.2">
      <c r="A32" s="313"/>
      <c r="B32" s="314">
        <v>45280</v>
      </c>
      <c r="C32" s="81" t="s">
        <v>321</v>
      </c>
      <c r="D32" s="315">
        <v>3.65</v>
      </c>
      <c r="F32" s="313"/>
      <c r="G32" s="314">
        <v>44888</v>
      </c>
      <c r="H32" s="81" t="s">
        <v>340</v>
      </c>
      <c r="I32" s="315">
        <v>34</v>
      </c>
      <c r="K32" s="313" t="s">
        <v>352</v>
      </c>
      <c r="L32" s="314">
        <v>45094</v>
      </c>
      <c r="M32" s="81" t="s">
        <v>324</v>
      </c>
      <c r="N32" s="315">
        <v>0.7</v>
      </c>
      <c r="P32" s="221" t="b">
        <f>'Profitability - New'!E26</f>
        <v>0</v>
      </c>
      <c r="Q32" s="92" t="str">
        <f t="shared" si="0"/>
        <v>FALSERBD CANOLA OIL</v>
      </c>
      <c r="R32" s="313" t="s">
        <v>62</v>
      </c>
      <c r="S32" s="316">
        <v>45118</v>
      </c>
      <c r="T32" s="81" t="s">
        <v>353</v>
      </c>
      <c r="U32" s="315">
        <v>80.463780999999997</v>
      </c>
    </row>
    <row r="33" spans="1:26" x14ac:dyDescent="0.2">
      <c r="A33" s="313"/>
      <c r="B33" s="314">
        <v>45204</v>
      </c>
      <c r="C33" s="81" t="s">
        <v>321</v>
      </c>
      <c r="D33" s="315">
        <v>3.5</v>
      </c>
      <c r="F33" s="313"/>
      <c r="G33" s="314">
        <v>44846</v>
      </c>
      <c r="H33" s="81" t="s">
        <v>131</v>
      </c>
      <c r="I33" s="315">
        <v>32</v>
      </c>
      <c r="K33" s="81"/>
      <c r="L33" s="81"/>
      <c r="M33" s="81"/>
      <c r="N33" s="315"/>
      <c r="P33" s="221" t="b">
        <f>'Profitability - New'!E27</f>
        <v>0</v>
      </c>
      <c r="Q33" s="92" t="str">
        <f t="shared" si="0"/>
        <v>FALSE</v>
      </c>
      <c r="R33" s="81"/>
      <c r="S33" s="81"/>
      <c r="T33" s="81"/>
      <c r="U33" s="315"/>
    </row>
    <row r="34" spans="1:26" x14ac:dyDescent="0.2">
      <c r="A34" s="313"/>
      <c r="B34" s="314">
        <v>44985</v>
      </c>
      <c r="C34" s="81" t="s">
        <v>321</v>
      </c>
      <c r="D34" s="315">
        <v>3.35</v>
      </c>
      <c r="F34" s="313"/>
      <c r="G34" s="314">
        <v>44842</v>
      </c>
      <c r="H34" s="81" t="s">
        <v>340</v>
      </c>
      <c r="I34" s="315">
        <v>32</v>
      </c>
      <c r="K34" s="313" t="s">
        <v>354</v>
      </c>
      <c r="L34" s="314">
        <v>45168</v>
      </c>
      <c r="M34" s="81" t="s">
        <v>355</v>
      </c>
      <c r="N34" s="315">
        <v>7</v>
      </c>
      <c r="P34" s="221" t="b">
        <f>'Profitability - New'!E28</f>
        <v>0</v>
      </c>
      <c r="Q34" s="92" t="str">
        <f t="shared" si="0"/>
        <v>FALSE</v>
      </c>
      <c r="S34" s="90"/>
    </row>
    <row r="35" spans="1:26" x14ac:dyDescent="0.2">
      <c r="D35" s="315"/>
      <c r="F35" s="313"/>
      <c r="G35" s="314">
        <v>44825</v>
      </c>
      <c r="H35" s="81" t="s">
        <v>340</v>
      </c>
      <c r="I35" s="315">
        <v>32</v>
      </c>
      <c r="K35" s="81"/>
      <c r="L35" s="81"/>
      <c r="M35" s="81"/>
      <c r="N35" s="315"/>
      <c r="P35" s="221" t="b">
        <f>'Profitability - New'!E29</f>
        <v>0</v>
      </c>
      <c r="Q35" s="92" t="str">
        <f t="shared" si="0"/>
        <v>FALSE</v>
      </c>
    </row>
    <row r="36" spans="1:26" x14ac:dyDescent="0.2">
      <c r="A36" s="313" t="s">
        <v>356</v>
      </c>
      <c r="B36" s="314">
        <v>45504</v>
      </c>
      <c r="C36" s="81" t="s">
        <v>321</v>
      </c>
      <c r="D36" s="315">
        <v>3.65</v>
      </c>
      <c r="F36" s="313"/>
      <c r="G36" s="314">
        <v>44800</v>
      </c>
      <c r="H36" s="81" t="s">
        <v>340</v>
      </c>
      <c r="I36" s="315">
        <v>32</v>
      </c>
      <c r="K36" s="313" t="s">
        <v>357</v>
      </c>
      <c r="L36" s="314">
        <v>45168</v>
      </c>
      <c r="M36" s="81" t="s">
        <v>355</v>
      </c>
      <c r="N36" s="315">
        <v>7</v>
      </c>
      <c r="P36" s="221" t="b">
        <f>'Profitability - New'!E30</f>
        <v>0</v>
      </c>
      <c r="Q36" s="92" t="str">
        <f t="shared" si="0"/>
        <v>FALSE</v>
      </c>
      <c r="S36" s="90"/>
    </row>
    <row r="37" spans="1:26" x14ac:dyDescent="0.2">
      <c r="A37" s="313"/>
      <c r="B37" s="314">
        <v>45442</v>
      </c>
      <c r="C37" s="81" t="s">
        <v>321</v>
      </c>
      <c r="D37" s="315">
        <v>3.65</v>
      </c>
      <c r="F37" s="313"/>
      <c r="G37" s="314">
        <v>44782</v>
      </c>
      <c r="H37" s="81" t="s">
        <v>340</v>
      </c>
      <c r="I37" s="315">
        <v>32</v>
      </c>
      <c r="K37" s="81"/>
      <c r="L37" s="81"/>
      <c r="M37" s="81"/>
      <c r="N37" s="315"/>
      <c r="P37" s="221" t="b">
        <f>'Profitability - New'!E31</f>
        <v>0</v>
      </c>
      <c r="Q37" s="92" t="str">
        <f t="shared" si="0"/>
        <v>FALSE</v>
      </c>
      <c r="S37" s="90"/>
    </row>
    <row r="38" spans="1:26" x14ac:dyDescent="0.2">
      <c r="A38" s="313"/>
      <c r="B38" s="314">
        <v>45334</v>
      </c>
      <c r="C38" s="81" t="s">
        <v>321</v>
      </c>
      <c r="D38" s="315">
        <v>3.65</v>
      </c>
      <c r="F38" s="313"/>
      <c r="G38" s="314">
        <v>44746</v>
      </c>
      <c r="H38" s="81" t="s">
        <v>131</v>
      </c>
      <c r="I38" s="315">
        <v>35.86</v>
      </c>
      <c r="K38" s="313" t="s">
        <v>358</v>
      </c>
      <c r="L38" s="314">
        <v>45168</v>
      </c>
      <c r="M38" s="81" t="s">
        <v>355</v>
      </c>
      <c r="N38" s="315">
        <v>7</v>
      </c>
      <c r="P38" s="221" t="b">
        <f>'Profitability - New'!E32</f>
        <v>1</v>
      </c>
      <c r="Q38" s="92" t="str">
        <f t="shared" si="0"/>
        <v>TRUERBD COCONUT OIL</v>
      </c>
      <c r="R38" s="290" t="s">
        <v>67</v>
      </c>
      <c r="S38" s="307">
        <v>45468</v>
      </c>
      <c r="T38" s="306" t="s">
        <v>332</v>
      </c>
      <c r="U38" s="289">
        <f>97/1.1364</f>
        <v>85.357268567405839</v>
      </c>
    </row>
    <row r="39" spans="1:26" x14ac:dyDescent="0.2">
      <c r="A39" s="313"/>
      <c r="B39" s="314">
        <v>45280</v>
      </c>
      <c r="C39" s="81" t="s">
        <v>321</v>
      </c>
      <c r="D39" s="315">
        <v>3.35</v>
      </c>
      <c r="F39" s="313"/>
      <c r="G39" s="314">
        <v>44727</v>
      </c>
      <c r="H39" s="81" t="s">
        <v>131</v>
      </c>
      <c r="I39" s="315">
        <v>35.86</v>
      </c>
      <c r="J39" s="53"/>
      <c r="K39" s="81"/>
      <c r="L39" s="81"/>
      <c r="M39" s="81"/>
      <c r="N39" s="315"/>
      <c r="O39" s="126"/>
      <c r="P39" s="221" t="b">
        <f>'Profitability - New'!E33</f>
        <v>0</v>
      </c>
      <c r="Q39" s="92" t="str">
        <f t="shared" si="0"/>
        <v>FALSE</v>
      </c>
      <c r="S39" s="90"/>
    </row>
    <row r="40" spans="1:26" x14ac:dyDescent="0.2">
      <c r="A40" s="313"/>
      <c r="B40" s="314">
        <v>45225</v>
      </c>
      <c r="C40" s="81" t="s">
        <v>321</v>
      </c>
      <c r="D40" s="315">
        <v>3.65</v>
      </c>
      <c r="F40" s="313"/>
      <c r="G40" s="314">
        <v>44707</v>
      </c>
      <c r="H40" s="81" t="s">
        <v>131</v>
      </c>
      <c r="I40" s="315">
        <v>35.86</v>
      </c>
      <c r="J40" s="53"/>
      <c r="P40" s="221" t="b">
        <f>'Profitability - New'!E34</f>
        <v>1</v>
      </c>
      <c r="Q40" s="92" t="str">
        <f t="shared" si="0"/>
        <v>TRUERBD CANOLA OIL</v>
      </c>
      <c r="R40" s="298" t="s">
        <v>62</v>
      </c>
      <c r="S40" s="90"/>
      <c r="U40" s="289">
        <f>CANOLA!AG10</f>
        <v>83.220041256354207</v>
      </c>
    </row>
    <row r="41" spans="1:26" x14ac:dyDescent="0.2">
      <c r="A41" s="313"/>
      <c r="B41" s="314">
        <v>44985</v>
      </c>
      <c r="C41" s="81" t="s">
        <v>321</v>
      </c>
      <c r="D41" s="315">
        <v>3.65</v>
      </c>
      <c r="F41" s="313"/>
      <c r="G41" s="314">
        <v>44583</v>
      </c>
      <c r="H41" s="81" t="s">
        <v>131</v>
      </c>
      <c r="I41" s="315">
        <v>32.6</v>
      </c>
      <c r="P41" s="221" t="b">
        <f>'Profitability - New'!E35</f>
        <v>0</v>
      </c>
      <c r="Q41" s="92" t="str">
        <f t="shared" si="0"/>
        <v>FALSERBD SOYA BEAN OIL</v>
      </c>
      <c r="R41" s="290" t="s">
        <v>45</v>
      </c>
      <c r="S41" s="90"/>
      <c r="U41" s="289">
        <f>SOYA!CW10</f>
        <v>81.666041886659627</v>
      </c>
    </row>
    <row r="42" spans="1:26" x14ac:dyDescent="0.2">
      <c r="D42" s="315"/>
      <c r="F42" s="81"/>
      <c r="G42" s="81"/>
      <c r="H42" s="81"/>
      <c r="I42" s="315"/>
      <c r="P42" s="221" t="b">
        <f>'Profitability - New'!E36</f>
        <v>0</v>
      </c>
      <c r="Q42" s="92" t="str">
        <f t="shared" si="0"/>
        <v>FALSE</v>
      </c>
    </row>
    <row r="43" spans="1:26" x14ac:dyDescent="0.2">
      <c r="A43" s="313" t="s">
        <v>359</v>
      </c>
      <c r="B43" s="314">
        <v>45504</v>
      </c>
      <c r="C43" s="81" t="s">
        <v>321</v>
      </c>
      <c r="D43" s="315">
        <v>6.6</v>
      </c>
      <c r="F43" s="313" t="s">
        <v>360</v>
      </c>
      <c r="G43" s="314">
        <v>44824</v>
      </c>
      <c r="H43" s="81" t="s">
        <v>340</v>
      </c>
      <c r="I43" s="315">
        <v>33</v>
      </c>
      <c r="P43" s="221" t="b">
        <f>'Profitability - New'!E37</f>
        <v>0</v>
      </c>
      <c r="Q43" s="92" t="str">
        <f t="shared" si="0"/>
        <v>FALSERBD PALM OLEIN (FOREIGN)</v>
      </c>
      <c r="R43" s="275" t="s">
        <v>58</v>
      </c>
      <c r="S43" s="90"/>
      <c r="U43" s="291">
        <f>PALM!CU10</f>
        <v>64.843398983325557</v>
      </c>
    </row>
    <row r="44" spans="1:26" x14ac:dyDescent="0.2">
      <c r="A44" s="313"/>
      <c r="B44" s="314">
        <v>45498</v>
      </c>
      <c r="C44" s="81" t="s">
        <v>321</v>
      </c>
      <c r="D44" s="315">
        <v>6.6</v>
      </c>
      <c r="F44" s="81"/>
      <c r="G44" s="81"/>
      <c r="H44" s="81"/>
      <c r="I44" s="315"/>
      <c r="P44" s="221" t="b">
        <f>'Profitability - New'!E38</f>
        <v>0</v>
      </c>
      <c r="Q44" s="92" t="str">
        <f t="shared" si="0"/>
        <v>FALSE</v>
      </c>
    </row>
    <row r="45" spans="1:26" x14ac:dyDescent="0.2">
      <c r="A45" s="313"/>
      <c r="B45" s="314">
        <v>45399</v>
      </c>
      <c r="C45" s="81" t="s">
        <v>321</v>
      </c>
      <c r="D45" s="315">
        <v>6.6</v>
      </c>
      <c r="F45" s="313" t="s">
        <v>361</v>
      </c>
      <c r="G45" s="314">
        <v>45511</v>
      </c>
      <c r="H45" s="81" t="s">
        <v>338</v>
      </c>
      <c r="I45" s="315">
        <v>16.5</v>
      </c>
      <c r="P45" s="221" t="b">
        <f>'Profitability - New'!E39</f>
        <v>0</v>
      </c>
      <c r="Q45" s="92" t="str">
        <f t="shared" si="0"/>
        <v>FALSERBD PALM OLEIN (FOREIGN)</v>
      </c>
      <c r="R45" s="275" t="s">
        <v>58</v>
      </c>
      <c r="S45" s="90"/>
      <c r="U45" s="291">
        <f>PALM!DR10</f>
        <v>82.366515166275917</v>
      </c>
      <c r="Z45" s="126"/>
    </row>
    <row r="46" spans="1:26" x14ac:dyDescent="0.2">
      <c r="A46" s="313"/>
      <c r="B46" s="314">
        <v>45173</v>
      </c>
      <c r="C46" s="81" t="s">
        <v>321</v>
      </c>
      <c r="D46" s="315">
        <v>6.55</v>
      </c>
      <c r="F46" s="313"/>
      <c r="G46" s="314">
        <v>45268</v>
      </c>
      <c r="H46" s="81" t="s">
        <v>338</v>
      </c>
      <c r="I46" s="315">
        <v>16.5</v>
      </c>
      <c r="P46" s="221" t="b">
        <f>'Profitability - New'!E40</f>
        <v>0</v>
      </c>
      <c r="Q46" s="92" t="str">
        <f t="shared" ref="Q46:Q52" si="1">P46&amp;R46</f>
        <v>FALSERBD PALM OLEIN (FOREIGN)</v>
      </c>
      <c r="R46" s="275" t="s">
        <v>58</v>
      </c>
      <c r="S46" s="90"/>
      <c r="U46" s="291">
        <f>PALM!DR6</f>
        <v>74.656859937366562</v>
      </c>
      <c r="V46" t="s">
        <v>362</v>
      </c>
    </row>
    <row r="47" spans="1:26" x14ac:dyDescent="0.2">
      <c r="D47" s="315"/>
      <c r="F47" s="81"/>
      <c r="G47" s="81"/>
      <c r="H47" s="81"/>
      <c r="I47" s="315"/>
      <c r="P47" s="221" t="b">
        <f>'Profitability - New'!E41</f>
        <v>0</v>
      </c>
      <c r="Q47" s="92" t="str">
        <f t="shared" si="1"/>
        <v>FALSE</v>
      </c>
    </row>
    <row r="48" spans="1:26" x14ac:dyDescent="0.2">
      <c r="A48" s="313" t="s">
        <v>363</v>
      </c>
      <c r="B48" s="314">
        <v>45378</v>
      </c>
      <c r="C48" s="81" t="s">
        <v>321</v>
      </c>
      <c r="D48" s="315">
        <v>18.100000000000001</v>
      </c>
      <c r="F48" s="313" t="s">
        <v>364</v>
      </c>
      <c r="G48" s="314">
        <v>45168</v>
      </c>
      <c r="H48" s="81" t="s">
        <v>338</v>
      </c>
      <c r="I48" s="315">
        <v>15</v>
      </c>
      <c r="P48" s="221" t="b">
        <f>'Profitability - New'!E42</f>
        <v>0</v>
      </c>
      <c r="Q48" s="92" t="str">
        <f t="shared" si="1"/>
        <v>FALSE</v>
      </c>
    </row>
    <row r="49" spans="1:17" x14ac:dyDescent="0.2">
      <c r="A49" s="313"/>
      <c r="B49" s="314">
        <v>45187</v>
      </c>
      <c r="C49" s="81" t="s">
        <v>321</v>
      </c>
      <c r="D49" s="315">
        <v>19</v>
      </c>
      <c r="F49" s="81"/>
      <c r="G49" s="81"/>
      <c r="H49" s="81"/>
      <c r="I49" s="315"/>
      <c r="P49" s="221" t="b">
        <f>'Profitability - New'!E43</f>
        <v>0</v>
      </c>
      <c r="Q49" s="92" t="str">
        <f t="shared" si="1"/>
        <v>FALSE</v>
      </c>
    </row>
    <row r="50" spans="1:17" x14ac:dyDescent="0.2">
      <c r="D50" s="315"/>
      <c r="F50" s="313" t="s">
        <v>365</v>
      </c>
      <c r="G50" s="314">
        <v>45168</v>
      </c>
      <c r="H50" s="81" t="s">
        <v>338</v>
      </c>
      <c r="I50" s="315">
        <v>16.399999999999999</v>
      </c>
      <c r="P50" s="221" t="b">
        <f>'Profitability - New'!E44</f>
        <v>0</v>
      </c>
      <c r="Q50" s="92" t="str">
        <f t="shared" si="1"/>
        <v>FALSE</v>
      </c>
    </row>
    <row r="51" spans="1:17" x14ac:dyDescent="0.2">
      <c r="A51" s="313" t="s">
        <v>366</v>
      </c>
      <c r="B51" s="314">
        <v>45194</v>
      </c>
      <c r="C51" s="81" t="s">
        <v>321</v>
      </c>
      <c r="D51" s="315">
        <v>19</v>
      </c>
      <c r="F51" s="313"/>
      <c r="G51" s="314">
        <v>44888</v>
      </c>
      <c r="H51" s="81" t="s">
        <v>340</v>
      </c>
      <c r="I51" s="315">
        <v>27.5</v>
      </c>
      <c r="P51" s="221" t="b">
        <f>'Profitability - New'!E45</f>
        <v>0</v>
      </c>
      <c r="Q51" s="92" t="str">
        <f t="shared" si="1"/>
        <v>FALSE</v>
      </c>
    </row>
    <row r="52" spans="1:17" x14ac:dyDescent="0.2">
      <c r="D52" s="315"/>
      <c r="F52" s="81"/>
      <c r="G52" s="81"/>
      <c r="H52" s="81"/>
      <c r="I52" s="315"/>
      <c r="P52" s="221" t="b">
        <f>'Profitability - New'!E46</f>
        <v>0</v>
      </c>
      <c r="Q52" s="92" t="str">
        <f t="shared" si="1"/>
        <v>FALSE</v>
      </c>
    </row>
    <row r="53" spans="1:17" x14ac:dyDescent="0.2">
      <c r="A53" s="313" t="s">
        <v>367</v>
      </c>
      <c r="B53" s="314">
        <v>45254</v>
      </c>
      <c r="C53" s="81" t="s">
        <v>321</v>
      </c>
      <c r="D53" s="315">
        <v>15.75</v>
      </c>
      <c r="F53" s="313" t="s">
        <v>368</v>
      </c>
      <c r="G53" s="314">
        <v>45346</v>
      </c>
      <c r="H53" s="81" t="s">
        <v>340</v>
      </c>
      <c r="I53" s="315">
        <v>27</v>
      </c>
      <c r="P53" s="221" t="b">
        <f>'Profitability - New'!E47</f>
        <v>0</v>
      </c>
      <c r="Q53" s="92" t="str">
        <f t="shared" ref="Q53:Q63" si="2">P53&amp;R53</f>
        <v>FALSE</v>
      </c>
    </row>
    <row r="54" spans="1:17" x14ac:dyDescent="0.2">
      <c r="A54" s="313"/>
      <c r="B54" s="314">
        <v>45182</v>
      </c>
      <c r="C54" s="81" t="s">
        <v>321</v>
      </c>
      <c r="D54" s="315">
        <v>15.75</v>
      </c>
      <c r="F54" s="313"/>
      <c r="G54" s="314">
        <v>45345</v>
      </c>
      <c r="H54" s="81" t="s">
        <v>340</v>
      </c>
      <c r="I54" s="315">
        <v>27</v>
      </c>
      <c r="P54" s="221" t="b">
        <f>'Profitability - New'!E48</f>
        <v>0</v>
      </c>
      <c r="Q54" s="92" t="str">
        <f t="shared" si="2"/>
        <v>FALSE</v>
      </c>
    </row>
    <row r="55" spans="1:17" x14ac:dyDescent="0.2">
      <c r="A55" s="313"/>
      <c r="B55" s="314">
        <v>45034</v>
      </c>
      <c r="C55" s="81" t="s">
        <v>321</v>
      </c>
      <c r="D55" s="315">
        <v>15.75</v>
      </c>
      <c r="F55" s="313"/>
      <c r="G55" s="314">
        <v>45198</v>
      </c>
      <c r="H55" s="81" t="s">
        <v>340</v>
      </c>
      <c r="I55" s="315">
        <v>27</v>
      </c>
      <c r="P55" s="221" t="b">
        <f>'Profitability - New'!E49</f>
        <v>0</v>
      </c>
      <c r="Q55" s="92" t="str">
        <f t="shared" si="2"/>
        <v>FALSE</v>
      </c>
    </row>
    <row r="56" spans="1:17" x14ac:dyDescent="0.2">
      <c r="D56" s="315"/>
      <c r="F56" s="313"/>
      <c r="G56" s="314">
        <v>45074</v>
      </c>
      <c r="H56" s="81" t="s">
        <v>340</v>
      </c>
      <c r="I56" s="315">
        <v>27</v>
      </c>
      <c r="P56" s="221">
        <f>'Profitability - New'!E50</f>
        <v>0</v>
      </c>
      <c r="Q56" s="92" t="str">
        <f t="shared" si="2"/>
        <v>0</v>
      </c>
    </row>
    <row r="57" spans="1:17" x14ac:dyDescent="0.2">
      <c r="A57" s="313" t="s">
        <v>369</v>
      </c>
      <c r="B57" s="314">
        <v>45101</v>
      </c>
      <c r="C57" s="81" t="s">
        <v>370</v>
      </c>
      <c r="D57" s="315">
        <v>32.479999999999997</v>
      </c>
      <c r="F57" s="313"/>
      <c r="G57" s="314">
        <v>44888</v>
      </c>
      <c r="H57" s="81" t="s">
        <v>340</v>
      </c>
      <c r="I57" s="315">
        <v>31</v>
      </c>
      <c r="P57" s="221">
        <f>'Profitability - New'!E51</f>
        <v>0</v>
      </c>
      <c r="Q57" s="92" t="str">
        <f t="shared" si="2"/>
        <v>0</v>
      </c>
    </row>
    <row r="58" spans="1:17" x14ac:dyDescent="0.2">
      <c r="D58" s="315"/>
      <c r="F58" s="81"/>
      <c r="G58" s="81"/>
      <c r="H58" s="81"/>
      <c r="I58" s="315"/>
      <c r="P58" s="221">
        <f>'Profitability - New'!E52</f>
        <v>0</v>
      </c>
      <c r="Q58" s="92" t="str">
        <f t="shared" si="2"/>
        <v>0</v>
      </c>
    </row>
    <row r="59" spans="1:17" x14ac:dyDescent="0.2">
      <c r="A59" s="313" t="s">
        <v>371</v>
      </c>
      <c r="B59" s="314">
        <v>45525</v>
      </c>
      <c r="C59" s="81" t="s">
        <v>321</v>
      </c>
      <c r="D59" s="315">
        <v>6.9</v>
      </c>
      <c r="F59" s="313" t="s">
        <v>372</v>
      </c>
      <c r="G59" s="314">
        <v>45268</v>
      </c>
      <c r="H59" s="81" t="s">
        <v>338</v>
      </c>
      <c r="I59" s="315">
        <v>17</v>
      </c>
      <c r="P59" s="221">
        <f>'Profitability - New'!E53</f>
        <v>0</v>
      </c>
      <c r="Q59" s="92" t="str">
        <f t="shared" si="2"/>
        <v>0</v>
      </c>
    </row>
    <row r="60" spans="1:17" x14ac:dyDescent="0.2">
      <c r="A60" s="313"/>
      <c r="B60" s="314">
        <v>45521</v>
      </c>
      <c r="C60" s="81" t="s">
        <v>321</v>
      </c>
      <c r="D60" s="315">
        <v>6.9</v>
      </c>
      <c r="F60" s="81"/>
      <c r="G60" s="81"/>
      <c r="H60" s="81"/>
      <c r="I60" s="315"/>
      <c r="P60" s="221">
        <f>'Profitability - New'!E54</f>
        <v>0</v>
      </c>
      <c r="Q60" s="92" t="str">
        <f t="shared" si="2"/>
        <v>0</v>
      </c>
    </row>
    <row r="61" spans="1:17" x14ac:dyDescent="0.2">
      <c r="A61" s="313"/>
      <c r="B61" s="314">
        <v>45498</v>
      </c>
      <c r="C61" s="81" t="s">
        <v>321</v>
      </c>
      <c r="D61" s="315">
        <v>6.9</v>
      </c>
      <c r="F61" s="313" t="s">
        <v>373</v>
      </c>
      <c r="G61" s="314">
        <v>45168</v>
      </c>
      <c r="H61" s="81" t="s">
        <v>338</v>
      </c>
      <c r="I61" s="315">
        <v>16.399999999999999</v>
      </c>
      <c r="P61" s="221">
        <f>'Profitability - New'!E55</f>
        <v>0</v>
      </c>
      <c r="Q61" s="92" t="str">
        <f t="shared" si="2"/>
        <v>0</v>
      </c>
    </row>
    <row r="62" spans="1:17" x14ac:dyDescent="0.2">
      <c r="A62" s="313"/>
      <c r="B62" s="314">
        <v>45458</v>
      </c>
      <c r="C62" s="81" t="s">
        <v>321</v>
      </c>
      <c r="D62" s="315">
        <v>6.9</v>
      </c>
      <c r="F62" s="81"/>
      <c r="G62" s="81"/>
      <c r="H62" s="81"/>
      <c r="I62" s="315"/>
      <c r="P62" s="221">
        <f>'Profitability - New'!E56</f>
        <v>0</v>
      </c>
      <c r="Q62" s="92" t="str">
        <f t="shared" si="2"/>
        <v>0</v>
      </c>
    </row>
    <row r="63" spans="1:17" x14ac:dyDescent="0.2">
      <c r="A63" s="313"/>
      <c r="B63" s="314">
        <v>45425</v>
      </c>
      <c r="C63" s="81" t="s">
        <v>321</v>
      </c>
      <c r="D63" s="315">
        <v>6.9</v>
      </c>
      <c r="F63" s="313" t="s">
        <v>374</v>
      </c>
      <c r="G63" s="314">
        <v>45500</v>
      </c>
      <c r="H63" s="81" t="s">
        <v>131</v>
      </c>
      <c r="I63" s="315">
        <v>32.75</v>
      </c>
      <c r="P63" s="221">
        <f>'Profitability - New'!E57</f>
        <v>0</v>
      </c>
      <c r="Q63" s="92" t="str">
        <f t="shared" si="2"/>
        <v>0</v>
      </c>
    </row>
    <row r="64" spans="1:17" x14ac:dyDescent="0.2">
      <c r="A64" s="313"/>
      <c r="B64" s="314">
        <v>45409</v>
      </c>
      <c r="C64" s="81" t="s">
        <v>321</v>
      </c>
      <c r="D64" s="315">
        <v>6.9</v>
      </c>
      <c r="F64" s="313"/>
      <c r="G64" s="314">
        <v>45344</v>
      </c>
      <c r="H64" s="81" t="s">
        <v>131</v>
      </c>
      <c r="I64" s="315">
        <v>32.75</v>
      </c>
      <c r="P64" s="221">
        <f>'Profitability - New'!E58</f>
        <v>0</v>
      </c>
      <c r="Q64" s="92" t="str">
        <f t="shared" ref="Q64:Q104" si="3">P64&amp;R64</f>
        <v>0</v>
      </c>
    </row>
    <row r="65" spans="1:17" x14ac:dyDescent="0.2">
      <c r="A65" s="313"/>
      <c r="B65" s="314">
        <v>45399</v>
      </c>
      <c r="C65" s="81" t="s">
        <v>321</v>
      </c>
      <c r="D65" s="315">
        <v>6.9</v>
      </c>
      <c r="F65" s="313"/>
      <c r="G65" s="314">
        <v>45152</v>
      </c>
      <c r="H65" s="81" t="s">
        <v>131</v>
      </c>
      <c r="I65" s="315">
        <v>32.75</v>
      </c>
      <c r="P65" s="221">
        <f>'Profitability - New'!E59</f>
        <v>0</v>
      </c>
      <c r="Q65" s="92" t="str">
        <f t="shared" ref="Q65:Q81" si="4">P65&amp;R65</f>
        <v>0</v>
      </c>
    </row>
    <row r="66" spans="1:17" x14ac:dyDescent="0.2">
      <c r="D66" s="315"/>
      <c r="F66" s="313"/>
      <c r="G66" s="314">
        <v>45094</v>
      </c>
      <c r="H66" s="81" t="s">
        <v>131</v>
      </c>
      <c r="I66" s="315">
        <v>30.75</v>
      </c>
      <c r="P66" s="221">
        <f>'Profitability - New'!E60</f>
        <v>0</v>
      </c>
      <c r="Q66" s="92" t="str">
        <f t="shared" si="4"/>
        <v>0</v>
      </c>
    </row>
    <row r="67" spans="1:17" x14ac:dyDescent="0.2">
      <c r="A67" s="313" t="s">
        <v>375</v>
      </c>
      <c r="B67" s="314">
        <v>45539</v>
      </c>
      <c r="C67" s="81" t="s">
        <v>321</v>
      </c>
      <c r="D67" s="315">
        <v>21.95</v>
      </c>
      <c r="F67" s="81"/>
      <c r="G67" s="81"/>
      <c r="H67" s="81"/>
      <c r="I67" s="315"/>
      <c r="P67" s="221">
        <f>'Profitability - New'!E61</f>
        <v>0</v>
      </c>
      <c r="Q67" s="92" t="str">
        <f t="shared" si="4"/>
        <v>0</v>
      </c>
    </row>
    <row r="68" spans="1:17" x14ac:dyDescent="0.2">
      <c r="A68" s="313"/>
      <c r="B68" s="314">
        <v>45425</v>
      </c>
      <c r="C68" s="81" t="s">
        <v>321</v>
      </c>
      <c r="D68" s="315">
        <v>21.95</v>
      </c>
      <c r="F68" s="313" t="s">
        <v>135</v>
      </c>
      <c r="G68" s="314">
        <v>45526</v>
      </c>
      <c r="H68" s="81" t="s">
        <v>338</v>
      </c>
      <c r="I68" s="315">
        <v>29</v>
      </c>
      <c r="P68" s="221">
        <f>'Profitability - New'!E62</f>
        <v>0</v>
      </c>
      <c r="Q68" s="92" t="str">
        <f t="shared" si="4"/>
        <v>0</v>
      </c>
    </row>
    <row r="69" spans="1:17" x14ac:dyDescent="0.2">
      <c r="D69" s="315"/>
      <c r="F69" s="313"/>
      <c r="G69" s="314">
        <v>45464</v>
      </c>
      <c r="H69" s="81" t="s">
        <v>338</v>
      </c>
      <c r="I69" s="315">
        <v>29</v>
      </c>
      <c r="P69" s="221">
        <f>'Profitability - New'!E63</f>
        <v>0</v>
      </c>
      <c r="Q69" s="92" t="str">
        <f t="shared" si="4"/>
        <v>0</v>
      </c>
    </row>
    <row r="70" spans="1:17" x14ac:dyDescent="0.2">
      <c r="A70"/>
      <c r="B70"/>
      <c r="C70"/>
      <c r="D70"/>
      <c r="F70" s="313"/>
      <c r="G70" s="314">
        <v>45394</v>
      </c>
      <c r="H70" s="81" t="s">
        <v>338</v>
      </c>
      <c r="I70" s="315">
        <v>29</v>
      </c>
      <c r="P70" s="221">
        <f>'Profitability - New'!E64</f>
        <v>0</v>
      </c>
      <c r="Q70" s="92" t="str">
        <f t="shared" si="4"/>
        <v>0</v>
      </c>
    </row>
    <row r="71" spans="1:17" x14ac:dyDescent="0.2">
      <c r="A71"/>
      <c r="B71"/>
      <c r="C71"/>
      <c r="D71"/>
      <c r="F71" s="81"/>
      <c r="G71" s="81"/>
      <c r="H71" s="81"/>
      <c r="I71" s="315"/>
      <c r="P71" s="221">
        <f>'Profitability - New'!E65</f>
        <v>0</v>
      </c>
      <c r="Q71" s="92" t="str">
        <f t="shared" si="4"/>
        <v>0</v>
      </c>
    </row>
    <row r="72" spans="1:17" x14ac:dyDescent="0.2">
      <c r="A72"/>
      <c r="B72"/>
      <c r="C72"/>
      <c r="D72"/>
      <c r="F72" s="313" t="s">
        <v>376</v>
      </c>
      <c r="G72" s="314">
        <v>45168</v>
      </c>
      <c r="H72" s="81" t="s">
        <v>338</v>
      </c>
      <c r="I72" s="315">
        <v>16</v>
      </c>
      <c r="P72" s="221">
        <f>'Profitability - New'!E66</f>
        <v>0</v>
      </c>
      <c r="Q72" s="92" t="str">
        <f t="shared" si="4"/>
        <v>0</v>
      </c>
    </row>
    <row r="73" spans="1:17" x14ac:dyDescent="0.2">
      <c r="A73"/>
      <c r="B73"/>
      <c r="C73"/>
      <c r="D73"/>
      <c r="F73" s="81"/>
      <c r="G73" s="81"/>
      <c r="H73" s="81"/>
      <c r="I73" s="315"/>
      <c r="P73" s="221">
        <f>'Profitability - New'!E67</f>
        <v>0</v>
      </c>
      <c r="Q73" s="92" t="str">
        <f t="shared" si="4"/>
        <v>0</v>
      </c>
    </row>
    <row r="74" spans="1:17" x14ac:dyDescent="0.2">
      <c r="A74"/>
      <c r="B74"/>
      <c r="C74"/>
      <c r="D74"/>
      <c r="F74" s="313" t="s">
        <v>141</v>
      </c>
      <c r="G74" s="314">
        <v>45461</v>
      </c>
      <c r="H74" s="81" t="s">
        <v>340</v>
      </c>
      <c r="I74" s="315">
        <v>20.7</v>
      </c>
      <c r="P74" s="221">
        <f>'Profitability - New'!E68</f>
        <v>0</v>
      </c>
      <c r="Q74" s="92" t="str">
        <f t="shared" si="4"/>
        <v>0</v>
      </c>
    </row>
    <row r="75" spans="1:17" x14ac:dyDescent="0.2">
      <c r="A75"/>
      <c r="B75"/>
      <c r="C75"/>
      <c r="D75"/>
      <c r="F75" s="313"/>
      <c r="G75" s="314">
        <v>45346</v>
      </c>
      <c r="H75" s="81" t="s">
        <v>340</v>
      </c>
      <c r="I75" s="315">
        <v>20.7</v>
      </c>
      <c r="P75" s="221">
        <f>'Profitability - New'!E69</f>
        <v>0</v>
      </c>
      <c r="Q75" s="92" t="str">
        <f t="shared" si="4"/>
        <v>0</v>
      </c>
    </row>
    <row r="76" spans="1:17" x14ac:dyDescent="0.2">
      <c r="A76"/>
      <c r="B76"/>
      <c r="C76"/>
      <c r="D76"/>
      <c r="F76" s="313"/>
      <c r="G76" s="314">
        <v>45345</v>
      </c>
      <c r="H76" s="81" t="s">
        <v>340</v>
      </c>
      <c r="I76" s="315">
        <v>20.7</v>
      </c>
      <c r="P76" s="221">
        <f>'Profitability - New'!E70</f>
        <v>0</v>
      </c>
      <c r="Q76" s="92" t="str">
        <f t="shared" si="4"/>
        <v>0</v>
      </c>
    </row>
    <row r="77" spans="1:17" x14ac:dyDescent="0.2">
      <c r="A77"/>
      <c r="B77"/>
      <c r="C77"/>
      <c r="D77"/>
      <c r="F77" s="313"/>
      <c r="G77" s="314">
        <v>44800</v>
      </c>
      <c r="H77" s="81" t="s">
        <v>340</v>
      </c>
      <c r="I77" s="315">
        <v>22</v>
      </c>
      <c r="P77" s="221">
        <f>'Profitability - New'!E71</f>
        <v>0</v>
      </c>
      <c r="Q77" s="92" t="str">
        <f t="shared" si="4"/>
        <v>0</v>
      </c>
    </row>
    <row r="78" spans="1:17" x14ac:dyDescent="0.2">
      <c r="A78"/>
      <c r="B78"/>
      <c r="C78"/>
      <c r="D78"/>
      <c r="F78" s="81"/>
      <c r="G78" s="81"/>
      <c r="H78" s="81"/>
      <c r="I78" s="315"/>
      <c r="P78" s="221">
        <f>'Profitability - New'!E72</f>
        <v>0</v>
      </c>
      <c r="Q78" s="92" t="str">
        <f t="shared" si="4"/>
        <v>0</v>
      </c>
    </row>
    <row r="79" spans="1:17" x14ac:dyDescent="0.2">
      <c r="A79"/>
      <c r="B79"/>
      <c r="C79"/>
      <c r="D79"/>
      <c r="P79" s="221">
        <f>'Profitability - New'!E73</f>
        <v>0</v>
      </c>
      <c r="Q79" s="92" t="str">
        <f t="shared" si="4"/>
        <v>0</v>
      </c>
    </row>
    <row r="80" spans="1:17" x14ac:dyDescent="0.2">
      <c r="A80"/>
      <c r="B80"/>
      <c r="C80"/>
      <c r="D80"/>
      <c r="P80" s="221">
        <f>'Profitability - New'!E74</f>
        <v>0</v>
      </c>
      <c r="Q80" s="92" t="str">
        <f t="shared" si="4"/>
        <v>0</v>
      </c>
    </row>
    <row r="81" spans="1:17" x14ac:dyDescent="0.2">
      <c r="A81"/>
      <c r="B81"/>
      <c r="C81"/>
      <c r="D81"/>
      <c r="P81" s="221">
        <f>'Profitability - New'!E75</f>
        <v>0</v>
      </c>
      <c r="Q81" s="92" t="str">
        <f t="shared" si="4"/>
        <v>0</v>
      </c>
    </row>
    <row r="82" spans="1:17" x14ac:dyDescent="0.2">
      <c r="A82"/>
      <c r="B82"/>
      <c r="C82"/>
      <c r="D82"/>
      <c r="P82" s="221">
        <f>'Profitability - New'!E76</f>
        <v>0</v>
      </c>
      <c r="Q82" s="92" t="str">
        <f t="shared" si="3"/>
        <v>0</v>
      </c>
    </row>
    <row r="83" spans="1:17" x14ac:dyDescent="0.2">
      <c r="A83"/>
      <c r="B83"/>
      <c r="C83"/>
      <c r="D83"/>
      <c r="P83" s="221">
        <f>'Profitability - New'!E77</f>
        <v>0</v>
      </c>
      <c r="Q83" s="92" t="str">
        <f t="shared" si="3"/>
        <v>0</v>
      </c>
    </row>
    <row r="84" spans="1:17" x14ac:dyDescent="0.2">
      <c r="A84"/>
      <c r="B84"/>
      <c r="C84"/>
      <c r="D84"/>
      <c r="P84" s="221">
        <f>'Profitability - New'!E78</f>
        <v>0</v>
      </c>
      <c r="Q84" s="92" t="str">
        <f t="shared" si="3"/>
        <v>0</v>
      </c>
    </row>
    <row r="85" spans="1:17" x14ac:dyDescent="0.2">
      <c r="A85"/>
      <c r="B85"/>
      <c r="C85"/>
      <c r="D85"/>
      <c r="P85" s="221">
        <f>'Profitability - New'!E79</f>
        <v>0</v>
      </c>
      <c r="Q85" s="92" t="str">
        <f t="shared" si="3"/>
        <v>0</v>
      </c>
    </row>
    <row r="86" spans="1:17" x14ac:dyDescent="0.2">
      <c r="A86"/>
      <c r="B86"/>
      <c r="C86"/>
      <c r="D86"/>
      <c r="P86" s="221">
        <f>'Profitability - New'!E80</f>
        <v>0</v>
      </c>
      <c r="Q86" s="92" t="str">
        <f t="shared" si="3"/>
        <v>0</v>
      </c>
    </row>
    <row r="87" spans="1:17" x14ac:dyDescent="0.2">
      <c r="A87"/>
      <c r="B87"/>
      <c r="C87"/>
      <c r="D87"/>
      <c r="P87" s="221">
        <f>'Profitability - New'!E81</f>
        <v>0</v>
      </c>
      <c r="Q87" s="92" t="str">
        <f t="shared" si="3"/>
        <v>0</v>
      </c>
    </row>
    <row r="88" spans="1:17" x14ac:dyDescent="0.2">
      <c r="A88"/>
      <c r="B88"/>
      <c r="C88"/>
      <c r="D88"/>
      <c r="P88" s="221">
        <f>'Profitability - New'!E82</f>
        <v>0</v>
      </c>
      <c r="Q88" s="92" t="str">
        <f t="shared" si="3"/>
        <v>0</v>
      </c>
    </row>
    <row r="89" spans="1:17" x14ac:dyDescent="0.2">
      <c r="A89"/>
      <c r="B89"/>
      <c r="C89"/>
      <c r="D89"/>
      <c r="P89" s="221">
        <f>'Profitability - New'!E83</f>
        <v>0</v>
      </c>
      <c r="Q89" s="92" t="str">
        <f t="shared" si="3"/>
        <v>0</v>
      </c>
    </row>
    <row r="90" spans="1:17" x14ac:dyDescent="0.2">
      <c r="A90"/>
      <c r="B90"/>
      <c r="C90"/>
      <c r="D90"/>
      <c r="P90" s="221">
        <f>'Profitability - New'!E84</f>
        <v>0</v>
      </c>
      <c r="Q90" s="92" t="str">
        <f t="shared" si="3"/>
        <v>0</v>
      </c>
    </row>
    <row r="91" spans="1:17" x14ac:dyDescent="0.2">
      <c r="A91"/>
      <c r="B91"/>
      <c r="C91"/>
      <c r="D91"/>
      <c r="P91" s="221">
        <f>'Profitability - New'!E85</f>
        <v>0</v>
      </c>
      <c r="Q91" s="92" t="str">
        <f t="shared" si="3"/>
        <v>0</v>
      </c>
    </row>
    <row r="92" spans="1:17" x14ac:dyDescent="0.2">
      <c r="A92"/>
      <c r="B92"/>
      <c r="C92"/>
      <c r="D92"/>
      <c r="P92" s="221">
        <f>'Profitability - New'!E86</f>
        <v>0</v>
      </c>
      <c r="Q92" s="92" t="str">
        <f t="shared" si="3"/>
        <v>0</v>
      </c>
    </row>
    <row r="93" spans="1:17" x14ac:dyDescent="0.2">
      <c r="A93"/>
      <c r="B93"/>
      <c r="C93"/>
      <c r="D93"/>
      <c r="P93" s="221">
        <f>'Profitability - New'!E87</f>
        <v>0</v>
      </c>
      <c r="Q93" s="92" t="str">
        <f t="shared" si="3"/>
        <v>0</v>
      </c>
    </row>
    <row r="94" spans="1:17" x14ac:dyDescent="0.2">
      <c r="A94"/>
      <c r="B94"/>
      <c r="C94"/>
      <c r="D94"/>
      <c r="P94" s="221">
        <f>'Profitability - New'!E88</f>
        <v>0</v>
      </c>
      <c r="Q94" s="92" t="str">
        <f t="shared" si="3"/>
        <v>0</v>
      </c>
    </row>
    <row r="95" spans="1:17" x14ac:dyDescent="0.2">
      <c r="A95"/>
      <c r="B95"/>
      <c r="C95"/>
      <c r="D95"/>
      <c r="P95" s="221">
        <f>'Profitability - New'!E89</f>
        <v>0</v>
      </c>
      <c r="Q95" s="92" t="str">
        <f t="shared" si="3"/>
        <v>0</v>
      </c>
    </row>
    <row r="96" spans="1:17" x14ac:dyDescent="0.2">
      <c r="A96"/>
      <c r="B96"/>
      <c r="C96"/>
      <c r="D96"/>
      <c r="P96" s="221">
        <f>'Profitability - New'!E90</f>
        <v>0</v>
      </c>
      <c r="Q96" s="92" t="str">
        <f t="shared" si="3"/>
        <v>0</v>
      </c>
    </row>
    <row r="97" spans="1:17" x14ac:dyDescent="0.2">
      <c r="A97"/>
      <c r="B97"/>
      <c r="C97"/>
      <c r="D97"/>
      <c r="P97" s="221">
        <f>'Profitability - New'!E91</f>
        <v>0</v>
      </c>
      <c r="Q97" s="92" t="str">
        <f t="shared" si="3"/>
        <v>0</v>
      </c>
    </row>
    <row r="98" spans="1:17" x14ac:dyDescent="0.2">
      <c r="A98"/>
      <c r="B98"/>
      <c r="C98"/>
      <c r="D98"/>
      <c r="P98" s="221">
        <f>'Profitability - New'!E92</f>
        <v>0</v>
      </c>
      <c r="Q98" s="92" t="str">
        <f t="shared" si="3"/>
        <v>0</v>
      </c>
    </row>
    <row r="99" spans="1:17" x14ac:dyDescent="0.2">
      <c r="A99"/>
      <c r="B99"/>
      <c r="C99"/>
      <c r="D99"/>
      <c r="P99" s="221">
        <f>'Profitability - New'!E93</f>
        <v>0</v>
      </c>
      <c r="Q99" s="92" t="str">
        <f t="shared" si="3"/>
        <v>0</v>
      </c>
    </row>
    <row r="100" spans="1:17" x14ac:dyDescent="0.2">
      <c r="A100"/>
      <c r="B100"/>
      <c r="C100"/>
      <c r="D100"/>
      <c r="P100" s="221">
        <f>'Profitability - New'!E94</f>
        <v>0</v>
      </c>
      <c r="Q100" s="92" t="str">
        <f t="shared" si="3"/>
        <v>0</v>
      </c>
    </row>
    <row r="101" spans="1:17" x14ac:dyDescent="0.2">
      <c r="A101"/>
      <c r="B101"/>
      <c r="C101"/>
      <c r="D101"/>
      <c r="P101" s="221">
        <f>'Profitability - New'!E95</f>
        <v>0</v>
      </c>
      <c r="Q101" s="92" t="str">
        <f t="shared" si="3"/>
        <v>0</v>
      </c>
    </row>
    <row r="102" spans="1:17" x14ac:dyDescent="0.2">
      <c r="A102"/>
      <c r="B102"/>
      <c r="C102"/>
      <c r="D102"/>
      <c r="P102" s="221">
        <f>'Profitability - New'!E96</f>
        <v>0</v>
      </c>
      <c r="Q102" s="92" t="str">
        <f t="shared" si="3"/>
        <v>0</v>
      </c>
    </row>
    <row r="103" spans="1:17" x14ac:dyDescent="0.2">
      <c r="A103"/>
      <c r="B103"/>
      <c r="C103"/>
      <c r="D103"/>
      <c r="P103" s="221">
        <f>'Profitability - New'!E97</f>
        <v>0</v>
      </c>
      <c r="Q103" s="92" t="str">
        <f t="shared" si="3"/>
        <v>0</v>
      </c>
    </row>
    <row r="104" spans="1:17" x14ac:dyDescent="0.2">
      <c r="A104"/>
      <c r="B104"/>
      <c r="C104"/>
      <c r="D104"/>
      <c r="P104" s="221">
        <f>'Profitability - New'!E98</f>
        <v>0</v>
      </c>
      <c r="Q104" s="92" t="str">
        <f t="shared" si="3"/>
        <v>0</v>
      </c>
    </row>
    <row r="105" spans="1:17" x14ac:dyDescent="0.2">
      <c r="A105"/>
      <c r="B105"/>
      <c r="C105"/>
      <c r="D105"/>
    </row>
    <row r="106" spans="1:17" x14ac:dyDescent="0.2">
      <c r="A106"/>
      <c r="B106"/>
      <c r="C106"/>
      <c r="D106"/>
    </row>
    <row r="107" spans="1:17" x14ac:dyDescent="0.2">
      <c r="A107"/>
      <c r="B107"/>
      <c r="C107"/>
      <c r="D107"/>
    </row>
    <row r="108" spans="1:17" x14ac:dyDescent="0.2">
      <c r="A108"/>
      <c r="B108"/>
      <c r="C108"/>
      <c r="D108"/>
    </row>
    <row r="109" spans="1:17" x14ac:dyDescent="0.2">
      <c r="A109"/>
      <c r="B109"/>
      <c r="C109"/>
      <c r="D109"/>
    </row>
    <row r="110" spans="1:17" x14ac:dyDescent="0.2">
      <c r="A110"/>
      <c r="B110"/>
      <c r="C110"/>
      <c r="D110"/>
    </row>
    <row r="111" spans="1:17" x14ac:dyDescent="0.2">
      <c r="A111"/>
      <c r="B111"/>
      <c r="C111"/>
      <c r="D111"/>
    </row>
  </sheetData>
  <pageMargins left="0.7" right="0.7" top="0.75" bottom="0.75" header="0.3" footer="0.3"/>
  <pageSetup orientation="portrait" horizontalDpi="0" verticalDpi="0"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pageSetUpPr fitToPage="1"/>
  </sheetPr>
  <dimension ref="A1:BJ60"/>
  <sheetViews>
    <sheetView showGridLines="0" zoomScale="85" zoomScaleNormal="85" workbookViewId="0">
      <pane xSplit="7" ySplit="6" topLeftCell="H7" activePane="bottomRight" state="frozen"/>
      <selection pane="topRight" activeCell="F1" sqref="F1"/>
      <selection pane="bottomLeft" activeCell="A7" sqref="A7"/>
      <selection pane="bottomRight" activeCell="AM27" sqref="AM27"/>
    </sheetView>
  </sheetViews>
  <sheetFormatPr defaultColWidth="0" defaultRowHeight="14.25" customHeight="1" outlineLevelCol="1" x14ac:dyDescent="0.2"/>
  <cols>
    <col min="1" max="1" width="2.09765625" hidden="1" customWidth="1" outlineLevel="1"/>
    <col min="2" max="2" width="17" style="229" hidden="1" customWidth="1" outlineLevel="1"/>
    <col min="3" max="3" width="8.09765625" style="229" hidden="1" customWidth="1" outlineLevel="1"/>
    <col min="4" max="4" width="7.796875" hidden="1" customWidth="1" outlineLevel="1"/>
    <col min="5" max="5" width="7.3984375" hidden="1" customWidth="1" outlineLevel="1"/>
    <col min="6" max="6" width="0.796875" hidden="1" customWidth="1" collapsed="1"/>
    <col min="7" max="7" width="37.796875" bestFit="1" customWidth="1"/>
    <col min="8" max="8" width="1.19921875" customWidth="1"/>
    <col min="9" max="14" width="9.19921875" customWidth="1" outlineLevel="1"/>
    <col min="15" max="15" width="8.69921875" hidden="1" customWidth="1" outlineLevel="1"/>
    <col min="16" max="16" width="7.5" hidden="1" customWidth="1" outlineLevel="1"/>
    <col min="17" max="17" width="8.69921875" style="130" hidden="1" customWidth="1" outlineLevel="1"/>
    <col min="18" max="18" width="6.3984375" hidden="1" customWidth="1" outlineLevel="1"/>
    <col min="19" max="19" width="8.69921875" style="130" hidden="1" customWidth="1" outlineLevel="1"/>
    <col min="20" max="20" width="6.3984375" hidden="1" customWidth="1" outlineLevel="1"/>
    <col min="21" max="21" width="1.69921875" customWidth="1"/>
    <col min="22" max="22" width="7.59765625" hidden="1" customWidth="1" outlineLevel="1"/>
    <col min="23" max="23" width="6.3984375" hidden="1" customWidth="1" outlineLevel="1"/>
    <col min="24" max="24" width="7.59765625" hidden="1" customWidth="1" outlineLevel="1"/>
    <col min="25" max="25" width="6.3984375" hidden="1" customWidth="1" outlineLevel="1"/>
    <col min="26" max="26" width="7.59765625" hidden="1" customWidth="1" outlineLevel="1"/>
    <col min="27" max="27" width="6.3984375" hidden="1" customWidth="1" outlineLevel="1"/>
    <col min="28" max="28" width="8.69921875" hidden="1" customWidth="1" outlineLevel="1"/>
    <col min="29" max="29" width="6.3984375" hidden="1" customWidth="1" outlineLevel="1"/>
    <col min="30" max="30" width="8.69921875" hidden="1" customWidth="1" outlineLevel="1"/>
    <col min="31" max="31" width="6.3984375" hidden="1" customWidth="1" outlineLevel="1"/>
    <col min="32" max="32" width="1.69921875" customWidth="1" collapsed="1"/>
    <col min="33" max="33" width="8.69921875" style="130" hidden="1" customWidth="1" outlineLevel="1"/>
    <col min="34" max="34" width="6.3984375" hidden="1" customWidth="1" outlineLevel="1"/>
    <col min="35" max="35" width="10.3984375" style="130" hidden="1" customWidth="1" outlineLevel="1"/>
    <col min="36" max="36" width="6.3984375" hidden="1" customWidth="1" outlineLevel="1"/>
    <col min="37" max="37" width="1.69921875" customWidth="1" collapsed="1"/>
    <col min="38" max="39" width="9.59765625" customWidth="1" outlineLevel="1"/>
    <col min="40" max="40" width="8.69921875" hidden="1" customWidth="1" outlineLevel="1"/>
    <col min="41" max="41" width="6.3984375" hidden="1" customWidth="1" outlineLevel="1"/>
    <col min="42" max="42" width="1.69921875" customWidth="1"/>
    <col min="43" max="43" width="8.69921875" hidden="1" customWidth="1" outlineLevel="1"/>
    <col min="44" max="44" width="6.3984375" hidden="1" customWidth="1" outlineLevel="1"/>
    <col min="45" max="45" width="10.3984375" hidden="1" customWidth="1" outlineLevel="1"/>
    <col min="46" max="46" width="6.3984375" hidden="1" customWidth="1" outlineLevel="1"/>
    <col min="47" max="47" width="1.69921875" customWidth="1" collapsed="1"/>
    <col min="48" max="49" width="10.8984375" customWidth="1" outlineLevel="1"/>
    <col min="50" max="50" width="8.69921875" hidden="1" customWidth="1" outlineLevel="1"/>
    <col min="51" max="51" width="6.3984375" hidden="1" customWidth="1" outlineLevel="1"/>
    <col min="52" max="52" width="1.69921875" customWidth="1"/>
    <col min="53" max="53" width="8.69921875" hidden="1" customWidth="1" outlineLevel="1"/>
    <col min="54" max="54" width="6.3984375" hidden="1" customWidth="1" outlineLevel="1"/>
    <col min="55" max="55" width="10.3984375" hidden="1" customWidth="1" outlineLevel="1"/>
    <col min="56" max="56" width="6.3984375" hidden="1" customWidth="1" outlineLevel="1"/>
    <col min="57" max="57" width="1.69921875" customWidth="1" collapsed="1"/>
    <col min="58" max="58" width="10.3984375" hidden="1" customWidth="1" outlineLevel="1"/>
    <col min="59" max="59" width="6.3984375" hidden="1" customWidth="1" outlineLevel="1"/>
    <col min="60" max="60" width="1.69921875" customWidth="1" collapsed="1"/>
    <col min="61" max="61" width="1.69921875" customWidth="1"/>
    <col min="62" max="62" width="0" hidden="1" customWidth="1"/>
    <col min="63" max="16384" width="8.796875" hidden="1"/>
  </cols>
  <sheetData>
    <row r="1" spans="1:61" ht="45" customHeight="1" thickBot="1" x14ac:dyDescent="0.25">
      <c r="A1" s="84"/>
      <c r="B1" s="226"/>
      <c r="C1" s="226"/>
      <c r="D1" s="84"/>
      <c r="E1" s="84"/>
      <c r="F1" s="84"/>
      <c r="G1" s="292" t="s">
        <v>0</v>
      </c>
      <c r="H1" s="84"/>
      <c r="I1" s="96">
        <v>29.5</v>
      </c>
      <c r="J1" s="305" t="s">
        <v>377</v>
      </c>
      <c r="K1" s="96"/>
      <c r="L1" s="97"/>
      <c r="M1" s="96">
        <v>79</v>
      </c>
      <c r="N1" s="305" t="s">
        <v>377</v>
      </c>
      <c r="O1" s="96"/>
      <c r="P1" s="97"/>
      <c r="Q1" s="96"/>
      <c r="R1" s="97"/>
      <c r="S1" s="96"/>
      <c r="T1" s="97"/>
      <c r="U1" s="288" t="s">
        <v>378</v>
      </c>
      <c r="V1" s="84"/>
      <c r="W1" s="84"/>
      <c r="X1" s="84"/>
      <c r="Y1" s="131"/>
      <c r="Z1" s="84"/>
      <c r="AA1" s="131"/>
      <c r="AB1" s="84"/>
      <c r="AC1" s="131"/>
      <c r="AD1" s="84"/>
      <c r="AE1" s="131"/>
      <c r="AF1" s="288" t="s">
        <v>379</v>
      </c>
      <c r="AG1" s="131"/>
      <c r="AH1" s="84"/>
      <c r="AI1" s="131"/>
      <c r="AJ1" s="84"/>
      <c r="AK1" s="288" t="s">
        <v>380</v>
      </c>
      <c r="AL1" s="96">
        <v>115</v>
      </c>
      <c r="AM1" s="305" t="s">
        <v>381</v>
      </c>
      <c r="AN1" s="299">
        <v>236.17</v>
      </c>
      <c r="AO1" s="300">
        <f>(AN6-AN1)/AN1</f>
        <v>-3.8827962908074644E-2</v>
      </c>
      <c r="AP1" s="288" t="s">
        <v>382</v>
      </c>
      <c r="AQ1" s="299">
        <v>535.95000000000005</v>
      </c>
      <c r="AR1" s="300">
        <f>(AQ6-AQ1)/AQ1</f>
        <v>0</v>
      </c>
      <c r="AS1" s="84"/>
      <c r="AT1" s="84"/>
      <c r="AU1" s="293" t="s">
        <v>383</v>
      </c>
      <c r="AV1" s="96"/>
      <c r="AW1" s="305" t="s">
        <v>381</v>
      </c>
      <c r="AX1" s="295"/>
      <c r="AY1" s="84"/>
      <c r="AZ1" s="288" t="s">
        <v>384</v>
      </c>
      <c r="BA1" s="84"/>
      <c r="BB1" s="84"/>
      <c r="BC1" s="84"/>
      <c r="BD1" s="84"/>
      <c r="BE1" s="288" t="s">
        <v>385</v>
      </c>
      <c r="BF1" s="84"/>
      <c r="BG1" s="84"/>
      <c r="BH1" s="288" t="s">
        <v>386</v>
      </c>
      <c r="BI1" s="84"/>
    </row>
    <row r="2" spans="1:61" ht="15" customHeight="1" x14ac:dyDescent="0.2">
      <c r="A2" s="84"/>
      <c r="B2" s="391" t="s">
        <v>16</v>
      </c>
      <c r="C2" s="391"/>
      <c r="D2" s="392"/>
      <c r="E2" s="84"/>
      <c r="F2" s="84"/>
      <c r="G2" s="397" t="s">
        <v>17</v>
      </c>
      <c r="H2" s="84"/>
      <c r="I2" s="400" t="s">
        <v>259</v>
      </c>
      <c r="J2" s="400"/>
      <c r="K2" s="400"/>
      <c r="L2" s="400"/>
      <c r="M2" s="400"/>
      <c r="N2" s="400"/>
      <c r="O2" s="400"/>
      <c r="P2" s="400"/>
      <c r="Q2" s="400"/>
      <c r="R2" s="400"/>
      <c r="S2" s="400"/>
      <c r="T2" s="400"/>
      <c r="U2" s="84"/>
      <c r="V2" s="400" t="s">
        <v>259</v>
      </c>
      <c r="W2" s="400"/>
      <c r="X2" s="400"/>
      <c r="Y2" s="400"/>
      <c r="Z2" s="400"/>
      <c r="AA2" s="400"/>
      <c r="AB2" s="400"/>
      <c r="AC2" s="400"/>
      <c r="AD2" s="400"/>
      <c r="AE2" s="400"/>
      <c r="AF2" s="131"/>
      <c r="AG2" s="400" t="s">
        <v>259</v>
      </c>
      <c r="AH2" s="400"/>
      <c r="AI2" s="400"/>
      <c r="AJ2" s="400"/>
      <c r="AK2" s="131"/>
      <c r="AL2" s="400" t="s">
        <v>263</v>
      </c>
      <c r="AM2" s="400"/>
      <c r="AN2" s="400"/>
      <c r="AO2" s="400"/>
      <c r="AP2" s="84"/>
      <c r="AQ2" s="400" t="s">
        <v>263</v>
      </c>
      <c r="AR2" s="400"/>
      <c r="AS2" s="400"/>
      <c r="AT2" s="400"/>
      <c r="AU2" s="84"/>
      <c r="AV2" s="400" t="s">
        <v>267</v>
      </c>
      <c r="AW2" s="400"/>
      <c r="AX2" s="400"/>
      <c r="AY2" s="400"/>
      <c r="AZ2" s="84"/>
      <c r="BA2" s="400" t="s">
        <v>267</v>
      </c>
      <c r="BB2" s="400"/>
      <c r="BC2" s="400"/>
      <c r="BD2" s="400"/>
      <c r="BE2" s="84"/>
      <c r="BF2" s="401" t="s">
        <v>269</v>
      </c>
      <c r="BG2" s="500"/>
      <c r="BH2" s="84"/>
      <c r="BI2" s="84"/>
    </row>
    <row r="3" spans="1:61" ht="15" customHeight="1" x14ac:dyDescent="0.2">
      <c r="A3" s="84"/>
      <c r="B3" s="393"/>
      <c r="C3" s="393"/>
      <c r="D3" s="394"/>
      <c r="E3" s="84"/>
      <c r="F3" s="84"/>
      <c r="G3" s="398"/>
      <c r="H3" s="84"/>
      <c r="I3" s="496" t="s">
        <v>387</v>
      </c>
      <c r="J3" s="496"/>
      <c r="K3" s="496"/>
      <c r="L3" s="496"/>
      <c r="M3" s="496"/>
      <c r="N3" s="496"/>
      <c r="O3" s="496"/>
      <c r="P3" s="496"/>
      <c r="Q3" s="496"/>
      <c r="R3" s="496"/>
      <c r="S3" s="496"/>
      <c r="T3" s="496"/>
      <c r="U3" s="84"/>
      <c r="V3" s="496" t="s">
        <v>388</v>
      </c>
      <c r="W3" s="496"/>
      <c r="X3" s="496"/>
      <c r="Y3" s="496"/>
      <c r="Z3" s="496"/>
      <c r="AA3" s="496"/>
      <c r="AB3" s="496"/>
      <c r="AC3" s="496"/>
      <c r="AD3" s="496"/>
      <c r="AE3" s="496"/>
      <c r="AF3" s="131"/>
      <c r="AG3" s="496" t="s">
        <v>46</v>
      </c>
      <c r="AH3" s="496"/>
      <c r="AI3" s="496"/>
      <c r="AJ3" s="496"/>
      <c r="AK3" s="131"/>
      <c r="AL3" s="497" t="s">
        <v>260</v>
      </c>
      <c r="AM3" s="497"/>
      <c r="AN3" s="497"/>
      <c r="AO3" s="497"/>
      <c r="AP3" s="84"/>
      <c r="AQ3" s="497" t="s">
        <v>151</v>
      </c>
      <c r="AR3" s="497"/>
      <c r="AS3" s="497"/>
      <c r="AT3" s="497"/>
      <c r="AU3" s="84"/>
      <c r="AV3" s="498" t="s">
        <v>88</v>
      </c>
      <c r="AW3" s="498"/>
      <c r="AX3" s="498"/>
      <c r="AY3" s="498"/>
      <c r="AZ3" s="84"/>
      <c r="BA3" s="498" t="s">
        <v>88</v>
      </c>
      <c r="BB3" s="498"/>
      <c r="BC3" s="498"/>
      <c r="BD3" s="498"/>
      <c r="BE3" s="84"/>
      <c r="BF3" s="499" t="s">
        <v>389</v>
      </c>
      <c r="BG3" s="499"/>
      <c r="BH3" s="84"/>
      <c r="BI3" s="84"/>
    </row>
    <row r="4" spans="1:61" ht="15" customHeight="1" thickBot="1" x14ac:dyDescent="0.25">
      <c r="A4" s="84"/>
      <c r="B4" s="393"/>
      <c r="C4" s="393"/>
      <c r="D4" s="394"/>
      <c r="E4" s="84"/>
      <c r="F4" s="84"/>
      <c r="G4" s="399"/>
      <c r="H4" s="84"/>
      <c r="I4" s="496"/>
      <c r="J4" s="496"/>
      <c r="K4" s="496"/>
      <c r="L4" s="496"/>
      <c r="M4" s="496"/>
      <c r="N4" s="496"/>
      <c r="O4" s="496"/>
      <c r="P4" s="496"/>
      <c r="Q4" s="496"/>
      <c r="R4" s="496"/>
      <c r="S4" s="496"/>
      <c r="T4" s="496"/>
      <c r="U4" s="84"/>
      <c r="V4" s="496"/>
      <c r="W4" s="496"/>
      <c r="X4" s="496"/>
      <c r="Y4" s="496"/>
      <c r="Z4" s="496"/>
      <c r="AA4" s="496"/>
      <c r="AB4" s="496"/>
      <c r="AC4" s="496"/>
      <c r="AD4" s="496"/>
      <c r="AE4" s="496"/>
      <c r="AF4" s="131"/>
      <c r="AG4" s="496"/>
      <c r="AH4" s="496"/>
      <c r="AI4" s="496"/>
      <c r="AJ4" s="496"/>
      <c r="AK4" s="131"/>
      <c r="AL4" s="497"/>
      <c r="AM4" s="497"/>
      <c r="AN4" s="497"/>
      <c r="AO4" s="497"/>
      <c r="AP4" s="84"/>
      <c r="AQ4" s="497"/>
      <c r="AR4" s="497"/>
      <c r="AS4" s="497"/>
      <c r="AT4" s="497"/>
      <c r="AU4" s="84"/>
      <c r="AV4" s="498"/>
      <c r="AW4" s="498"/>
      <c r="AX4" s="498"/>
      <c r="AY4" s="498"/>
      <c r="AZ4" s="84"/>
      <c r="BA4" s="498"/>
      <c r="BB4" s="498"/>
      <c r="BC4" s="498"/>
      <c r="BD4" s="498"/>
      <c r="BE4" s="84"/>
      <c r="BF4" s="499"/>
      <c r="BG4" s="499"/>
      <c r="BH4" s="84"/>
      <c r="BI4" s="84"/>
    </row>
    <row r="5" spans="1:61" s="83" customFormat="1" ht="15" thickBot="1" x14ac:dyDescent="0.25">
      <c r="A5" s="84"/>
      <c r="B5" s="395"/>
      <c r="C5" s="395"/>
      <c r="D5" s="396"/>
      <c r="E5" s="84"/>
      <c r="F5" s="84"/>
      <c r="G5" s="242" t="s">
        <v>26</v>
      </c>
      <c r="H5" s="84"/>
      <c r="I5" s="105" t="s">
        <v>27</v>
      </c>
      <c r="J5" s="106">
        <v>36</v>
      </c>
      <c r="K5" s="105" t="s">
        <v>28</v>
      </c>
      <c r="L5" s="106">
        <v>24</v>
      </c>
      <c r="M5" s="105" t="s">
        <v>29</v>
      </c>
      <c r="N5" s="106">
        <v>12</v>
      </c>
      <c r="O5" s="105" t="s">
        <v>390</v>
      </c>
      <c r="P5" s="106">
        <v>12</v>
      </c>
      <c r="Q5" s="202" t="s">
        <v>391</v>
      </c>
      <c r="R5" s="106">
        <v>6</v>
      </c>
      <c r="S5" s="202" t="s">
        <v>392</v>
      </c>
      <c r="T5" s="106">
        <v>6</v>
      </c>
      <c r="U5" s="84"/>
      <c r="V5" s="105" t="s">
        <v>393</v>
      </c>
      <c r="W5" s="106">
        <v>48</v>
      </c>
      <c r="X5" s="105" t="s">
        <v>394</v>
      </c>
      <c r="Y5" s="106">
        <v>36</v>
      </c>
      <c r="Z5" s="105" t="s">
        <v>28</v>
      </c>
      <c r="AA5" s="106">
        <v>24</v>
      </c>
      <c r="AB5" s="105" t="s">
        <v>30</v>
      </c>
      <c r="AC5" s="106">
        <v>12</v>
      </c>
      <c r="AD5" s="105" t="s">
        <v>395</v>
      </c>
      <c r="AE5" s="106">
        <v>6</v>
      </c>
      <c r="AF5" s="131"/>
      <c r="AG5" s="202" t="s">
        <v>396</v>
      </c>
      <c r="AH5" s="106">
        <v>4</v>
      </c>
      <c r="AI5" s="202" t="s">
        <v>249</v>
      </c>
      <c r="AJ5" s="106">
        <v>1</v>
      </c>
      <c r="AK5" s="131"/>
      <c r="AL5" s="105" t="s">
        <v>30</v>
      </c>
      <c r="AM5" s="106">
        <v>12</v>
      </c>
      <c r="AN5" s="105" t="s">
        <v>397</v>
      </c>
      <c r="AO5" s="106">
        <v>6</v>
      </c>
      <c r="AP5" s="84"/>
      <c r="AQ5" s="105" t="s">
        <v>396</v>
      </c>
      <c r="AR5" s="106">
        <v>4</v>
      </c>
      <c r="AS5" s="105" t="s">
        <v>249</v>
      </c>
      <c r="AT5" s="106">
        <v>1</v>
      </c>
      <c r="AU5" s="84"/>
      <c r="AV5" s="105" t="s">
        <v>30</v>
      </c>
      <c r="AW5" s="106">
        <v>12</v>
      </c>
      <c r="AX5" s="105" t="s">
        <v>397</v>
      </c>
      <c r="AY5" s="106">
        <v>6</v>
      </c>
      <c r="AZ5" s="84"/>
      <c r="BA5" s="105" t="s">
        <v>396</v>
      </c>
      <c r="BB5" s="106">
        <v>4</v>
      </c>
      <c r="BC5" s="105" t="s">
        <v>249</v>
      </c>
      <c r="BD5" s="106">
        <v>1</v>
      </c>
      <c r="BE5" s="84"/>
      <c r="BF5" s="105" t="s">
        <v>249</v>
      </c>
      <c r="BG5" s="106">
        <v>1</v>
      </c>
      <c r="BH5" s="84"/>
      <c r="BI5" s="84"/>
    </row>
    <row r="6" spans="1:61" x14ac:dyDescent="0.2">
      <c r="A6" s="84"/>
      <c r="B6" s="227" t="s">
        <v>22</v>
      </c>
      <c r="C6" s="227" t="s">
        <v>2</v>
      </c>
      <c r="D6" s="159" t="s">
        <v>32</v>
      </c>
      <c r="E6" s="159" t="s">
        <v>33</v>
      </c>
      <c r="F6" s="84"/>
      <c r="G6" s="243" t="s">
        <v>34</v>
      </c>
      <c r="H6" s="84"/>
      <c r="I6" s="96">
        <v>35</v>
      </c>
      <c r="J6" s="97">
        <f>I6/I6</f>
        <v>1</v>
      </c>
      <c r="K6" s="96">
        <v>51</v>
      </c>
      <c r="L6" s="97">
        <f>K6/K6</f>
        <v>1</v>
      </c>
      <c r="M6" s="96">
        <v>91</v>
      </c>
      <c r="N6" s="97">
        <f>M6/M6</f>
        <v>1</v>
      </c>
      <c r="O6" s="96">
        <v>116.8602899155227</v>
      </c>
      <c r="P6" s="97">
        <f>O6/O6</f>
        <v>1</v>
      </c>
      <c r="Q6" s="96">
        <v>226.2205798310454</v>
      </c>
      <c r="R6" s="97">
        <f>Q6/Q6</f>
        <v>1</v>
      </c>
      <c r="S6" s="96">
        <v>226.2205798310454</v>
      </c>
      <c r="T6" s="97">
        <f>S6/S6</f>
        <v>1</v>
      </c>
      <c r="U6" s="84"/>
      <c r="V6" s="96">
        <v>20</v>
      </c>
      <c r="W6" s="97">
        <f>V6/V6</f>
        <v>1</v>
      </c>
      <c r="X6" s="96">
        <v>31</v>
      </c>
      <c r="Y6" s="97">
        <f>X6/X6</f>
        <v>1</v>
      </c>
      <c r="Z6" s="96">
        <f>AB6*0.5+2</f>
        <v>49.5</v>
      </c>
      <c r="AA6" s="97">
        <f>Z6/Z6</f>
        <v>1</v>
      </c>
      <c r="AB6" s="96">
        <v>95</v>
      </c>
      <c r="AC6" s="97">
        <f>AB6/AB6</f>
        <v>1</v>
      </c>
      <c r="AD6" s="96">
        <v>180</v>
      </c>
      <c r="AE6" s="97">
        <f>AD6/AD6</f>
        <v>1</v>
      </c>
      <c r="AF6" s="131"/>
      <c r="AG6" s="96">
        <v>447.4411596620908</v>
      </c>
      <c r="AH6" s="97">
        <f>AG6/AG6</f>
        <v>1</v>
      </c>
      <c r="AI6" s="96">
        <v>1600</v>
      </c>
      <c r="AJ6" s="97">
        <f>AI6/AI6</f>
        <v>1</v>
      </c>
      <c r="AK6" s="131"/>
      <c r="AL6" s="96">
        <v>108.5</v>
      </c>
      <c r="AM6" s="97">
        <f>AL6/AL6</f>
        <v>1</v>
      </c>
      <c r="AN6" s="96">
        <v>227</v>
      </c>
      <c r="AO6" s="97">
        <f>AN6/AN6</f>
        <v>1</v>
      </c>
      <c r="AP6" s="84"/>
      <c r="AQ6" s="96">
        <v>535.95000000000005</v>
      </c>
      <c r="AR6" s="97">
        <f>AQ6/AQ6</f>
        <v>1</v>
      </c>
      <c r="AS6" s="96">
        <v>1977.79</v>
      </c>
      <c r="AT6" s="97">
        <f>AS6/AS6</f>
        <v>1</v>
      </c>
      <c r="AU6" s="84"/>
      <c r="AV6" s="96">
        <v>115</v>
      </c>
      <c r="AW6" s="97">
        <f>AV6/AV6</f>
        <v>1</v>
      </c>
      <c r="AX6" s="96">
        <v>240</v>
      </c>
      <c r="AY6" s="97">
        <f>AX6/AX6</f>
        <v>1</v>
      </c>
      <c r="AZ6" s="84"/>
      <c r="BA6" s="96">
        <v>551.43200000000002</v>
      </c>
      <c r="BB6" s="97">
        <f>BA6/BA6</f>
        <v>1</v>
      </c>
      <c r="BC6" s="96">
        <v>2150</v>
      </c>
      <c r="BD6" s="97">
        <f>BC6/BC6</f>
        <v>1</v>
      </c>
      <c r="BE6" s="84"/>
      <c r="BF6" s="96">
        <v>1450</v>
      </c>
      <c r="BG6" s="97">
        <f>BF6/BF6</f>
        <v>1</v>
      </c>
      <c r="BH6" s="84"/>
      <c r="BI6" s="84"/>
    </row>
    <row r="7" spans="1:61" x14ac:dyDescent="0.2">
      <c r="A7" s="84"/>
      <c r="B7" s="287" t="str">
        <f>'Pricing Trends'!R13</f>
        <v>RBD SOYA BEAN OIL</v>
      </c>
      <c r="C7" s="249">
        <f>'Pricing Trends'!S13</f>
        <v>45314</v>
      </c>
      <c r="D7" s="223">
        <f>'Pricing Trends'!U13</f>
        <v>69.078871899999996</v>
      </c>
      <c r="E7" s="220" t="b">
        <v>0</v>
      </c>
      <c r="F7" s="84"/>
      <c r="G7" s="245" t="s">
        <v>45</v>
      </c>
      <c r="H7" s="84"/>
      <c r="I7" s="265">
        <f>IFERROR(VLOOKUP($I$2&amp;$G7,Validation!$E:$O,4,FALSE),0)</f>
        <v>0</v>
      </c>
      <c r="J7" s="99">
        <f t="shared" ref="J7:J16" si="0">I7/I$6</f>
        <v>0</v>
      </c>
      <c r="K7" s="265">
        <f>IFERROR(VLOOKUP($I$2&amp;$G7,Validation!$E:$O,5,FALSE),0)</f>
        <v>0</v>
      </c>
      <c r="L7" s="99">
        <f t="shared" ref="L7:L16" si="1">K7/K$6</f>
        <v>0</v>
      </c>
      <c r="M7" s="265">
        <f>IFERROR(VLOOKUP($I$2&amp;$G7,Validation!$E:$O,6,FALSE),0)</f>
        <v>0</v>
      </c>
      <c r="N7" s="99">
        <f t="shared" ref="N7:N16" si="2">M7/M$6</f>
        <v>0</v>
      </c>
      <c r="O7" s="265">
        <f>IFERROR(VLOOKUP($I$2&amp;$G7,Validation!$E:$O,6,FALSE),0)</f>
        <v>0</v>
      </c>
      <c r="P7" s="99">
        <f t="shared" ref="P7:P16" si="3">O7/O$6</f>
        <v>0</v>
      </c>
      <c r="Q7" s="266">
        <f>IFERROR(VLOOKUP($I$2&amp;$G7,Validation!$E:$O,7,FALSE),0)</f>
        <v>0</v>
      </c>
      <c r="R7" s="99">
        <f t="shared" ref="R7:R16" si="4">Q7/Q$6</f>
        <v>0</v>
      </c>
      <c r="S7" s="266">
        <f>IFERROR(VLOOKUP($I$2&amp;$G7,Validation!$E:$O,7,FALSE),0)</f>
        <v>0</v>
      </c>
      <c r="T7" s="99">
        <f t="shared" ref="T7:T16" si="5">S7/S$6</f>
        <v>0</v>
      </c>
      <c r="U7" s="84"/>
      <c r="V7" s="265">
        <f>IFERROR(VLOOKUP($V$2&amp;$G7,Validation!$E:$O,9,FALSE),0)</f>
        <v>0</v>
      </c>
      <c r="W7" s="99">
        <f t="shared" ref="W7:W16" si="6">V7/V$6</f>
        <v>0</v>
      </c>
      <c r="X7" s="265">
        <f>IFERROR(VLOOKUP($V$2&amp;$G7,Validation!$E:$O,10,FALSE),0)</f>
        <v>0</v>
      </c>
      <c r="Y7" s="99">
        <f t="shared" ref="Y7:Y16" si="7">X7/X$6</f>
        <v>0</v>
      </c>
      <c r="Z7" s="265">
        <f>IFERROR(VLOOKUP($V$2&amp;$G7,Validation!$E:$O,5,FALSE),0)</f>
        <v>0</v>
      </c>
      <c r="AA7" s="99">
        <f t="shared" ref="AA7:AA16" si="8">Z7/Z$6</f>
        <v>0</v>
      </c>
      <c r="AB7" s="265">
        <f>IFERROR(VLOOKUP($V$2&amp;$G7,Validation!$E:$O,6,FALSE),0)</f>
        <v>0</v>
      </c>
      <c r="AC7" s="99">
        <f t="shared" ref="AC7:AC16" si="9">AB7/AB$6</f>
        <v>0</v>
      </c>
      <c r="AD7" s="265">
        <f>IFERROR(VLOOKUP($V$2&amp;$G7,Validation!$E:$O,7,FALSE),0)</f>
        <v>0</v>
      </c>
      <c r="AE7" s="99">
        <f t="shared" ref="AE7:AE16" si="10">AD7/AD$6</f>
        <v>0</v>
      </c>
      <c r="AF7" s="131"/>
      <c r="AG7" s="266">
        <f>IFERROR(VLOOKUP($AG$2&amp;$G7,Validation!E:O,8,FALSE),0)</f>
        <v>0</v>
      </c>
      <c r="AH7" s="99">
        <f t="shared" ref="AH7:AH16" si="11">AG7/AG$6</f>
        <v>0</v>
      </c>
      <c r="AI7" s="266">
        <f>IFERROR(VLOOKUP($AG$2&amp;$G7,Validation!E:O,11,FALSE),0)</f>
        <v>0</v>
      </c>
      <c r="AJ7" s="99">
        <f t="shared" ref="AJ7:AJ16" si="12">AI7/AI$6</f>
        <v>0</v>
      </c>
      <c r="AK7" s="131"/>
      <c r="AL7" s="265">
        <f>IFERROR(VLOOKUP($AL$2&amp;$G7,Validation!$E:$O,6,FALSE),0)</f>
        <v>0</v>
      </c>
      <c r="AM7" s="99">
        <f t="shared" ref="AM7:AM16" si="13">AL7/AL$6</f>
        <v>0</v>
      </c>
      <c r="AN7" s="265">
        <f>IFERROR(VLOOKUP($AL$2&amp;$G7,Validation!$E:$O,7,FALSE),0)</f>
        <v>0</v>
      </c>
      <c r="AO7" s="99">
        <f t="shared" ref="AO7:AO16" si="14">AN7/AN$6</f>
        <v>0</v>
      </c>
      <c r="AP7" s="84"/>
      <c r="AQ7" s="265">
        <f>IFERROR(VLOOKUP($AQ$2&amp;$G7,Validation!$E:$O,8,FALSE),0)</f>
        <v>0</v>
      </c>
      <c r="AR7" s="99">
        <f t="shared" ref="AR7:AR16" si="15">AQ7/AQ$6</f>
        <v>0</v>
      </c>
      <c r="AS7" s="265">
        <f>IFERROR(VLOOKUP($AQ$2&amp;$G7,Validation!$E:$O,11,FALSE),0)</f>
        <v>0</v>
      </c>
      <c r="AT7" s="99">
        <f t="shared" ref="AT7:AT16" si="16">AS7/AS$6</f>
        <v>0</v>
      </c>
      <c r="AU7" s="84"/>
      <c r="AV7" s="318">
        <v>75.63</v>
      </c>
      <c r="AW7" s="99">
        <f t="shared" ref="AW7:AW16" si="17">AV7/AV$6</f>
        <v>0.65765217391304343</v>
      </c>
      <c r="AX7" s="265">
        <f>IFERROR(VLOOKUP($AV$2&amp;$G7,Validation!$E:$O,7,FALSE),0)</f>
        <v>138.15774379999999</v>
      </c>
      <c r="AY7" s="99">
        <f t="shared" ref="AY7:AY16" si="18">AX7/AX$6</f>
        <v>0.57565726583333332</v>
      </c>
      <c r="AZ7" s="84"/>
      <c r="BA7" s="265">
        <f>IFERROR(VLOOKUP($BA$2&amp;$G7,Validation!$E:$L,8,FALSE),0)</f>
        <v>276.31548759999998</v>
      </c>
      <c r="BB7" s="99">
        <f t="shared" ref="BB7:BB16" si="19">BA7/BA$6</f>
        <v>0.50108714691929368</v>
      </c>
      <c r="BC7" s="265">
        <f>IFERROR(VLOOKUP($BA$2&amp;$G7,Validation!$E:$O,11,FALSE),0)</f>
        <v>1229.3292622253257</v>
      </c>
      <c r="BD7" s="99">
        <f t="shared" ref="BD7:BD16" si="20">BC7/BC$6</f>
        <v>0.57178105219782593</v>
      </c>
      <c r="BE7" s="84"/>
      <c r="BF7" s="265">
        <f>IFERROR(VLOOKUP($BF$2&amp;$G7,Validation!E:O,11,FALSE),0)</f>
        <v>0</v>
      </c>
      <c r="BG7" s="99">
        <f t="shared" ref="BG7:BG16" si="21">BF7/BF$6</f>
        <v>0</v>
      </c>
      <c r="BH7" s="84"/>
      <c r="BI7" s="84"/>
    </row>
    <row r="8" spans="1:61" x14ac:dyDescent="0.2">
      <c r="A8" s="84"/>
      <c r="B8" s="287" t="str">
        <f>'Pricing Trends'!R14</f>
        <v>RBD SOYA BEAN OIL</v>
      </c>
      <c r="C8" s="249">
        <f>'Pricing Trends'!S14</f>
        <v>45256</v>
      </c>
      <c r="D8" s="223">
        <f>'Pricing Trends'!U14</f>
        <v>68.754339999999999</v>
      </c>
      <c r="E8" s="220" t="b">
        <v>0</v>
      </c>
      <c r="F8" s="84"/>
      <c r="G8" s="245" t="s">
        <v>54</v>
      </c>
      <c r="H8" s="84"/>
      <c r="I8" s="265">
        <f>IFERROR(VLOOKUP($I$2&amp;$G8,Validation!$E:$O,4,FALSE),0)</f>
        <v>0</v>
      </c>
      <c r="J8" s="99">
        <f t="shared" si="0"/>
        <v>0</v>
      </c>
      <c r="K8" s="265">
        <f>IFERROR(VLOOKUP($I$2&amp;$G8,Validation!$E:$O,5,FALSE),0)</f>
        <v>0</v>
      </c>
      <c r="L8" s="99">
        <f t="shared" si="1"/>
        <v>0</v>
      </c>
      <c r="M8" s="265">
        <f>IFERROR(VLOOKUP($I$2&amp;$G8,Validation!$E:$O,6,FALSE),0)</f>
        <v>0</v>
      </c>
      <c r="N8" s="99">
        <f t="shared" si="2"/>
        <v>0</v>
      </c>
      <c r="O8" s="265">
        <f>IFERROR(VLOOKUP($I$2&amp;$G8,Validation!$E:$O,6,FALSE),0)</f>
        <v>0</v>
      </c>
      <c r="P8" s="99">
        <f t="shared" si="3"/>
        <v>0</v>
      </c>
      <c r="Q8" s="266">
        <f>IFERROR(VLOOKUP($I$2&amp;$G8,Validation!$E:$O,7,FALSE),0)</f>
        <v>0</v>
      </c>
      <c r="R8" s="99">
        <f t="shared" si="4"/>
        <v>0</v>
      </c>
      <c r="S8" s="266">
        <f>IFERROR(VLOOKUP($I$2&amp;$G8,Validation!$E:$O,7,FALSE),0)</f>
        <v>0</v>
      </c>
      <c r="T8" s="99">
        <f t="shared" si="5"/>
        <v>0</v>
      </c>
      <c r="U8" s="84"/>
      <c r="V8" s="265">
        <f>IFERROR(VLOOKUP($V$2&amp;$G8,Validation!$E:$O,9,FALSE),0)</f>
        <v>0</v>
      </c>
      <c r="W8" s="99">
        <f t="shared" si="6"/>
        <v>0</v>
      </c>
      <c r="X8" s="265">
        <f>IFERROR(VLOOKUP($V$2&amp;$G8,Validation!$E:$O,10,FALSE),0)</f>
        <v>0</v>
      </c>
      <c r="Y8" s="99">
        <f t="shared" si="7"/>
        <v>0</v>
      </c>
      <c r="Z8" s="265">
        <f>IFERROR(VLOOKUP($V$2&amp;$G8,Validation!$E:$O,5,FALSE),0)</f>
        <v>0</v>
      </c>
      <c r="AA8" s="99">
        <f t="shared" si="8"/>
        <v>0</v>
      </c>
      <c r="AB8" s="265">
        <f>IFERROR(VLOOKUP($V$2&amp;$G8,Validation!$E:$O,6,FALSE),0)</f>
        <v>0</v>
      </c>
      <c r="AC8" s="99">
        <f t="shared" si="9"/>
        <v>0</v>
      </c>
      <c r="AD8" s="265">
        <f>IFERROR(VLOOKUP($V$2&amp;$G8,Validation!$E:$O,7,FALSE),0)</f>
        <v>0</v>
      </c>
      <c r="AE8" s="99">
        <f t="shared" si="10"/>
        <v>0</v>
      </c>
      <c r="AF8" s="131"/>
      <c r="AG8" s="266">
        <f>IFERROR(VLOOKUP($AG$2&amp;$G8,Validation!E:O,8,FALSE),0)</f>
        <v>0</v>
      </c>
      <c r="AH8" s="99">
        <f t="shared" si="11"/>
        <v>0</v>
      </c>
      <c r="AI8" s="266">
        <f>IFERROR(VLOOKUP($AG$2&amp;$G8,Validation!E:O,11,FALSE),0)</f>
        <v>0</v>
      </c>
      <c r="AJ8" s="99">
        <f t="shared" si="12"/>
        <v>0</v>
      </c>
      <c r="AK8" s="131"/>
      <c r="AL8" s="265">
        <f>IFERROR(VLOOKUP($AL$2&amp;$G8,Validation!$E:$O,6,FALSE),0)</f>
        <v>0</v>
      </c>
      <c r="AM8" s="99">
        <f t="shared" si="13"/>
        <v>0</v>
      </c>
      <c r="AN8" s="265">
        <f>IFERROR(VLOOKUP($AL$2&amp;$G8,Validation!$E:$O,7,FALSE),0)</f>
        <v>0</v>
      </c>
      <c r="AO8" s="99">
        <f t="shared" si="14"/>
        <v>0</v>
      </c>
      <c r="AP8" s="84"/>
      <c r="AQ8" s="265">
        <f>IFERROR(VLOOKUP($AQ$2&amp;$G8,Validation!$E:$O,8,FALSE),0)</f>
        <v>0</v>
      </c>
      <c r="AR8" s="99">
        <f t="shared" si="15"/>
        <v>0</v>
      </c>
      <c r="AS8" s="265">
        <f>IFERROR(VLOOKUP($AQ$2&amp;$G8,Validation!$E:$O,11,FALSE),0)</f>
        <v>0</v>
      </c>
      <c r="AT8" s="99">
        <f t="shared" si="16"/>
        <v>0</v>
      </c>
      <c r="AU8" s="84"/>
      <c r="AV8" s="265">
        <f>IFERROR(VLOOKUP($AV$2&amp;$G8,Validation!$E:$O,6,FALSE),0)</f>
        <v>0</v>
      </c>
      <c r="AW8" s="99">
        <f t="shared" si="17"/>
        <v>0</v>
      </c>
      <c r="AX8" s="265">
        <f>IFERROR(VLOOKUP($AV$2&amp;$G8,Validation!$E:$O,7,FALSE),0)</f>
        <v>0</v>
      </c>
      <c r="AY8" s="99">
        <f t="shared" si="18"/>
        <v>0</v>
      </c>
      <c r="AZ8" s="84"/>
      <c r="BA8" s="265">
        <f>IFERROR(VLOOKUP($BA$2&amp;$G8,Validation!$E:$L,8,FALSE),0)</f>
        <v>0</v>
      </c>
      <c r="BB8" s="99">
        <f t="shared" si="19"/>
        <v>0</v>
      </c>
      <c r="BC8" s="265">
        <f>IFERROR(VLOOKUP($BA$2&amp;$G8,Validation!$E:$O,11,FALSE),0)</f>
        <v>0</v>
      </c>
      <c r="BD8" s="99">
        <f t="shared" si="20"/>
        <v>0</v>
      </c>
      <c r="BE8" s="84"/>
      <c r="BF8" s="265">
        <f>IFERROR(VLOOKUP($BF$2&amp;$G8,Validation!E:O,11,FALSE),0)</f>
        <v>0</v>
      </c>
      <c r="BG8" s="99">
        <f t="shared" si="21"/>
        <v>0</v>
      </c>
      <c r="BH8" s="84"/>
      <c r="BI8" s="84"/>
    </row>
    <row r="9" spans="1:61" x14ac:dyDescent="0.2">
      <c r="A9" s="84"/>
      <c r="B9" s="287" t="str">
        <f>'Pricing Trends'!R15</f>
        <v>RBD SOYA BEAN OIL</v>
      </c>
      <c r="C9" s="249">
        <f>'Pricing Trends'!S15</f>
        <v>45132</v>
      </c>
      <c r="D9" s="223">
        <f>'Pricing Trends'!U15</f>
        <v>64.592929999999996</v>
      </c>
      <c r="E9" s="220" t="b">
        <v>0</v>
      </c>
      <c r="F9" s="84"/>
      <c r="G9" s="245" t="s">
        <v>58</v>
      </c>
      <c r="H9" s="84"/>
      <c r="I9" s="318">
        <f>M9*(350/1000)</f>
        <v>28.828280308196568</v>
      </c>
      <c r="J9" s="99">
        <f t="shared" si="0"/>
        <v>0.82366515166275911</v>
      </c>
      <c r="K9" s="318">
        <f>M9/2</f>
        <v>41.183257583137959</v>
      </c>
      <c r="L9" s="99">
        <f t="shared" si="1"/>
        <v>0.80751485457133254</v>
      </c>
      <c r="M9" s="318">
        <f>PALM!DR10</f>
        <v>82.366515166275917</v>
      </c>
      <c r="N9" s="99">
        <f t="shared" si="2"/>
        <v>0.9051265402887464</v>
      </c>
      <c r="O9" s="265">
        <f>IFERROR(VLOOKUP($I$2&amp;$G9,Validation!$E:$O,6,FALSE),0)</f>
        <v>60.65316</v>
      </c>
      <c r="P9" s="99">
        <f t="shared" si="3"/>
        <v>0.51902284380644315</v>
      </c>
      <c r="Q9" s="266">
        <f>IFERROR(VLOOKUP($I$2&amp;$G9,Validation!$E:$O,7,FALSE),0)</f>
        <v>121.30632</v>
      </c>
      <c r="R9" s="99">
        <f t="shared" si="4"/>
        <v>0.53623025849636918</v>
      </c>
      <c r="S9" s="266">
        <f>IFERROR(VLOOKUP($I$2&amp;$G9,Validation!$E:$O,7,FALSE),0)</f>
        <v>121.30632</v>
      </c>
      <c r="T9" s="99">
        <f t="shared" si="5"/>
        <v>0.53623025849636918</v>
      </c>
      <c r="U9" s="84"/>
      <c r="V9" s="265">
        <f>IFERROR(VLOOKUP($V$2&amp;$G9,Validation!$E:$O,9,FALSE),0)</f>
        <v>10.9175688</v>
      </c>
      <c r="W9" s="99">
        <f t="shared" si="6"/>
        <v>0.54587843999999996</v>
      </c>
      <c r="X9" s="265">
        <f>IFERROR(VLOOKUP($V$2&amp;$G9,Validation!$E:$O,10,FALSE),0)</f>
        <v>18.195947999999998</v>
      </c>
      <c r="Y9" s="99">
        <f t="shared" si="7"/>
        <v>0.58696606451612898</v>
      </c>
      <c r="Z9" s="265">
        <f>IFERROR(VLOOKUP($V$2&amp;$G9,Validation!$E:$O,5,FALSE),0)</f>
        <v>30.32658</v>
      </c>
      <c r="AA9" s="99">
        <f t="shared" si="8"/>
        <v>0.61265818181818177</v>
      </c>
      <c r="AB9" s="265">
        <f>IFERROR(VLOOKUP($V$2&amp;$G9,Validation!$E:$O,6,FALSE),0)</f>
        <v>60.65316</v>
      </c>
      <c r="AC9" s="99">
        <f t="shared" si="9"/>
        <v>0.63845431578947365</v>
      </c>
      <c r="AD9" s="265">
        <f>IFERROR(VLOOKUP($V$2&amp;$G9,Validation!$E:$O,7,FALSE),0)</f>
        <v>121.30632</v>
      </c>
      <c r="AE9" s="99">
        <f t="shared" si="10"/>
        <v>0.67392399999999997</v>
      </c>
      <c r="AF9" s="131"/>
      <c r="AG9" s="266">
        <f>IFERROR(VLOOKUP($AG$2&amp;$G9,Validation!E:O,8,FALSE),0)</f>
        <v>242.61264</v>
      </c>
      <c r="AH9" s="99">
        <f t="shared" si="11"/>
        <v>0.54222244592612345</v>
      </c>
      <c r="AI9" s="266">
        <f>IFERROR(VLOOKUP($AG$2&amp;$G9,Validation!E:O,11,FALSE),0)</f>
        <v>1079.3850910358401</v>
      </c>
      <c r="AJ9" s="99">
        <f t="shared" si="12"/>
        <v>0.67461568189740007</v>
      </c>
      <c r="AK9" s="131"/>
      <c r="AL9" s="265">
        <f>IFERROR(VLOOKUP($AL$2&amp;$G9,Validation!$E:$O,6,FALSE),0)</f>
        <v>0</v>
      </c>
      <c r="AM9" s="99">
        <f t="shared" si="13"/>
        <v>0</v>
      </c>
      <c r="AN9" s="265">
        <f>IFERROR(VLOOKUP($AL$2&amp;$G9,Validation!$E:$O,7,FALSE),0)</f>
        <v>0</v>
      </c>
      <c r="AO9" s="99">
        <f t="shared" si="14"/>
        <v>0</v>
      </c>
      <c r="AP9" s="84"/>
      <c r="AQ9" s="265">
        <f>IFERROR(VLOOKUP($AQ$2&amp;$G9,Validation!$E:$O,8,FALSE),0)</f>
        <v>0</v>
      </c>
      <c r="AR9" s="99">
        <f t="shared" si="15"/>
        <v>0</v>
      </c>
      <c r="AS9" s="265">
        <f>IFERROR(VLOOKUP($AQ$2&amp;$G9,Validation!$E:$O,11,FALSE),0)</f>
        <v>0</v>
      </c>
      <c r="AT9" s="99">
        <f t="shared" si="16"/>
        <v>0</v>
      </c>
      <c r="AU9" s="84"/>
      <c r="AV9" s="265">
        <f>IFERROR(VLOOKUP($AV$2&amp;$G9,Validation!$E:$O,6,FALSE),0)</f>
        <v>0</v>
      </c>
      <c r="AW9" s="99">
        <f t="shared" si="17"/>
        <v>0</v>
      </c>
      <c r="AX9" s="265">
        <f>IFERROR(VLOOKUP($AV$2&amp;$G9,Validation!$E:$O,7,FALSE),0)</f>
        <v>0</v>
      </c>
      <c r="AY9" s="99">
        <f t="shared" si="18"/>
        <v>0</v>
      </c>
      <c r="AZ9" s="84"/>
      <c r="BA9" s="265">
        <f>IFERROR(VLOOKUP($BA$2&amp;$G9,Validation!$E:$L,8,FALSE),0)</f>
        <v>0</v>
      </c>
      <c r="BB9" s="99">
        <f t="shared" si="19"/>
        <v>0</v>
      </c>
      <c r="BC9" s="265">
        <f>IFERROR(VLOOKUP($BA$2&amp;$G9,Validation!$E:$O,11,FALSE),0)</f>
        <v>0</v>
      </c>
      <c r="BD9" s="99">
        <f t="shared" si="20"/>
        <v>0</v>
      </c>
      <c r="BE9" s="84"/>
      <c r="BF9" s="265">
        <f>IFERROR(VLOOKUP($BF$2&amp;$G9,Validation!E:O,11,FALSE),0)</f>
        <v>0</v>
      </c>
      <c r="BG9" s="99">
        <f t="shared" si="21"/>
        <v>0</v>
      </c>
      <c r="BH9" s="84"/>
      <c r="BI9" s="84"/>
    </row>
    <row r="10" spans="1:61" x14ac:dyDescent="0.2">
      <c r="A10" s="84"/>
      <c r="B10" s="287" t="str">
        <f>'Pricing Trends'!R16</f>
        <v>RBD SOYA BEAN OIL</v>
      </c>
      <c r="C10" s="249">
        <f>'Pricing Trends'!S16</f>
        <v>44961</v>
      </c>
      <c r="D10" s="223">
        <f>'Pricing Trends'!U16</f>
        <v>81.901482099999996</v>
      </c>
      <c r="E10" s="220" t="b">
        <v>0</v>
      </c>
      <c r="F10" s="84"/>
      <c r="G10" s="245" t="s">
        <v>62</v>
      </c>
      <c r="H10" s="84"/>
      <c r="I10" s="265">
        <f>IFERROR(VLOOKUP($I$2&amp;$G10,Validation!$E:$O,4,FALSE),0)</f>
        <v>0</v>
      </c>
      <c r="J10" s="99">
        <f t="shared" si="0"/>
        <v>0</v>
      </c>
      <c r="K10" s="265">
        <f>IFERROR(VLOOKUP($I$2&amp;$G10,Validation!$E:$O,5,FALSE),0)</f>
        <v>0</v>
      </c>
      <c r="L10" s="99">
        <f t="shared" si="1"/>
        <v>0</v>
      </c>
      <c r="M10" s="265">
        <f>IFERROR(VLOOKUP($I$2&amp;$G10,Validation!$E:$O,6,FALSE),0)</f>
        <v>0</v>
      </c>
      <c r="N10" s="99">
        <f t="shared" si="2"/>
        <v>0</v>
      </c>
      <c r="O10" s="265">
        <f>IFERROR(VLOOKUP($I$2&amp;$G10,Validation!$E:$O,6,FALSE),0)</f>
        <v>0</v>
      </c>
      <c r="P10" s="99">
        <f t="shared" si="3"/>
        <v>0</v>
      </c>
      <c r="Q10" s="266">
        <f>IFERROR(VLOOKUP($I$2&amp;$G10,Validation!$E:$O,7,FALSE),0)</f>
        <v>0</v>
      </c>
      <c r="R10" s="99">
        <f t="shared" si="4"/>
        <v>0</v>
      </c>
      <c r="S10" s="266">
        <f>IFERROR(VLOOKUP($I$2&amp;$G10,Validation!$E:$O,7,FALSE),0)</f>
        <v>0</v>
      </c>
      <c r="T10" s="99">
        <f t="shared" si="5"/>
        <v>0</v>
      </c>
      <c r="U10" s="84"/>
      <c r="V10" s="265">
        <f>IFERROR(VLOOKUP($V$2&amp;$G10,Validation!$E:$O,9,FALSE),0)</f>
        <v>0</v>
      </c>
      <c r="W10" s="99">
        <f t="shared" si="6"/>
        <v>0</v>
      </c>
      <c r="X10" s="265">
        <f>IFERROR(VLOOKUP($V$2&amp;$G10,Validation!$E:$O,10,FALSE),0)</f>
        <v>0</v>
      </c>
      <c r="Y10" s="99">
        <f t="shared" si="7"/>
        <v>0</v>
      </c>
      <c r="Z10" s="265">
        <f>IFERROR(VLOOKUP($V$2&amp;$G10,Validation!$E:$O,5,FALSE),0)</f>
        <v>0</v>
      </c>
      <c r="AA10" s="99">
        <f t="shared" si="8"/>
        <v>0</v>
      </c>
      <c r="AB10" s="265">
        <f>IFERROR(VLOOKUP($V$2&amp;$G10,Validation!$E:$O,6,FALSE),0)</f>
        <v>0</v>
      </c>
      <c r="AC10" s="99">
        <f t="shared" si="9"/>
        <v>0</v>
      </c>
      <c r="AD10" s="265">
        <f>IFERROR(VLOOKUP($V$2&amp;$G10,Validation!$E:$O,7,FALSE),0)</f>
        <v>0</v>
      </c>
      <c r="AE10" s="99">
        <f t="shared" si="10"/>
        <v>0</v>
      </c>
      <c r="AF10" s="131"/>
      <c r="AG10" s="266">
        <f>IFERROR(VLOOKUP($AG$2&amp;$G10,Validation!E:O,8,FALSE),0)</f>
        <v>0</v>
      </c>
      <c r="AH10" s="99">
        <f t="shared" si="11"/>
        <v>0</v>
      </c>
      <c r="AI10" s="266">
        <f>IFERROR(VLOOKUP($AG$2&amp;$G10,Validation!E:O,11,FALSE),0)</f>
        <v>0</v>
      </c>
      <c r="AJ10" s="99">
        <f t="shared" si="12"/>
        <v>0</v>
      </c>
      <c r="AK10" s="131"/>
      <c r="AL10" s="318">
        <v>75.239999999999995</v>
      </c>
      <c r="AM10" s="99">
        <f t="shared" si="13"/>
        <v>0.69345622119815664</v>
      </c>
      <c r="AN10" s="265">
        <f>IFERROR(VLOOKUP($AL$2&amp;$G10,Validation!$E:$O,7,FALSE),0)</f>
        <v>166.44008251270841</v>
      </c>
      <c r="AO10" s="99">
        <f t="shared" si="14"/>
        <v>0.73321622252294461</v>
      </c>
      <c r="AP10" s="84"/>
      <c r="AQ10" s="265">
        <f>IFERROR(VLOOKUP($AQ$2&amp;$G10,Validation!$E:$O,8,FALSE),0)</f>
        <v>332.88016502541683</v>
      </c>
      <c r="AR10" s="99">
        <f t="shared" si="15"/>
        <v>0.62110302271744899</v>
      </c>
      <c r="AS10" s="265">
        <f>IFERROR(VLOOKUP($AQ$2&amp;$G10,Validation!$E:$O,11,FALSE),0)</f>
        <v>1480.9858514790699</v>
      </c>
      <c r="AT10" s="99">
        <f t="shared" si="16"/>
        <v>0.74880844350465414</v>
      </c>
      <c r="AU10" s="84"/>
      <c r="AV10" s="265">
        <f>IFERROR(VLOOKUP($AV$2&amp;$G10,Validation!$E:$O,6,FALSE),0)</f>
        <v>0</v>
      </c>
      <c r="AW10" s="99">
        <f t="shared" si="17"/>
        <v>0</v>
      </c>
      <c r="AX10" s="265">
        <f>IFERROR(VLOOKUP($AV$2&amp;$G10,Validation!$E:$O,7,FALSE),0)</f>
        <v>0</v>
      </c>
      <c r="AY10" s="99">
        <f t="shared" si="18"/>
        <v>0</v>
      </c>
      <c r="AZ10" s="84"/>
      <c r="BA10" s="265">
        <f>IFERROR(VLOOKUP($BA$2&amp;$G10,Validation!$E:$L,8,FALSE),0)</f>
        <v>0</v>
      </c>
      <c r="BB10" s="99">
        <f t="shared" si="19"/>
        <v>0</v>
      </c>
      <c r="BC10" s="265">
        <f>IFERROR(VLOOKUP($BA$2&amp;$G10,Validation!$E:$O,11,FALSE),0)</f>
        <v>0</v>
      </c>
      <c r="BD10" s="99">
        <f t="shared" si="20"/>
        <v>0</v>
      </c>
      <c r="BE10" s="84"/>
      <c r="BF10" s="265">
        <f>IFERROR(VLOOKUP($BF$2&amp;$G10,Validation!E:O,11,FALSE),0)</f>
        <v>0</v>
      </c>
      <c r="BG10" s="99">
        <f t="shared" si="21"/>
        <v>0</v>
      </c>
      <c r="BH10" s="84"/>
      <c r="BI10" s="84"/>
    </row>
    <row r="11" spans="1:61" x14ac:dyDescent="0.2">
      <c r="A11" s="84"/>
      <c r="B11" s="287">
        <f>'Pricing Trends'!R17</f>
        <v>0</v>
      </c>
      <c r="C11" s="249">
        <f>'Pricing Trends'!S17</f>
        <v>0</v>
      </c>
      <c r="D11" s="223">
        <f>'Pricing Trends'!U17</f>
        <v>0</v>
      </c>
      <c r="E11" s="220" t="b">
        <v>0</v>
      </c>
      <c r="F11" s="84"/>
      <c r="G11" s="245" t="s">
        <v>67</v>
      </c>
      <c r="H11" s="84"/>
      <c r="I11" s="265">
        <f>IFERROR(VLOOKUP($I$2&amp;$G11,Validation!$E:$O,4,FALSE),0)</f>
        <v>0</v>
      </c>
      <c r="J11" s="99">
        <f t="shared" si="0"/>
        <v>0</v>
      </c>
      <c r="K11" s="265">
        <f>IFERROR(VLOOKUP($I$2&amp;$G11,Validation!$E:$O,5,FALSE),0)</f>
        <v>0</v>
      </c>
      <c r="L11" s="99">
        <f t="shared" si="1"/>
        <v>0</v>
      </c>
      <c r="M11" s="265">
        <f>IFERROR(VLOOKUP($I$2&amp;$G11,Validation!$E:$O,6,FALSE),0)</f>
        <v>0</v>
      </c>
      <c r="N11" s="99">
        <f t="shared" si="2"/>
        <v>0</v>
      </c>
      <c r="O11" s="265">
        <f>IFERROR(VLOOKUP($I$2&amp;$G11,Validation!$E:$O,6,FALSE),0)</f>
        <v>0</v>
      </c>
      <c r="P11" s="99">
        <f t="shared" si="3"/>
        <v>0</v>
      </c>
      <c r="Q11" s="266">
        <f>IFERROR(VLOOKUP($I$2&amp;$G11,Validation!$E:$O,7,FALSE),0)</f>
        <v>0</v>
      </c>
      <c r="R11" s="99">
        <f t="shared" si="4"/>
        <v>0</v>
      </c>
      <c r="S11" s="266">
        <f>IFERROR(VLOOKUP($I$2&amp;$G11,Validation!$E:$O,7,FALSE),0)</f>
        <v>0</v>
      </c>
      <c r="T11" s="99">
        <f t="shared" si="5"/>
        <v>0</v>
      </c>
      <c r="U11" s="84"/>
      <c r="V11" s="265">
        <f>IFERROR(VLOOKUP($V$2&amp;$G11,Validation!$E:$O,9,FALSE),0)</f>
        <v>0</v>
      </c>
      <c r="W11" s="99">
        <f t="shared" si="6"/>
        <v>0</v>
      </c>
      <c r="X11" s="265">
        <f>IFERROR(VLOOKUP($V$2&amp;$G11,Validation!$E:$O,10,FALSE),0)</f>
        <v>0</v>
      </c>
      <c r="Y11" s="99">
        <f t="shared" si="7"/>
        <v>0</v>
      </c>
      <c r="Z11" s="265">
        <f>IFERROR(VLOOKUP($V$2&amp;$G11,Validation!$E:$O,5,FALSE),0)</f>
        <v>0</v>
      </c>
      <c r="AA11" s="99">
        <f t="shared" si="8"/>
        <v>0</v>
      </c>
      <c r="AB11" s="265">
        <f>IFERROR(VLOOKUP($V$2&amp;$G11,Validation!$E:$O,6,FALSE),0)</f>
        <v>0</v>
      </c>
      <c r="AC11" s="99">
        <f t="shared" si="9"/>
        <v>0</v>
      </c>
      <c r="AD11" s="265">
        <f>IFERROR(VLOOKUP($V$2&amp;$G11,Validation!$E:$O,7,FALSE),0)</f>
        <v>0</v>
      </c>
      <c r="AE11" s="99">
        <f t="shared" si="10"/>
        <v>0</v>
      </c>
      <c r="AF11" s="131"/>
      <c r="AG11" s="266">
        <f>IFERROR(VLOOKUP($AG$2&amp;$G11,Validation!E:O,8,FALSE),0)</f>
        <v>0</v>
      </c>
      <c r="AH11" s="99">
        <f t="shared" si="11"/>
        <v>0</v>
      </c>
      <c r="AI11" s="266">
        <f>IFERROR(VLOOKUP($AG$2&amp;$G11,Validation!E:O,11,FALSE),0)</f>
        <v>0</v>
      </c>
      <c r="AJ11" s="99">
        <f t="shared" si="12"/>
        <v>0</v>
      </c>
      <c r="AK11" s="131"/>
      <c r="AL11" s="265">
        <f>IFERROR(VLOOKUP($AL$2&amp;$G11,Validation!$E:$O,6,FALSE),0)</f>
        <v>0</v>
      </c>
      <c r="AM11" s="99">
        <f t="shared" si="13"/>
        <v>0</v>
      </c>
      <c r="AN11" s="265">
        <f>IFERROR(VLOOKUP($AL$2&amp;$G11,Validation!$E:$O,7,FALSE),0)</f>
        <v>0</v>
      </c>
      <c r="AO11" s="99">
        <f t="shared" si="14"/>
        <v>0</v>
      </c>
      <c r="AP11" s="84"/>
      <c r="AQ11" s="265">
        <f>IFERROR(VLOOKUP($AQ$2&amp;$G11,Validation!$E:$O,8,FALSE),0)</f>
        <v>0</v>
      </c>
      <c r="AR11" s="99">
        <f t="shared" si="15"/>
        <v>0</v>
      </c>
      <c r="AS11" s="265">
        <f>IFERROR(VLOOKUP($AQ$2&amp;$G11,Validation!$E:$O,11,FALSE),0)</f>
        <v>0</v>
      </c>
      <c r="AT11" s="99">
        <f t="shared" si="16"/>
        <v>0</v>
      </c>
      <c r="AU11" s="84"/>
      <c r="AV11" s="265">
        <f>IFERROR(VLOOKUP($AV$2&amp;$G11,Validation!$E:$O,6,FALSE),0)</f>
        <v>0</v>
      </c>
      <c r="AW11" s="99">
        <f t="shared" si="17"/>
        <v>0</v>
      </c>
      <c r="AX11" s="265">
        <f>IFERROR(VLOOKUP($AV$2&amp;$G11,Validation!$E:$O,7,FALSE),0)</f>
        <v>0</v>
      </c>
      <c r="AY11" s="99">
        <f t="shared" si="18"/>
        <v>0</v>
      </c>
      <c r="AZ11" s="84"/>
      <c r="BA11" s="265">
        <f>IFERROR(VLOOKUP($I$2&amp;$G11,Validation!$E:$K,4,FALSE),0)</f>
        <v>0</v>
      </c>
      <c r="BB11" s="99">
        <f t="shared" si="19"/>
        <v>0</v>
      </c>
      <c r="BC11" s="265">
        <f>IFERROR(VLOOKUP($BA$2&amp;$G11,Validation!$E:$O,11,FALSE),0)</f>
        <v>0</v>
      </c>
      <c r="BD11" s="99">
        <f t="shared" si="20"/>
        <v>0</v>
      </c>
      <c r="BE11" s="84"/>
      <c r="BF11" s="265">
        <f>IFERROR(VLOOKUP($BF$2&amp;$G11,Validation!E:O,11,FALSE),0)</f>
        <v>1519.02</v>
      </c>
      <c r="BG11" s="99">
        <f t="shared" si="21"/>
        <v>1.0476000000000001</v>
      </c>
      <c r="BH11" s="84"/>
      <c r="BI11" s="84"/>
    </row>
    <row r="12" spans="1:61" x14ac:dyDescent="0.2">
      <c r="A12" s="84"/>
      <c r="B12" s="287" t="str">
        <f>'Pricing Trends'!R18</f>
        <v>RBD COCONUT OIL</v>
      </c>
      <c r="C12" s="249">
        <f>'Pricing Trends'!S18</f>
        <v>45468</v>
      </c>
      <c r="D12" s="223">
        <f>'Pricing Trends'!U18</f>
        <v>64.678485570000007</v>
      </c>
      <c r="E12" s="220" t="b">
        <v>0</v>
      </c>
      <c r="F12" s="84"/>
      <c r="G12" s="245" t="s">
        <v>73</v>
      </c>
      <c r="H12" s="84"/>
      <c r="I12" s="98">
        <f>IFERROR(VLOOKUP("350ML LABEL PALM",'Pricing Trends'!$K:$N,4,FALSE),0)</f>
        <v>0.3</v>
      </c>
      <c r="J12" s="99">
        <f t="shared" si="0"/>
        <v>8.5714285714285719E-3</v>
      </c>
      <c r="K12" s="98">
        <f>IFERROR(VLOOKUP("500ML LABEL PALM",'Pricing Trends'!$K:$N,4,FALSE),0)</f>
        <v>0.45</v>
      </c>
      <c r="L12" s="99">
        <f t="shared" si="1"/>
        <v>8.8235294117647058E-3</v>
      </c>
      <c r="M12" s="98">
        <f>IFERROR(VLOOKUP("1LITER LABEL PALM",'Pricing Trends'!$K:$N,4,FALSE),0)</f>
        <v>0.55000000000000004</v>
      </c>
      <c r="N12" s="99">
        <f t="shared" si="2"/>
        <v>6.0439560439560442E-3</v>
      </c>
      <c r="O12" s="98">
        <f>IFERROR(VLOOKUP("1LITER LABEL PALM MZL",'Pricing Trends'!$K:$N,4,FALSE),0)</f>
        <v>0.7</v>
      </c>
      <c r="P12" s="99">
        <f t="shared" si="3"/>
        <v>5.990058731721648E-3</v>
      </c>
      <c r="Q12" s="94">
        <f>IFERROR(VLOOKUP("2LITERS LABEL PALM",'Pricing Trends'!$K:$N,4,FALSE),0)</f>
        <v>1.02</v>
      </c>
      <c r="R12" s="99">
        <f t="shared" si="4"/>
        <v>4.5088735992180502E-3</v>
      </c>
      <c r="S12" s="94">
        <f>IFERROR(VLOOKUP("2LITERS LABEL PALM",'Pricing Trends'!$K:$N,4,FALSE),0)</f>
        <v>1.02</v>
      </c>
      <c r="T12" s="99">
        <f t="shared" si="5"/>
        <v>4.5088735992180502E-3</v>
      </c>
      <c r="U12" s="84"/>
      <c r="V12" s="252"/>
      <c r="W12" s="99">
        <f t="shared" si="6"/>
        <v>0</v>
      </c>
      <c r="X12" s="252"/>
      <c r="Y12" s="99">
        <f t="shared" si="7"/>
        <v>0</v>
      </c>
      <c r="Z12" s="252"/>
      <c r="AA12" s="99">
        <f t="shared" si="8"/>
        <v>0</v>
      </c>
      <c r="AB12" s="252"/>
      <c r="AC12" s="99">
        <f t="shared" si="9"/>
        <v>0</v>
      </c>
      <c r="AD12" s="252"/>
      <c r="AE12" s="99">
        <f t="shared" si="10"/>
        <v>0</v>
      </c>
      <c r="AF12" s="131"/>
      <c r="AG12" s="94">
        <f>IFERROR(VLOOKUP("4LITERS LABEL PALM",'Pricing Trends'!$K:$N,4,FALSE),0)</f>
        <v>7</v>
      </c>
      <c r="AH12" s="99">
        <f t="shared" si="11"/>
        <v>1.5644515147614998E-2</v>
      </c>
      <c r="AI12" s="251"/>
      <c r="AJ12" s="99">
        <f t="shared" si="12"/>
        <v>0</v>
      </c>
      <c r="AK12" s="131"/>
      <c r="AL12" s="98">
        <f>IFERROR(VLOOKUP("1LITER LABEL CANOLEIN",'Pricing Trends'!$K:$N,4,FALSE),0)</f>
        <v>0.72</v>
      </c>
      <c r="AM12" s="99">
        <f t="shared" si="13"/>
        <v>6.6359447004608295E-3</v>
      </c>
      <c r="AN12" s="98">
        <f>IFERROR(VLOOKUP("2LITERS LABEL CANOLEIN",'Pricing Trends'!$K:$N,4,FALSE),0)</f>
        <v>1.05</v>
      </c>
      <c r="AO12" s="99">
        <f t="shared" si="14"/>
        <v>4.6255506607929516E-3</v>
      </c>
      <c r="AP12" s="84"/>
      <c r="AQ12" s="98">
        <f>IFERROR(VLOOKUP("4LITERS LABEL CANOLA",'Pricing Trends'!$K:$N,4,FALSE),0)</f>
        <v>7</v>
      </c>
      <c r="AR12" s="99">
        <f t="shared" si="15"/>
        <v>1.3060919861927417E-2</v>
      </c>
      <c r="AS12" s="252"/>
      <c r="AT12" s="99">
        <f t="shared" si="16"/>
        <v>0</v>
      </c>
      <c r="AU12" s="84"/>
      <c r="AV12" s="98">
        <f>IFERROR(VLOOKUP("1LITER LABEL SOYA",'Pricing Trends'!$K:$N,4,FALSE),0)</f>
        <v>0.72</v>
      </c>
      <c r="AW12" s="99">
        <f t="shared" si="17"/>
        <v>6.2608695652173908E-3</v>
      </c>
      <c r="AX12" s="98">
        <f>IFERROR(VLOOKUP("2LITERS LABEL SOYA",'Pricing Trends'!$K:$N,4,FALSE),0)</f>
        <v>1.05</v>
      </c>
      <c r="AY12" s="99">
        <f t="shared" si="18"/>
        <v>4.3750000000000004E-3</v>
      </c>
      <c r="AZ12" s="84"/>
      <c r="BA12" s="98">
        <f>IFERROR(VLOOKUP("4LITERS LABEL SOYA",'Pricing Trends'!$K:$N,4,FALSE),0)</f>
        <v>7</v>
      </c>
      <c r="BB12" s="99">
        <f t="shared" si="19"/>
        <v>1.269422159033208E-2</v>
      </c>
      <c r="BC12" s="252"/>
      <c r="BD12" s="99">
        <f t="shared" si="20"/>
        <v>0</v>
      </c>
      <c r="BE12" s="84"/>
      <c r="BF12" s="252"/>
      <c r="BG12" s="99">
        <f t="shared" si="21"/>
        <v>0</v>
      </c>
      <c r="BH12" s="84"/>
      <c r="BI12" s="84"/>
    </row>
    <row r="13" spans="1:61" x14ac:dyDescent="0.2">
      <c r="A13" s="84"/>
      <c r="B13" s="287" t="str">
        <f>'Pricing Trends'!R19</f>
        <v>RBD COCONUT OIL</v>
      </c>
      <c r="C13" s="249">
        <f>'Pricing Trends'!S19</f>
        <v>45222</v>
      </c>
      <c r="D13" s="223">
        <f>'Pricing Trends'!U19</f>
        <v>51.478299999999997</v>
      </c>
      <c r="E13" s="220" t="b">
        <v>0</v>
      </c>
      <c r="F13" s="84"/>
      <c r="G13" s="245" t="s">
        <v>77</v>
      </c>
      <c r="H13" s="84"/>
      <c r="I13" s="318">
        <v>3.9</v>
      </c>
      <c r="J13" s="99">
        <f t="shared" si="0"/>
        <v>0.11142857142857143</v>
      </c>
      <c r="K13" s="318">
        <f>IFERROR(VLOOKUP("500ML BOTTLE PALM [SWAK]",'Pricing Trends'!$A:$D,4,FALSE),0)</f>
        <v>3.65</v>
      </c>
      <c r="L13" s="99">
        <f t="shared" si="1"/>
        <v>7.1568627450980388E-2</v>
      </c>
      <c r="M13" s="318">
        <v>9</v>
      </c>
      <c r="N13" s="99">
        <f t="shared" si="2"/>
        <v>9.8901098901098897E-2</v>
      </c>
      <c r="O13" s="98">
        <f>IFERROR(VLOOKUP("900ML BOTTLE PALM MAZOLA",'Pricing Trends'!$A:$D,4,FALSE),0)</f>
        <v>6.9</v>
      </c>
      <c r="P13" s="99">
        <f t="shared" si="3"/>
        <v>5.9044864641256245E-2</v>
      </c>
      <c r="Q13" s="94">
        <f>IFERROR(VLOOKUP("2LITERS BOTTLE PALM [NUTRI]",'Pricing Trends'!$A:$D,4,FALSE),0)</f>
        <v>15.75</v>
      </c>
      <c r="R13" s="99">
        <f t="shared" si="4"/>
        <v>6.9622312929102245E-2</v>
      </c>
      <c r="S13" s="94">
        <f>IFERROR(VLOOKUP("2LITERS BOTTLE PALM MAZOLA",'Pricing Trends'!$A:$D,4,FALSE),0)</f>
        <v>21.95</v>
      </c>
      <c r="T13" s="99">
        <f t="shared" si="5"/>
        <v>9.7029191669447262E-2</v>
      </c>
      <c r="U13" s="84"/>
      <c r="V13" s="98">
        <f>IFERROR(VLOOKUP("180ML POUCH PALM [SUP]",'Pricing Trends'!$A:$D,4,FALSE),0)</f>
        <v>2.1</v>
      </c>
      <c r="W13" s="99">
        <f t="shared" si="6"/>
        <v>0.10500000000000001</v>
      </c>
      <c r="X13" s="98">
        <f>IFERROR(VLOOKUP("300ML POUCH PALM [SUP]",'Pricing Trends'!$A:$D,4,FALSE),0)</f>
        <v>2.6</v>
      </c>
      <c r="Y13" s="99">
        <f t="shared" si="7"/>
        <v>8.387096774193549E-2</v>
      </c>
      <c r="Z13" s="98">
        <f>IFERROR(VLOOKUP("500ML POUCH PALM [SUP]",'Pricing Trends'!$A:$D,4,FALSE),0)</f>
        <v>0</v>
      </c>
      <c r="AA13" s="99">
        <f t="shared" si="8"/>
        <v>0</v>
      </c>
      <c r="AB13" s="98">
        <f>IFERROR(VLOOKUP("1LITER POUCH PALM [SUP]",'Pricing Trends'!$A:$D,4,FALSE),0)</f>
        <v>4.7</v>
      </c>
      <c r="AC13" s="99">
        <f t="shared" si="9"/>
        <v>4.9473684210526316E-2</v>
      </c>
      <c r="AD13" s="98">
        <f>IFERROR(VLOOKUP("2LITERS POUCH PALM [SUP]",'Pricing Trends'!$A:$D,4,FALSE),0)</f>
        <v>6.17</v>
      </c>
      <c r="AE13" s="99">
        <f t="shared" si="10"/>
        <v>3.4277777777777775E-2</v>
      </c>
      <c r="AF13" s="131"/>
      <c r="AG13" s="94">
        <f>IFERROR(VLOOKUP("4LITERS BOTTLE GODZILLA",'Pricing Trends'!$A:$D,4,FALSE),0)</f>
        <v>32.479999999999997</v>
      </c>
      <c r="AH13" s="99">
        <f t="shared" si="11"/>
        <v>7.259055028493358E-2</v>
      </c>
      <c r="AI13" s="251"/>
      <c r="AJ13" s="99">
        <f t="shared" si="12"/>
        <v>0</v>
      </c>
      <c r="AK13" s="131"/>
      <c r="AL13" s="318">
        <f>IFERROR(VLOOKUP("1LITER BOTTLE CANSOY [NUTRI]",'Pricing Trends'!$A:$D,4,FALSE),0)</f>
        <v>6.6</v>
      </c>
      <c r="AM13" s="99">
        <f t="shared" si="13"/>
        <v>6.0829493087557598E-2</v>
      </c>
      <c r="AN13" s="98">
        <f>IFERROR(VLOOKUP("2LITERS BOTTLE CANOLEIN [ROUND]",'Pricing Trends'!$A:$D,4,FALSE),0)</f>
        <v>18.100000000000001</v>
      </c>
      <c r="AO13" s="99">
        <f t="shared" si="14"/>
        <v>7.9735682819383272E-2</v>
      </c>
      <c r="AP13" s="84"/>
      <c r="AQ13" s="98">
        <f>IFERROR(VLOOKUP("4LITERS BOTTLE GODZILLA",'Pricing Trends'!$A:$D,4,FALSE),0)</f>
        <v>32.479999999999997</v>
      </c>
      <c r="AR13" s="99">
        <f t="shared" si="15"/>
        <v>6.0602668159343211E-2</v>
      </c>
      <c r="AS13" s="252"/>
      <c r="AT13" s="99">
        <f t="shared" si="16"/>
        <v>0</v>
      </c>
      <c r="AU13" s="84"/>
      <c r="AV13" s="318">
        <f>IFERROR(VLOOKUP("1LITER BOTTLE CANSOY [NUTRI]",'Pricing Trends'!$A:$D,4,FALSE),0)</f>
        <v>6.6</v>
      </c>
      <c r="AW13" s="99">
        <f t="shared" si="17"/>
        <v>5.7391304347826085E-2</v>
      </c>
      <c r="AX13" s="98">
        <f>IFERROR(VLOOKUP("2LITERS BOTTLE SOYA [ROUND]",'Pricing Trends'!$A:$D,4,FALSE),0)</f>
        <v>19</v>
      </c>
      <c r="AY13" s="99">
        <f t="shared" si="18"/>
        <v>7.9166666666666663E-2</v>
      </c>
      <c r="AZ13" s="84"/>
      <c r="BA13" s="98">
        <f>IFERROR(VLOOKUP("4LITERS BOTTLE GODZILLA",'Pricing Trends'!$A:$D,4,FALSE),0)</f>
        <v>32.479999999999997</v>
      </c>
      <c r="BB13" s="99">
        <f t="shared" si="19"/>
        <v>5.8901188179140848E-2</v>
      </c>
      <c r="BC13" s="252"/>
      <c r="BD13" s="99">
        <f t="shared" si="20"/>
        <v>0</v>
      </c>
      <c r="BE13" s="84"/>
      <c r="BF13" s="252"/>
      <c r="BG13" s="99">
        <f t="shared" si="21"/>
        <v>0</v>
      </c>
      <c r="BH13" s="84"/>
      <c r="BI13" s="84"/>
    </row>
    <row r="14" spans="1:61" x14ac:dyDescent="0.2">
      <c r="A14" s="84"/>
      <c r="B14" s="287" t="str">
        <f>'Pricing Trends'!R20</f>
        <v>RBD COCONUT OIL</v>
      </c>
      <c r="C14" s="249">
        <f>'Pricing Trends'!S20</f>
        <v>45133</v>
      </c>
      <c r="D14" s="223">
        <f>'Pricing Trends'!U20</f>
        <v>54.558999999999997</v>
      </c>
      <c r="E14" s="220" t="b">
        <v>0</v>
      </c>
      <c r="F14" s="84"/>
      <c r="G14" s="245" t="s">
        <v>80</v>
      </c>
      <c r="H14" s="84"/>
      <c r="I14" s="318">
        <f>IFERROR(VLOOKUP("350ML BOX PALM",'Pricing Trends'!$F:$I,4,FALSE),0)/J5</f>
        <v>0.80555555555555558</v>
      </c>
      <c r="J14" s="99">
        <f t="shared" si="0"/>
        <v>2.3015873015873017E-2</v>
      </c>
      <c r="K14" s="318">
        <f>IFERROR(VLOOKUP("500ML BOX PALM",'Pricing Trends'!$F:$I,4,FALSE),0)/L5</f>
        <v>0.86249999999999993</v>
      </c>
      <c r="L14" s="99">
        <f t="shared" si="1"/>
        <v>1.6911764705882352E-2</v>
      </c>
      <c r="M14" s="318"/>
      <c r="N14" s="99">
        <f t="shared" si="2"/>
        <v>0</v>
      </c>
      <c r="O14" s="98">
        <f>IFERROR(VLOOKUP("1LITER BOX PALM MZL",'Pricing Trends'!$F:$I,4,FALSE),0)/P5</f>
        <v>1.375</v>
      </c>
      <c r="P14" s="99">
        <f t="shared" si="3"/>
        <v>1.1766186794453237E-2</v>
      </c>
      <c r="Q14" s="94">
        <f>IFERROR(VLOOKUP("2LITERS BOX PALM",'Pricing Trends'!$F:$I,4,FALSE),0)/R5</f>
        <v>4.5</v>
      </c>
      <c r="R14" s="99">
        <f t="shared" si="4"/>
        <v>1.9892089408314929E-2</v>
      </c>
      <c r="S14" s="94">
        <f>IFERROR(VLOOKUP("2LITERS BOX PALM MZL",'Pricing Trends'!$F:$I,4,FALSE),0)/T5</f>
        <v>2.8333333333333335</v>
      </c>
      <c r="T14" s="99">
        <f t="shared" si="5"/>
        <v>1.2524648886716807E-2</v>
      </c>
      <c r="U14" s="84"/>
      <c r="V14" s="98">
        <f>IFERROR(VLOOKUP("180ML BOX PALM SUP",'Pricing Trends'!$F:$I,4,FALSE),0)/W5</f>
        <v>0.52083333333333337</v>
      </c>
      <c r="W14" s="99">
        <f t="shared" si="6"/>
        <v>2.6041666666666668E-2</v>
      </c>
      <c r="X14" s="98">
        <f>IFERROR(VLOOKUP("300ML BOX PALM SUP",'Pricing Trends'!$F:$I,4,FALSE),0)/Y5</f>
        <v>0.69444444444444442</v>
      </c>
      <c r="Y14" s="99">
        <f t="shared" si="7"/>
        <v>2.2401433691756272E-2</v>
      </c>
      <c r="Z14" s="98">
        <f>IFERROR(VLOOKUP("500ML BOX PALM SUP",'Pricing Trends'!$F:$I,4,FALSE),0)/AA5</f>
        <v>0.91666666666666663</v>
      </c>
      <c r="AA14" s="99">
        <f t="shared" si="8"/>
        <v>1.8518518518518517E-2</v>
      </c>
      <c r="AB14" s="98">
        <f>IFERROR(VLOOKUP("1LITER BOX PALM SUP",'Pricing Trends'!$F:$I,4,FALSE),0)/AC5</f>
        <v>2.5833333333333335</v>
      </c>
      <c r="AC14" s="99">
        <f t="shared" si="9"/>
        <v>2.7192982456140352E-2</v>
      </c>
      <c r="AD14" s="98">
        <f>IFERROR(VLOOKUP("2LITERS BOX PALM SUP",'Pricing Trends'!$F:$I,4,FALSE),0)/AE5</f>
        <v>4.5</v>
      </c>
      <c r="AE14" s="99">
        <f t="shared" si="10"/>
        <v>2.5000000000000001E-2</v>
      </c>
      <c r="AF14" s="131"/>
      <c r="AG14" s="94">
        <f>IFERROR(VLOOKUP("4LITERS BOX CHECK",'Pricing Trends'!$F:$I,4,FALSE),0)/AH5</f>
        <v>4</v>
      </c>
      <c r="AH14" s="99">
        <f t="shared" si="11"/>
        <v>8.9397229414942842E-3</v>
      </c>
      <c r="AI14" s="251"/>
      <c r="AJ14" s="99">
        <f t="shared" si="12"/>
        <v>0</v>
      </c>
      <c r="AK14" s="131"/>
      <c r="AL14" s="318">
        <f>IFERROR(VLOOKUP("1LITER BOX CANOLEIN",'Pricing Trends'!$F:$I,4,FALSE),0)/AM5</f>
        <v>1.25</v>
      </c>
      <c r="AM14" s="99">
        <f t="shared" si="13"/>
        <v>1.1520737327188941E-2</v>
      </c>
      <c r="AN14" s="98">
        <f>IFERROR(VLOOKUP("2LITERS BOX CANOLEIN",'Pricing Trends'!$F:$I,4,FALSE),0)/AO5</f>
        <v>2.7333333333333329</v>
      </c>
      <c r="AO14" s="99">
        <f t="shared" si="14"/>
        <v>1.2041116005873714E-2</v>
      </c>
      <c r="AP14" s="84"/>
      <c r="AQ14" s="98">
        <f>IFERROR(VLOOKUP("4LITERS BOX CHECK",'Pricing Trends'!$F:$I,4,FALSE),0)/AR5</f>
        <v>4</v>
      </c>
      <c r="AR14" s="99">
        <f t="shared" si="15"/>
        <v>7.4633827782442383E-3</v>
      </c>
      <c r="AS14" s="252"/>
      <c r="AT14" s="99">
        <f t="shared" si="16"/>
        <v>0</v>
      </c>
      <c r="AU14" s="84"/>
      <c r="AV14" s="318">
        <f>IFERROR(VLOOKUP("1LITER BOX SOYA",'Pricing Trends'!$F:$I,4,FALSE),0)/AW5</f>
        <v>1.25</v>
      </c>
      <c r="AW14" s="99">
        <f t="shared" si="17"/>
        <v>1.0869565217391304E-2</v>
      </c>
      <c r="AX14" s="98">
        <f>IFERROR(VLOOKUP("2LITERS BOX CANOLEIN",'Pricing Trends'!$F:$I,4,FALSE),0)/AY5</f>
        <v>2.7333333333333329</v>
      </c>
      <c r="AY14" s="99">
        <f t="shared" si="18"/>
        <v>1.1388888888888888E-2</v>
      </c>
      <c r="AZ14" s="84"/>
      <c r="BA14" s="98">
        <f>IFERROR(VLOOKUP("4LITERS BOX CHECK",'Pricing Trends'!$F:$I,4,FALSE),0)/BB5</f>
        <v>4</v>
      </c>
      <c r="BB14" s="99">
        <f t="shared" si="19"/>
        <v>7.2538409087611888E-3</v>
      </c>
      <c r="BC14" s="252"/>
      <c r="BD14" s="99">
        <f t="shared" si="20"/>
        <v>0</v>
      </c>
      <c r="BE14" s="84"/>
      <c r="BF14" s="252"/>
      <c r="BG14" s="99">
        <f t="shared" si="21"/>
        <v>0</v>
      </c>
      <c r="BH14" s="84"/>
      <c r="BI14" s="84"/>
    </row>
    <row r="15" spans="1:61" x14ac:dyDescent="0.2">
      <c r="A15" s="84"/>
      <c r="B15" s="287" t="str">
        <f>'Pricing Trends'!R21</f>
        <v>RBD COCONUT OIL</v>
      </c>
      <c r="C15" s="249">
        <f>'Pricing Trends'!S21</f>
        <v>44965</v>
      </c>
      <c r="D15" s="223">
        <f>'Pricing Trends'!U21</f>
        <v>52.798299999999998</v>
      </c>
      <c r="E15" s="220" t="b">
        <v>0</v>
      </c>
      <c r="F15" s="84"/>
      <c r="G15" s="245" t="s">
        <v>87</v>
      </c>
      <c r="H15" s="84"/>
      <c r="I15" s="98">
        <f>((IFERROR(VLOOKUP($G$15,'Pricing Trends'!$W:$Z,4,FALSE),0)/10000)*200)/J5</f>
        <v>1.3888888888888888E-2</v>
      </c>
      <c r="J15" s="99">
        <f t="shared" si="0"/>
        <v>3.9682539682539683E-4</v>
      </c>
      <c r="K15" s="98">
        <f>((IFERROR(VLOOKUP($G$15,'Pricing Trends'!$W:$Z,4,FALSE),0)/10000)*200)/L5</f>
        <v>2.0833333333333332E-2</v>
      </c>
      <c r="L15" s="99">
        <f t="shared" si="1"/>
        <v>4.0849673202614375E-4</v>
      </c>
      <c r="M15" s="98">
        <f>((IFERROR(VLOOKUP($G$15,'Pricing Trends'!$W:$Z,4,FALSE),0)/10000)*200)/N5</f>
        <v>4.1666666666666664E-2</v>
      </c>
      <c r="N15" s="99">
        <f t="shared" si="2"/>
        <v>4.5787545787545788E-4</v>
      </c>
      <c r="O15" s="98">
        <f>((IFERROR(VLOOKUP($G$15,'Pricing Trends'!$W:$Z,4,FALSE),0)/10000)*200)/P5</f>
        <v>4.1666666666666664E-2</v>
      </c>
      <c r="P15" s="99">
        <f t="shared" si="3"/>
        <v>3.565511149834314E-4</v>
      </c>
      <c r="Q15" s="98">
        <f>((IFERROR(VLOOKUP($G$15,'Pricing Trends'!$W:$Z,4,FALSE),0)/10000)*200)/R5</f>
        <v>8.3333333333333329E-2</v>
      </c>
      <c r="R15" s="99">
        <f t="shared" si="4"/>
        <v>3.6837202607990609E-4</v>
      </c>
      <c r="S15" s="98">
        <f>((IFERROR(VLOOKUP($G$15,'Pricing Trends'!$W:$Z,4,FALSE),0)/10000)*200)/T5</f>
        <v>8.3333333333333329E-2</v>
      </c>
      <c r="T15" s="99">
        <f t="shared" si="5"/>
        <v>3.6837202607990609E-4</v>
      </c>
      <c r="U15" s="84"/>
      <c r="V15" s="98">
        <f>((IFERROR(VLOOKUP($G$15,'Pricing Trends'!$W:$Z,4,FALSE),0)/10000)*200)/W5</f>
        <v>1.0416666666666666E-2</v>
      </c>
      <c r="W15" s="99">
        <f t="shared" si="6"/>
        <v>5.2083333333333333E-4</v>
      </c>
      <c r="X15" s="98">
        <f>((IFERROR(VLOOKUP($G$15,'Pricing Trends'!$W:$Z,4,FALSE),0)/10000)*200)/Y5</f>
        <v>1.3888888888888888E-2</v>
      </c>
      <c r="Y15" s="99">
        <f t="shared" si="7"/>
        <v>4.4802867383512545E-4</v>
      </c>
      <c r="Z15" s="98">
        <f>((IFERROR(VLOOKUP($G$15,'Pricing Trends'!$W:$Z,4,FALSE),0)/10000)*200)/AA5</f>
        <v>2.0833333333333332E-2</v>
      </c>
      <c r="AA15" s="99">
        <f t="shared" si="8"/>
        <v>4.2087542087542086E-4</v>
      </c>
      <c r="AB15" s="98">
        <f>((IFERROR(VLOOKUP($G$15,'Pricing Trends'!$W:$Z,4,FALSE),0)/10000)*200)/AC5</f>
        <v>4.1666666666666664E-2</v>
      </c>
      <c r="AC15" s="99">
        <f t="shared" si="9"/>
        <v>4.3859649122807013E-4</v>
      </c>
      <c r="AD15" s="98">
        <f>((IFERROR(VLOOKUP($G$15,'Pricing Trends'!$W:$Z,4,FALSE),0)/10000)*200)/AE5</f>
        <v>8.3333333333333329E-2</v>
      </c>
      <c r="AE15" s="99">
        <f t="shared" si="10"/>
        <v>4.6296296296296293E-4</v>
      </c>
      <c r="AF15" s="131"/>
      <c r="AG15" s="98">
        <f>((IFERROR(VLOOKUP($G$15,'Pricing Trends'!$W:$Z,4,FALSE),0)/10000)*200)/AH5</f>
        <v>0.125</v>
      </c>
      <c r="AH15" s="99">
        <f t="shared" si="11"/>
        <v>2.7936634192169638E-4</v>
      </c>
      <c r="AI15" s="251"/>
      <c r="AJ15" s="99">
        <f t="shared" si="12"/>
        <v>0</v>
      </c>
      <c r="AK15" s="131"/>
      <c r="AL15" s="98">
        <f>((IFERROR(VLOOKUP($G$15,'Pricing Trends'!$W:$Z,4,FALSE),0)/10000)*200)/AM5</f>
        <v>4.1666666666666664E-2</v>
      </c>
      <c r="AM15" s="99">
        <f t="shared" si="13"/>
        <v>3.8402457757296467E-4</v>
      </c>
      <c r="AN15" s="98">
        <f>((IFERROR(VLOOKUP($G$15,'Pricing Trends'!$W:$Z,4,FALSE),0)/10000)*200)/AO5</f>
        <v>8.3333333333333329E-2</v>
      </c>
      <c r="AO15" s="99">
        <f t="shared" si="14"/>
        <v>3.6710719530102788E-4</v>
      </c>
      <c r="AP15" s="84"/>
      <c r="AQ15" s="98">
        <f>((IFERROR(VLOOKUP($G$15,'Pricing Trends'!$W:$Z,4,FALSE),0)/10000)*200)/AR5</f>
        <v>0.125</v>
      </c>
      <c r="AR15" s="99">
        <f t="shared" si="15"/>
        <v>2.3323071182013245E-4</v>
      </c>
      <c r="AS15" s="252"/>
      <c r="AT15" s="99">
        <f t="shared" si="16"/>
        <v>0</v>
      </c>
      <c r="AU15" s="84"/>
      <c r="AV15" s="98">
        <f>((IFERROR(VLOOKUP($G$15,'Pricing Trends'!$W:$Z,4,FALSE),0)/10000)*200)/AW5</f>
        <v>4.1666666666666664E-2</v>
      </c>
      <c r="AW15" s="99">
        <f t="shared" si="17"/>
        <v>3.6231884057971015E-4</v>
      </c>
      <c r="AX15" s="98">
        <f>((IFERROR(VLOOKUP($G$15,'Pricing Trends'!$W:$Z,4,FALSE),0)/10000)*200)/AY5</f>
        <v>8.3333333333333329E-2</v>
      </c>
      <c r="AY15" s="99">
        <f t="shared" si="18"/>
        <v>3.4722222222222218E-4</v>
      </c>
      <c r="AZ15" s="84"/>
      <c r="BA15" s="98">
        <f>((IFERROR(VLOOKUP($G$15,'Pricing Trends'!$W:$Z,4,FALSE),0)/10000)*200)/BB5</f>
        <v>0.125</v>
      </c>
      <c r="BB15" s="99">
        <f t="shared" si="19"/>
        <v>2.2668252839878715E-4</v>
      </c>
      <c r="BC15" s="252"/>
      <c r="BD15" s="99">
        <f t="shared" si="20"/>
        <v>0</v>
      </c>
      <c r="BE15" s="84"/>
      <c r="BF15" s="252"/>
      <c r="BG15" s="99">
        <f t="shared" si="21"/>
        <v>0</v>
      </c>
      <c r="BH15" s="84"/>
      <c r="BI15" s="84"/>
    </row>
    <row r="16" spans="1:61" x14ac:dyDescent="0.2">
      <c r="A16" s="84"/>
      <c r="B16" s="287">
        <f>'Pricing Trends'!R22</f>
        <v>0</v>
      </c>
      <c r="C16" s="249">
        <f>'Pricing Trends'!S22</f>
        <v>0</v>
      </c>
      <c r="D16" s="223">
        <f>'Pricing Trends'!U22</f>
        <v>0</v>
      </c>
      <c r="E16" s="220" t="b">
        <v>0</v>
      </c>
      <c r="F16" s="84"/>
      <c r="G16" s="245" t="s">
        <v>103</v>
      </c>
      <c r="H16" s="84"/>
      <c r="I16" s="98">
        <f>((45/3000)*7)</f>
        <v>0.105</v>
      </c>
      <c r="J16" s="99">
        <f t="shared" si="0"/>
        <v>3.0000000000000001E-3</v>
      </c>
      <c r="K16" s="98">
        <f>((45/3000)*7)</f>
        <v>0.105</v>
      </c>
      <c r="L16" s="99">
        <f t="shared" si="1"/>
        <v>2.0588235294117644E-3</v>
      </c>
      <c r="M16" s="98">
        <f>((45/3000)*12)</f>
        <v>0.18</v>
      </c>
      <c r="N16" s="99">
        <f t="shared" si="2"/>
        <v>1.978021978021978E-3</v>
      </c>
      <c r="O16" s="251"/>
      <c r="P16" s="99">
        <f t="shared" si="3"/>
        <v>0</v>
      </c>
      <c r="Q16" s="251"/>
      <c r="R16" s="99">
        <f t="shared" si="4"/>
        <v>0</v>
      </c>
      <c r="S16" s="251"/>
      <c r="T16" s="99">
        <f t="shared" si="5"/>
        <v>0</v>
      </c>
      <c r="U16" s="84"/>
      <c r="V16" s="252"/>
      <c r="W16" s="99">
        <f t="shared" si="6"/>
        <v>0</v>
      </c>
      <c r="X16" s="252"/>
      <c r="Y16" s="99">
        <f t="shared" si="7"/>
        <v>0</v>
      </c>
      <c r="Z16" s="252"/>
      <c r="AA16" s="99">
        <f t="shared" si="8"/>
        <v>0</v>
      </c>
      <c r="AB16" s="252"/>
      <c r="AC16" s="99">
        <f t="shared" si="9"/>
        <v>0</v>
      </c>
      <c r="AD16" s="252"/>
      <c r="AE16" s="99">
        <f t="shared" si="10"/>
        <v>0</v>
      </c>
      <c r="AF16" s="131"/>
      <c r="AG16" s="251"/>
      <c r="AH16" s="99">
        <f t="shared" si="11"/>
        <v>0</v>
      </c>
      <c r="AI16" s="251"/>
      <c r="AJ16" s="99">
        <f t="shared" si="12"/>
        <v>0</v>
      </c>
      <c r="AK16" s="131"/>
      <c r="AL16" s="250"/>
      <c r="AM16" s="99">
        <f t="shared" si="13"/>
        <v>0</v>
      </c>
      <c r="AN16" s="250"/>
      <c r="AO16" s="99">
        <f t="shared" si="14"/>
        <v>0</v>
      </c>
      <c r="AP16" s="84"/>
      <c r="AQ16" s="252"/>
      <c r="AR16" s="99">
        <f t="shared" si="15"/>
        <v>0</v>
      </c>
      <c r="AS16" s="252"/>
      <c r="AT16" s="99">
        <f t="shared" si="16"/>
        <v>0</v>
      </c>
      <c r="AU16" s="84"/>
      <c r="AV16" s="252"/>
      <c r="AW16" s="99">
        <f t="shared" si="17"/>
        <v>0</v>
      </c>
      <c r="AX16" s="252"/>
      <c r="AY16" s="99">
        <f t="shared" si="18"/>
        <v>0</v>
      </c>
      <c r="AZ16" s="84"/>
      <c r="BA16" s="252"/>
      <c r="BB16" s="99">
        <f t="shared" si="19"/>
        <v>0</v>
      </c>
      <c r="BC16" s="252"/>
      <c r="BD16" s="99">
        <f t="shared" si="20"/>
        <v>0</v>
      </c>
      <c r="BE16" s="84"/>
      <c r="BF16" s="252"/>
      <c r="BG16" s="99">
        <f t="shared" si="21"/>
        <v>0</v>
      </c>
      <c r="BH16" s="84"/>
      <c r="BI16" s="84"/>
    </row>
    <row r="17" spans="1:61" x14ac:dyDescent="0.2">
      <c r="A17" s="84"/>
      <c r="B17" s="287" t="str">
        <f>'Pricing Trends'!R23</f>
        <v>RBD PALM OLEIN (FOREIGN)</v>
      </c>
      <c r="C17" s="249">
        <f>'Pricing Trends'!S23</f>
        <v>45547</v>
      </c>
      <c r="D17" s="223">
        <f>'Pricing Trends'!U23</f>
        <v>60.65316</v>
      </c>
      <c r="E17" s="220" t="b">
        <v>0</v>
      </c>
      <c r="F17" s="84"/>
      <c r="G17" s="246" t="s">
        <v>112</v>
      </c>
      <c r="H17" s="84"/>
      <c r="I17" s="197">
        <f>SUM(I7:I16)</f>
        <v>33.952724752641011</v>
      </c>
      <c r="J17" s="195">
        <f>I17/I6</f>
        <v>0.97007785007545744</v>
      </c>
      <c r="K17" s="197">
        <f>SUM(K7:K16)</f>
        <v>46.27159091647129</v>
      </c>
      <c r="L17" s="195">
        <f>K17/K6</f>
        <v>0.90728609640139779</v>
      </c>
      <c r="M17" s="197">
        <f>SUM(M7:M16)</f>
        <v>92.138181832942593</v>
      </c>
      <c r="N17" s="195">
        <f>M17/M6</f>
        <v>1.0125074926696989</v>
      </c>
      <c r="O17" s="197">
        <f>SUM(O7:O16)</f>
        <v>69.66982666666668</v>
      </c>
      <c r="P17" s="195">
        <f>O17/O6</f>
        <v>0.59618050508885778</v>
      </c>
      <c r="Q17" s="197">
        <f>SUM(Q7:Q16)</f>
        <v>142.65965333333335</v>
      </c>
      <c r="R17" s="195">
        <f>Q17/Q6</f>
        <v>0.63062190645908445</v>
      </c>
      <c r="S17" s="197">
        <f>SUM(S7:S16)</f>
        <v>147.19298666666668</v>
      </c>
      <c r="T17" s="195">
        <f>S17/S6</f>
        <v>0.65066134467783132</v>
      </c>
      <c r="U17" s="84"/>
      <c r="V17" s="197">
        <f>SUM(V7:V16)</f>
        <v>13.548818799999999</v>
      </c>
      <c r="W17" s="195">
        <f>V17/V6</f>
        <v>0.67744093999999999</v>
      </c>
      <c r="X17" s="197">
        <f>SUM(X7:X16)</f>
        <v>21.504281333333331</v>
      </c>
      <c r="Y17" s="195">
        <f>X17/X6</f>
        <v>0.69368649462365584</v>
      </c>
      <c r="Z17" s="197">
        <f>SUM(Z7:Z16)</f>
        <v>31.26408</v>
      </c>
      <c r="AA17" s="195">
        <f>Z17/Z6</f>
        <v>0.6315975757575758</v>
      </c>
      <c r="AB17" s="197">
        <f>SUM(AB7:AB16)</f>
        <v>67.978160000000003</v>
      </c>
      <c r="AC17" s="195">
        <f>AB17/AB6</f>
        <v>0.71555957894736844</v>
      </c>
      <c r="AD17" s="197">
        <f>SUM(AD7:AD16)</f>
        <v>132.05965333333333</v>
      </c>
      <c r="AE17" s="195">
        <f>AD17/AD6</f>
        <v>0.73366474074074073</v>
      </c>
      <c r="AF17" s="131"/>
      <c r="AG17" s="197">
        <f>SUM(AG7:AG16)</f>
        <v>286.21764000000002</v>
      </c>
      <c r="AH17" s="195">
        <f>AG17/AG6</f>
        <v>0.63967660064208809</v>
      </c>
      <c r="AI17" s="197">
        <f>SUM(AI7:AI16)</f>
        <v>1079.3850910358401</v>
      </c>
      <c r="AJ17" s="195">
        <f>AI17/AI6</f>
        <v>0.67461568189740007</v>
      </c>
      <c r="AK17" s="131"/>
      <c r="AL17" s="197">
        <f>SUM(AL7:AL16)</f>
        <v>83.851666666666659</v>
      </c>
      <c r="AM17" s="195">
        <f>AL17/AL6</f>
        <v>0.772826420890937</v>
      </c>
      <c r="AN17" s="197">
        <f>SUM(AN7:AN16)</f>
        <v>188.40674917937508</v>
      </c>
      <c r="AO17" s="195">
        <f>AN17/AN6</f>
        <v>0.82998567920429556</v>
      </c>
      <c r="AP17" s="84"/>
      <c r="AQ17" s="197">
        <f>SUM(AQ7:AQ16)</f>
        <v>376.48516502541685</v>
      </c>
      <c r="AR17" s="195">
        <f>AQ17/AQ6</f>
        <v>0.70246322422878404</v>
      </c>
      <c r="AS17" s="197">
        <f>SUM(AS7:AS16)</f>
        <v>1480.9858514790699</v>
      </c>
      <c r="AT17" s="195">
        <f>AS17/AS6</f>
        <v>0.74880844350465414</v>
      </c>
      <c r="AU17" s="84"/>
      <c r="AV17" s="197">
        <f>SUM(AV7:AV16)</f>
        <v>84.24166666666666</v>
      </c>
      <c r="AW17" s="195">
        <f>AV17/AV6</f>
        <v>0.73253623188405792</v>
      </c>
      <c r="AX17" s="197">
        <f>SUM(AX7:AX16)</f>
        <v>161.02441046666667</v>
      </c>
      <c r="AY17" s="195">
        <f>AX17/AX6</f>
        <v>0.67093504361111111</v>
      </c>
      <c r="AZ17" s="84"/>
      <c r="BA17" s="197">
        <f>SUM(BA7:BA16)</f>
        <v>319.9204876</v>
      </c>
      <c r="BB17" s="195">
        <f>BA17/BA6</f>
        <v>0.58016308012592666</v>
      </c>
      <c r="BC17" s="197">
        <f>SUM(BC7:BC16)</f>
        <v>1229.3292622253257</v>
      </c>
      <c r="BD17" s="195">
        <f>BC17/BC6</f>
        <v>0.57178105219782593</v>
      </c>
      <c r="BE17" s="84"/>
      <c r="BF17" s="197">
        <f>SUM(BF7:BF16)</f>
        <v>1519.02</v>
      </c>
      <c r="BG17" s="195">
        <f>BF17/BF6</f>
        <v>1.0476000000000001</v>
      </c>
      <c r="BH17" s="84"/>
      <c r="BI17" s="84"/>
    </row>
    <row r="18" spans="1:61" x14ac:dyDescent="0.2">
      <c r="A18" s="84"/>
      <c r="B18" s="287" t="str">
        <f>'Pricing Trends'!R24</f>
        <v>RBD PALM OLEIN (FOREIGN)</v>
      </c>
      <c r="C18" s="249">
        <f>'Pricing Trends'!S24</f>
        <v>45517</v>
      </c>
      <c r="D18" s="223">
        <f>'Pricing Trends'!U24</f>
        <v>60.97</v>
      </c>
      <c r="E18" s="220" t="b">
        <v>0</v>
      </c>
      <c r="F18" s="84"/>
      <c r="G18" s="243" t="s">
        <v>119</v>
      </c>
      <c r="H18" s="84"/>
      <c r="I18" s="96">
        <f>I6-I17</f>
        <v>1.0472752473589892</v>
      </c>
      <c r="J18" s="97">
        <f>I18/I6</f>
        <v>2.9922149924542549E-2</v>
      </c>
      <c r="K18" s="96">
        <f>K6-K17</f>
        <v>4.7284090835287103</v>
      </c>
      <c r="L18" s="97">
        <f>K18/K6</f>
        <v>9.2713903598602168E-2</v>
      </c>
      <c r="M18" s="96">
        <f>M6-M17</f>
        <v>-1.1381818329425926</v>
      </c>
      <c r="N18" s="97">
        <f>M18/M6</f>
        <v>-1.2507492669698819E-2</v>
      </c>
      <c r="O18" s="96">
        <f>O6-O17</f>
        <v>47.19046324885602</v>
      </c>
      <c r="P18" s="97">
        <f>O18/O6</f>
        <v>0.40381949491114216</v>
      </c>
      <c r="Q18" s="96">
        <f>Q6-Q17</f>
        <v>83.560926497712046</v>
      </c>
      <c r="R18" s="97">
        <f>Q18/Q6</f>
        <v>0.36937809354091555</v>
      </c>
      <c r="S18" s="96">
        <f>S6-S17</f>
        <v>79.027593164378715</v>
      </c>
      <c r="T18" s="97">
        <f>S18/S6</f>
        <v>0.34933865532216868</v>
      </c>
      <c r="U18" s="84"/>
      <c r="V18" s="96">
        <f>V6-V17</f>
        <v>6.4511812000000006</v>
      </c>
      <c r="W18" s="97">
        <f>V18/V6</f>
        <v>0.32255906000000001</v>
      </c>
      <c r="X18" s="96">
        <f>X6-X17</f>
        <v>9.4957186666666686</v>
      </c>
      <c r="Y18" s="97">
        <f>X18/X6</f>
        <v>0.30631350537634416</v>
      </c>
      <c r="Z18" s="96">
        <f>Z6-Z17</f>
        <v>18.23592</v>
      </c>
      <c r="AA18" s="97">
        <f>Z18/Z6</f>
        <v>0.36840242424242425</v>
      </c>
      <c r="AB18" s="96">
        <f>AB6-AB17</f>
        <v>27.021839999999997</v>
      </c>
      <c r="AC18" s="97">
        <f>AB18/AB6</f>
        <v>0.28444042105263156</v>
      </c>
      <c r="AD18" s="96">
        <f>AD6-AD17</f>
        <v>47.94034666666667</v>
      </c>
      <c r="AE18" s="97">
        <f>AD18/AD6</f>
        <v>0.26633525925925927</v>
      </c>
      <c r="AF18" s="131"/>
      <c r="AG18" s="96">
        <f>AG6-AG17</f>
        <v>161.22351966209078</v>
      </c>
      <c r="AH18" s="97">
        <f>AG18/AG6</f>
        <v>0.36032339935791191</v>
      </c>
      <c r="AI18" s="96">
        <f>AI6-AI17</f>
        <v>520.61490896415989</v>
      </c>
      <c r="AJ18" s="97">
        <f>AI18/AI6</f>
        <v>0.32538431810259993</v>
      </c>
      <c r="AK18" s="131"/>
      <c r="AL18" s="96">
        <f>AL6-AL17</f>
        <v>24.648333333333341</v>
      </c>
      <c r="AM18" s="97">
        <f>AL18/AL6</f>
        <v>0.22717357910906305</v>
      </c>
      <c r="AN18" s="96">
        <f>AN6-AN17</f>
        <v>38.593250820624917</v>
      </c>
      <c r="AO18" s="97">
        <f>AN18/AN6</f>
        <v>0.17001432079570447</v>
      </c>
      <c r="AP18" s="84"/>
      <c r="AQ18" s="96">
        <f>AQ6-AQ17</f>
        <v>159.4648349745832</v>
      </c>
      <c r="AR18" s="97">
        <f>AQ18/AQ6</f>
        <v>0.29753677577121596</v>
      </c>
      <c r="AS18" s="96">
        <f>AS6-AS17</f>
        <v>496.80414852093008</v>
      </c>
      <c r="AT18" s="97">
        <f>AS18/AS6</f>
        <v>0.25119155649534586</v>
      </c>
      <c r="AU18" s="84"/>
      <c r="AV18" s="96">
        <f>AV6-AV17</f>
        <v>30.75833333333334</v>
      </c>
      <c r="AW18" s="97">
        <f>AV18/AV6</f>
        <v>0.26746376811594208</v>
      </c>
      <c r="AX18" s="96">
        <f>AX6-AX17</f>
        <v>78.975589533333334</v>
      </c>
      <c r="AY18" s="97">
        <f>AX18/AX6</f>
        <v>0.32906495638888889</v>
      </c>
      <c r="AZ18" s="84"/>
      <c r="BA18" s="96">
        <f>BA6-BA17</f>
        <v>231.51151240000002</v>
      </c>
      <c r="BB18" s="97">
        <f>BA18/BA6</f>
        <v>0.41983691987407334</v>
      </c>
      <c r="BC18" s="96">
        <f>BC6-BC17</f>
        <v>920.67073777467431</v>
      </c>
      <c r="BD18" s="97">
        <f>BC18/BC6</f>
        <v>0.42821894780217412</v>
      </c>
      <c r="BE18" s="84"/>
      <c r="BF18" s="96">
        <f>BF6-BF17</f>
        <v>-69.019999999999982</v>
      </c>
      <c r="BG18" s="97">
        <f>BF18/BF6</f>
        <v>-4.759999999999999E-2</v>
      </c>
      <c r="BH18" s="84"/>
      <c r="BI18" s="84"/>
    </row>
    <row r="19" spans="1:61" s="74" customFormat="1" x14ac:dyDescent="0.2">
      <c r="A19" s="84"/>
      <c r="B19" s="287" t="str">
        <f>'Pricing Trends'!R25</f>
        <v>RBD PALM OLEIN (FOREIGN)</v>
      </c>
      <c r="C19" s="249">
        <f>'Pricing Trends'!S25</f>
        <v>45494</v>
      </c>
      <c r="D19" s="223">
        <f>'Pricing Trends'!U25</f>
        <v>60.496870000000001</v>
      </c>
      <c r="E19" s="220" t="b">
        <v>0</v>
      </c>
      <c r="F19" s="84"/>
      <c r="G19" s="246" t="s">
        <v>125</v>
      </c>
      <c r="H19" s="84"/>
      <c r="I19" s="197">
        <f>SUM(I20:I35)</f>
        <v>2.09</v>
      </c>
      <c r="J19" s="195">
        <f>I19/I6</f>
        <v>5.9714285714285713E-2</v>
      </c>
      <c r="K19" s="197">
        <f>SUM(K20:K35)</f>
        <v>5.9866152589495041</v>
      </c>
      <c r="L19" s="195">
        <f>K19/K6</f>
        <v>0.11738461292057852</v>
      </c>
      <c r="M19" s="197">
        <f>SUM(M20:M35)</f>
        <v>5.15</v>
      </c>
      <c r="N19" s="195">
        <f>M19/M6</f>
        <v>5.6593406593406601E-2</v>
      </c>
      <c r="O19" s="197">
        <f>SUM(O20:O35)</f>
        <v>20.963404477897807</v>
      </c>
      <c r="P19" s="195">
        <f>O19/O6</f>
        <v>0.17938860577063495</v>
      </c>
      <c r="Q19" s="197">
        <f>SUM(Q20:Q35)</f>
        <v>28.850602796952778</v>
      </c>
      <c r="R19" s="195">
        <f>Q19/Q6</f>
        <v>0.12753306007128121</v>
      </c>
      <c r="S19" s="197">
        <f>SUM(S20:S35)</f>
        <v>28.36488851123849</v>
      </c>
      <c r="T19" s="195">
        <f>S19/S6</f>
        <v>0.12538597740498689</v>
      </c>
      <c r="U19" s="84"/>
      <c r="V19" s="197">
        <f>SUM(V20:V35)</f>
        <v>4.0005228400101407</v>
      </c>
      <c r="W19" s="195">
        <f>V19/V6</f>
        <v>0.20002614200050703</v>
      </c>
      <c r="X19" s="197">
        <f>SUM(X20:X35)</f>
        <v>5.7675380666835663</v>
      </c>
      <c r="Y19" s="195">
        <f>X19/X6</f>
        <v>0.18604961505430859</v>
      </c>
      <c r="Z19" s="197">
        <f>SUM(Z20:Z35)</f>
        <v>7.7292301111392794</v>
      </c>
      <c r="AA19" s="195">
        <f>Z19/Z6</f>
        <v>0.15614606285129856</v>
      </c>
      <c r="AB19" s="197">
        <f>SUM(AB20:AB35)</f>
        <v>16.058460222278558</v>
      </c>
      <c r="AC19" s="195">
        <f>AB19/AB6</f>
        <v>0.16903642339240588</v>
      </c>
      <c r="AD19" s="197">
        <f>SUM(AD20:AD35)</f>
        <v>30.11692044455712</v>
      </c>
      <c r="AE19" s="195">
        <f>AD19/AD6</f>
        <v>0.16731622469198401</v>
      </c>
      <c r="AF19" s="131"/>
      <c r="AG19" s="197">
        <f>SUM(AG20:AG35)</f>
        <v>76.503082197305503</v>
      </c>
      <c r="AH19" s="195">
        <f>AG19/AG6</f>
        <v>0.17097908975356874</v>
      </c>
      <c r="AI19" s="197">
        <f>SUM(AI20:AI35)</f>
        <v>283.69866033630313</v>
      </c>
      <c r="AJ19" s="195">
        <f>AI19/AI6</f>
        <v>0.17731166271018947</v>
      </c>
      <c r="AK19" s="131"/>
      <c r="AL19" s="197">
        <f>SUM(AL20:AL35)</f>
        <v>20.653812816541368</v>
      </c>
      <c r="AM19" s="195">
        <f>AL19/AL6</f>
        <v>0.19035772181144117</v>
      </c>
      <c r="AN19" s="197">
        <f>SUM(AN20:AN35)</f>
        <v>34.606831078149689</v>
      </c>
      <c r="AO19" s="195">
        <f>AN19/AN6</f>
        <v>0.15245300034427176</v>
      </c>
      <c r="AP19" s="84"/>
      <c r="AQ19" s="197">
        <f>SUM(AQ20:AQ35)</f>
        <v>83.785197870585094</v>
      </c>
      <c r="AR19" s="195">
        <f>AQ19/AQ6</f>
        <v>0.15633025071477766</v>
      </c>
      <c r="AS19" s="197">
        <f>SUM(AS20:AS35)</f>
        <v>307.45229783167127</v>
      </c>
      <c r="AT19" s="195">
        <f>AS19/AS6</f>
        <v>0.15545244835481586</v>
      </c>
      <c r="AU19" s="84"/>
      <c r="AV19" s="197">
        <f>SUM(AV20:AV35)</f>
        <v>21.813843634241799</v>
      </c>
      <c r="AW19" s="195">
        <f>AV19/AV6</f>
        <v>0.1896855968194939</v>
      </c>
      <c r="AX19" s="197">
        <f>SUM(AX20:AX35)</f>
        <v>40.035286147055025</v>
      </c>
      <c r="AY19" s="195">
        <f>AX19/AX6</f>
        <v>0.16681369227939594</v>
      </c>
      <c r="AZ19" s="84"/>
      <c r="BA19" s="197">
        <f>SUM(BA20:BA35)</f>
        <v>92.866596579824332</v>
      </c>
      <c r="BB19" s="195">
        <f>BA19/BA6</f>
        <v>0.16840987933203791</v>
      </c>
      <c r="BC19" s="197">
        <f>SUM(BC20:BC35)</f>
        <v>372.8458635599294</v>
      </c>
      <c r="BD19" s="195">
        <f>BC19/BC6</f>
        <v>0.17341668072554856</v>
      </c>
      <c r="BE19" s="84"/>
      <c r="BF19" s="197">
        <f>SUM(BF20:BF35)</f>
        <v>140.76145160000002</v>
      </c>
      <c r="BG19" s="195">
        <f>BF19/BF6</f>
        <v>9.7076863172413805E-2</v>
      </c>
      <c r="BH19" s="84"/>
      <c r="BI19" s="84"/>
    </row>
    <row r="20" spans="1:61" s="74" customFormat="1" x14ac:dyDescent="0.2">
      <c r="A20" s="84"/>
      <c r="B20" s="287" t="str">
        <f>'Pricing Trends'!R26</f>
        <v>RBD PALM OLEIN (FOREIGN)</v>
      </c>
      <c r="C20" s="249">
        <f>'Pricing Trends'!S26</f>
        <v>45314</v>
      </c>
      <c r="D20" s="223">
        <f>'Pricing Trends'!U26</f>
        <v>57.513559999999998</v>
      </c>
      <c r="E20" s="220" t="b">
        <v>0</v>
      </c>
      <c r="F20" s="84"/>
      <c r="G20" s="247" t="s">
        <v>130</v>
      </c>
      <c r="H20" s="84"/>
      <c r="I20" s="94">
        <v>0.2</v>
      </c>
      <c r="J20" s="99">
        <f t="shared" ref="J20:J35" si="22">I20/I$6</f>
        <v>5.7142857142857143E-3</v>
      </c>
      <c r="K20" s="94">
        <v>0.2</v>
      </c>
      <c r="L20" s="99">
        <f t="shared" ref="L20:L33" si="23">K20/K$6</f>
        <v>3.9215686274509803E-3</v>
      </c>
      <c r="M20" s="94">
        <v>0.2</v>
      </c>
      <c r="N20" s="99">
        <f t="shared" ref="N20:N33" si="24">M20/M$6</f>
        <v>2.1978021978021978E-3</v>
      </c>
      <c r="O20" s="251"/>
      <c r="P20" s="99">
        <f t="shared" ref="P20:P33" si="25">O20/O$6</f>
        <v>0</v>
      </c>
      <c r="Q20" s="251"/>
      <c r="R20" s="99">
        <f t="shared" ref="R20:R33" si="26">Q20/Q$6</f>
        <v>0</v>
      </c>
      <c r="S20" s="251"/>
      <c r="T20" s="99">
        <f t="shared" ref="T20:T33" si="27">S20/S$6</f>
        <v>0</v>
      </c>
      <c r="U20" s="84"/>
      <c r="V20" s="251"/>
      <c r="W20" s="99">
        <f t="shared" ref="W20:W29" si="28">V20/V$6</f>
        <v>0</v>
      </c>
      <c r="X20" s="251"/>
      <c r="Y20" s="99">
        <f t="shared" ref="Y20:Y29" si="29">X20/X$6</f>
        <v>0</v>
      </c>
      <c r="Z20" s="251"/>
      <c r="AA20" s="99">
        <f t="shared" ref="AA20:AA29" si="30">Z20/Z$6</f>
        <v>0</v>
      </c>
      <c r="AB20" s="251"/>
      <c r="AC20" s="99">
        <f t="shared" ref="AC20:AC29" si="31">AB20/AB$6</f>
        <v>0</v>
      </c>
      <c r="AD20" s="251"/>
      <c r="AE20" s="99">
        <f t="shared" ref="AE20:AE29" si="32">AD20/AD$6</f>
        <v>0</v>
      </c>
      <c r="AF20" s="131"/>
      <c r="AG20" s="94">
        <v>0.2</v>
      </c>
      <c r="AH20" s="99">
        <f t="shared" ref="AH20:AH29" si="33">AG20/AG$6</f>
        <v>4.4698614707471424E-4</v>
      </c>
      <c r="AI20" s="251"/>
      <c r="AJ20" s="99">
        <f t="shared" ref="AJ20:AJ29" si="34">AI20/AI$6</f>
        <v>0</v>
      </c>
      <c r="AK20" s="131"/>
      <c r="AL20" s="251"/>
      <c r="AM20" s="99">
        <f t="shared" ref="AM20:AM29" si="35">AL20/AL$6</f>
        <v>0</v>
      </c>
      <c r="AN20" s="251"/>
      <c r="AO20" s="99">
        <f t="shared" ref="AO20:AO29" si="36">AN20/AN$6</f>
        <v>0</v>
      </c>
      <c r="AP20" s="84"/>
      <c r="AQ20" s="94">
        <v>0.2</v>
      </c>
      <c r="AR20" s="99">
        <f t="shared" ref="AR20:AR29" si="37">AQ20/AQ$6</f>
        <v>3.7316913891221194E-4</v>
      </c>
      <c r="AS20" s="251"/>
      <c r="AT20" s="99">
        <f t="shared" ref="AT20:AT29" si="38">AS20/AS$6</f>
        <v>0</v>
      </c>
      <c r="AU20" s="84"/>
      <c r="AV20" s="251"/>
      <c r="AW20" s="99"/>
      <c r="AX20" s="251"/>
      <c r="AY20" s="99">
        <f t="shared" ref="AY20:AY29" si="39">AX20/AX$6</f>
        <v>0</v>
      </c>
      <c r="AZ20" s="84"/>
      <c r="BA20" s="94">
        <v>0.2</v>
      </c>
      <c r="BB20" s="99">
        <f t="shared" ref="BB20:BB29" si="40">BA20/BA$6</f>
        <v>3.6269204543805947E-4</v>
      </c>
      <c r="BC20" s="251"/>
      <c r="BD20" s="99">
        <f t="shared" ref="BD20:BD29" si="41">BC20/BC$6</f>
        <v>0</v>
      </c>
      <c r="BE20" s="84"/>
      <c r="BF20" s="251"/>
      <c r="BG20" s="99">
        <f t="shared" ref="BG20:BG33" si="42">BF20/BF$6</f>
        <v>0</v>
      </c>
      <c r="BH20" s="84"/>
      <c r="BI20" s="84"/>
    </row>
    <row r="21" spans="1:61" s="74" customFormat="1" x14ac:dyDescent="0.2">
      <c r="A21" s="84"/>
      <c r="B21" s="287" t="str">
        <f>'Pricing Trends'!R27</f>
        <v>RBD PALM OLEIN (FOREIGN)</v>
      </c>
      <c r="C21" s="249">
        <f>'Pricing Trends'!S27</f>
        <v>45248</v>
      </c>
      <c r="D21" s="223">
        <f>'Pricing Trends'!U27</f>
        <v>61.450510000000001</v>
      </c>
      <c r="E21" s="220" t="b">
        <v>0</v>
      </c>
      <c r="F21" s="84"/>
      <c r="G21" s="247" t="s">
        <v>138</v>
      </c>
      <c r="H21" s="84"/>
      <c r="I21" s="94">
        <f>0.4*0.35</f>
        <v>0.13999999999999999</v>
      </c>
      <c r="J21" s="99">
        <f t="shared" si="22"/>
        <v>3.9999999999999992E-3</v>
      </c>
      <c r="K21" s="94">
        <f>0.4*0.5</f>
        <v>0.2</v>
      </c>
      <c r="L21" s="99">
        <f t="shared" si="23"/>
        <v>3.9215686274509803E-3</v>
      </c>
      <c r="M21" s="94">
        <v>0.4</v>
      </c>
      <c r="N21" s="99">
        <f t="shared" si="24"/>
        <v>4.3956043956043956E-3</v>
      </c>
      <c r="O21" s="94">
        <v>0.4</v>
      </c>
      <c r="P21" s="99">
        <f t="shared" si="25"/>
        <v>3.4228907038409417E-3</v>
      </c>
      <c r="Q21" s="94">
        <f>M21*2</f>
        <v>0.8</v>
      </c>
      <c r="R21" s="99">
        <f t="shared" si="26"/>
        <v>3.5363714503670986E-3</v>
      </c>
      <c r="S21" s="94">
        <f>M21*2</f>
        <v>0.8</v>
      </c>
      <c r="T21" s="99">
        <f t="shared" si="27"/>
        <v>3.5363714503670986E-3</v>
      </c>
      <c r="U21" s="84"/>
      <c r="V21" s="94">
        <f>$M21*0.18</f>
        <v>7.1999999999999995E-2</v>
      </c>
      <c r="W21" s="99">
        <f t="shared" si="28"/>
        <v>3.5999999999999999E-3</v>
      </c>
      <c r="X21" s="94">
        <f>$M21*0.3</f>
        <v>0.12</v>
      </c>
      <c r="Y21" s="99">
        <f t="shared" si="29"/>
        <v>3.8709677419354839E-3</v>
      </c>
      <c r="Z21" s="94">
        <f>$M21*0.5</f>
        <v>0.2</v>
      </c>
      <c r="AA21" s="99">
        <f t="shared" si="30"/>
        <v>4.0404040404040404E-3</v>
      </c>
      <c r="AB21" s="94">
        <f>$M21</f>
        <v>0.4</v>
      </c>
      <c r="AC21" s="99">
        <f t="shared" si="31"/>
        <v>4.2105263157894736E-3</v>
      </c>
      <c r="AD21" s="94">
        <f>$M21*2</f>
        <v>0.8</v>
      </c>
      <c r="AE21" s="99">
        <f t="shared" si="32"/>
        <v>4.4444444444444444E-3</v>
      </c>
      <c r="AF21" s="131"/>
      <c r="AG21" s="94">
        <f>M21*4</f>
        <v>1.6</v>
      </c>
      <c r="AH21" s="99">
        <f t="shared" si="33"/>
        <v>3.5758891765977139E-3</v>
      </c>
      <c r="AI21" s="94">
        <f>0.4*15.66*1.1364</f>
        <v>7.1184096000000006</v>
      </c>
      <c r="AJ21" s="99">
        <f t="shared" si="34"/>
        <v>4.4490060000000001E-3</v>
      </c>
      <c r="AK21" s="131"/>
      <c r="AL21" s="94">
        <v>0.4</v>
      </c>
      <c r="AM21" s="99">
        <f t="shared" si="35"/>
        <v>3.6866359447004608E-3</v>
      </c>
      <c r="AN21" s="94">
        <f>AL21*2</f>
        <v>0.8</v>
      </c>
      <c r="AO21" s="99">
        <f t="shared" si="36"/>
        <v>3.524229074889868E-3</v>
      </c>
      <c r="AP21" s="84"/>
      <c r="AQ21" s="94">
        <f>AL21*4</f>
        <v>1.6</v>
      </c>
      <c r="AR21" s="99">
        <f t="shared" si="37"/>
        <v>2.9853531112976955E-3</v>
      </c>
      <c r="AS21" s="94">
        <f>AN21*4</f>
        <v>3.2</v>
      </c>
      <c r="AT21" s="99">
        <f t="shared" si="38"/>
        <v>1.6179675294141441E-3</v>
      </c>
      <c r="AU21" s="84"/>
      <c r="AV21" s="94">
        <v>0.4</v>
      </c>
      <c r="AW21" s="99">
        <f t="shared" ref="AW21:AW29" si="43">AV21/AV$6</f>
        <v>3.4782608695652175E-3</v>
      </c>
      <c r="AX21" s="94">
        <f>AV21*2</f>
        <v>0.8</v>
      </c>
      <c r="AY21" s="99">
        <f t="shared" si="39"/>
        <v>3.3333333333333335E-3</v>
      </c>
      <c r="AZ21" s="84"/>
      <c r="BA21" s="94">
        <f>AV21*4</f>
        <v>1.6</v>
      </c>
      <c r="BB21" s="99">
        <f t="shared" si="40"/>
        <v>2.9015363635044758E-3</v>
      </c>
      <c r="BC21" s="94">
        <f>M21*15.66*1.1364</f>
        <v>7.1184096000000006</v>
      </c>
      <c r="BD21" s="99">
        <f t="shared" si="41"/>
        <v>3.3108881860465121E-3</v>
      </c>
      <c r="BE21" s="84"/>
      <c r="BF21" s="94">
        <f>AI21</f>
        <v>7.1184096000000006</v>
      </c>
      <c r="BG21" s="99">
        <f t="shared" si="42"/>
        <v>4.9092480000000006E-3</v>
      </c>
      <c r="BH21" s="84"/>
      <c r="BI21" s="84"/>
    </row>
    <row r="22" spans="1:61" x14ac:dyDescent="0.2">
      <c r="A22" s="84"/>
      <c r="B22" s="287" t="str">
        <f>'Pricing Trends'!R28</f>
        <v>RBD PALM OLEIN (FOREIGN)</v>
      </c>
      <c r="C22" s="249">
        <f>'Pricing Trends'!S28</f>
        <v>45244</v>
      </c>
      <c r="D22" s="223">
        <f>'Pricing Trends'!U28</f>
        <v>63.352640000000001</v>
      </c>
      <c r="E22" s="220" t="b">
        <v>0</v>
      </c>
      <c r="F22" s="84"/>
      <c r="G22" s="247" t="s">
        <v>143</v>
      </c>
      <c r="H22" s="84"/>
      <c r="I22" s="94"/>
      <c r="J22" s="99"/>
      <c r="K22" s="94"/>
      <c r="L22" s="99"/>
      <c r="M22" s="94"/>
      <c r="N22" s="99"/>
      <c r="O22" s="94"/>
      <c r="P22" s="99"/>
      <c r="Q22" s="94"/>
      <c r="R22" s="99"/>
      <c r="S22" s="94"/>
      <c r="T22" s="99"/>
      <c r="U22" s="84"/>
      <c r="V22" s="94"/>
      <c r="W22" s="99"/>
      <c r="X22" s="94"/>
      <c r="Y22" s="99"/>
      <c r="Z22" s="94"/>
      <c r="AA22" s="99"/>
      <c r="AB22" s="94"/>
      <c r="AC22" s="99"/>
      <c r="AD22" s="94"/>
      <c r="AE22" s="99"/>
      <c r="AF22" s="131"/>
      <c r="AG22" s="94"/>
      <c r="AH22" s="99"/>
      <c r="AI22" s="94"/>
      <c r="AJ22" s="99"/>
      <c r="AK22" s="131"/>
      <c r="AL22" s="94"/>
      <c r="AM22" s="99"/>
      <c r="AN22" s="94"/>
      <c r="AO22" s="99"/>
      <c r="AP22" s="84"/>
      <c r="AQ22" s="94"/>
      <c r="AR22" s="99"/>
      <c r="AS22" s="94"/>
      <c r="AT22" s="99"/>
      <c r="AU22" s="84"/>
      <c r="AV22" s="94"/>
      <c r="AW22" s="99"/>
      <c r="AX22" s="94"/>
      <c r="AY22" s="99"/>
      <c r="AZ22" s="84"/>
      <c r="BA22" s="94"/>
      <c r="BB22" s="99"/>
      <c r="BC22" s="94"/>
      <c r="BD22" s="99"/>
      <c r="BE22" s="84"/>
      <c r="BF22" s="94"/>
      <c r="BG22" s="99"/>
      <c r="BH22" s="84"/>
      <c r="BI22" s="84"/>
    </row>
    <row r="23" spans="1:61" s="212" customFormat="1" x14ac:dyDescent="0.2">
      <c r="A23" s="210"/>
      <c r="B23" s="287" t="str">
        <f>'Pricing Trends'!R29</f>
        <v>RBD PALM OLEIN (FOREIGN)</v>
      </c>
      <c r="C23" s="249">
        <f>'Pricing Trends'!S29</f>
        <v>45234</v>
      </c>
      <c r="D23" s="223">
        <f>'Pricing Trends'!U29</f>
        <v>56.635750000000002</v>
      </c>
      <c r="E23" s="220" t="b">
        <v>0</v>
      </c>
      <c r="F23" s="210"/>
      <c r="G23" s="247" t="s">
        <v>150</v>
      </c>
      <c r="H23" s="84"/>
      <c r="I23" s="94"/>
      <c r="J23" s="99"/>
      <c r="K23" s="94"/>
      <c r="L23" s="99"/>
      <c r="M23" s="94"/>
      <c r="N23" s="99"/>
      <c r="O23" s="94"/>
      <c r="P23" s="99"/>
      <c r="Q23" s="94"/>
      <c r="R23" s="99"/>
      <c r="S23" s="94"/>
      <c r="T23" s="99"/>
      <c r="U23" s="84"/>
      <c r="V23" s="94"/>
      <c r="W23" s="99"/>
      <c r="X23" s="94"/>
      <c r="Y23" s="99"/>
      <c r="Z23" s="94"/>
      <c r="AA23" s="99"/>
      <c r="AB23" s="94"/>
      <c r="AC23" s="99"/>
      <c r="AD23" s="94"/>
      <c r="AE23" s="99"/>
      <c r="AF23" s="131"/>
      <c r="AG23" s="94"/>
      <c r="AH23" s="99"/>
      <c r="AI23" s="94"/>
      <c r="AJ23" s="99"/>
      <c r="AK23" s="131"/>
      <c r="AL23" s="94"/>
      <c r="AM23" s="99"/>
      <c r="AN23" s="94"/>
      <c r="AO23" s="99"/>
      <c r="AP23" s="84"/>
      <c r="AQ23" s="94"/>
      <c r="AR23" s="99"/>
      <c r="AS23" s="94"/>
      <c r="AT23" s="99"/>
      <c r="AU23" s="84"/>
      <c r="AV23" s="94"/>
      <c r="AW23" s="99"/>
      <c r="AX23" s="94"/>
      <c r="AY23" s="99"/>
      <c r="AZ23" s="84"/>
      <c r="BA23" s="94"/>
      <c r="BB23" s="99"/>
      <c r="BC23" s="94"/>
      <c r="BD23" s="99"/>
      <c r="BE23" s="84"/>
      <c r="BF23" s="94"/>
      <c r="BG23" s="99"/>
      <c r="BH23" s="210"/>
      <c r="BI23" s="210"/>
    </row>
    <row r="24" spans="1:61" x14ac:dyDescent="0.2">
      <c r="A24" s="84"/>
      <c r="B24" s="287">
        <f>'Pricing Trends'!R30</f>
        <v>0</v>
      </c>
      <c r="C24" s="249">
        <f>'Pricing Trends'!S30</f>
        <v>0</v>
      </c>
      <c r="D24" s="223">
        <f>'Pricing Trends'!U30</f>
        <v>0</v>
      </c>
      <c r="E24" s="220" t="b">
        <v>0</v>
      </c>
      <c r="F24" s="84"/>
      <c r="G24" s="247" t="s">
        <v>160</v>
      </c>
      <c r="H24" s="84"/>
      <c r="I24" s="94"/>
      <c r="J24" s="99">
        <f t="shared" ref="J24" si="44">I24/I$6</f>
        <v>0</v>
      </c>
      <c r="K24" s="94">
        <v>1</v>
      </c>
      <c r="L24" s="99"/>
      <c r="M24" s="94"/>
      <c r="N24" s="99">
        <f t="shared" si="24"/>
        <v>0</v>
      </c>
      <c r="O24" s="94">
        <v>1</v>
      </c>
      <c r="P24" s="99"/>
      <c r="Q24" s="94">
        <v>1</v>
      </c>
      <c r="R24" s="99"/>
      <c r="S24" s="94">
        <v>1</v>
      </c>
      <c r="T24" s="99"/>
      <c r="U24" s="84"/>
      <c r="V24" s="94">
        <v>1</v>
      </c>
      <c r="W24" s="99"/>
      <c r="X24" s="94">
        <v>1</v>
      </c>
      <c r="Y24" s="99"/>
      <c r="Z24" s="94"/>
      <c r="AA24" s="99"/>
      <c r="AB24" s="94">
        <v>1</v>
      </c>
      <c r="AC24" s="99"/>
      <c r="AD24" s="94">
        <v>1</v>
      </c>
      <c r="AE24" s="99"/>
      <c r="AF24" s="131"/>
      <c r="AG24" s="94">
        <v>1</v>
      </c>
      <c r="AH24" s="99"/>
      <c r="AI24" s="94">
        <v>1</v>
      </c>
      <c r="AJ24" s="99"/>
      <c r="AK24" s="131"/>
      <c r="AL24" s="94">
        <v>1</v>
      </c>
      <c r="AM24" s="99">
        <f t="shared" ref="AM24" si="45">AL24/AL$6</f>
        <v>9.2165898617511521E-3</v>
      </c>
      <c r="AN24" s="94">
        <v>1</v>
      </c>
      <c r="AO24" s="99"/>
      <c r="AP24" s="84"/>
      <c r="AQ24" s="94">
        <v>1</v>
      </c>
      <c r="AR24" s="99"/>
      <c r="AS24" s="94">
        <v>1</v>
      </c>
      <c r="AT24" s="99"/>
      <c r="AU24" s="84"/>
      <c r="AV24" s="94">
        <v>1</v>
      </c>
      <c r="AW24" s="99">
        <f t="shared" ref="AW24" si="46">AV24/AV$6</f>
        <v>8.6956521739130436E-3</v>
      </c>
      <c r="AX24" s="94">
        <v>1</v>
      </c>
      <c r="AY24" s="99"/>
      <c r="AZ24" s="84"/>
      <c r="BA24" s="94">
        <v>1</v>
      </c>
      <c r="BB24" s="99"/>
      <c r="BC24" s="94">
        <v>1</v>
      </c>
      <c r="BD24" s="99"/>
      <c r="BE24" s="84"/>
      <c r="BF24" s="94">
        <v>1</v>
      </c>
      <c r="BG24" s="99"/>
      <c r="BH24" s="84"/>
      <c r="BI24" s="84"/>
    </row>
    <row r="25" spans="1:61" x14ac:dyDescent="0.2">
      <c r="A25" s="84"/>
      <c r="B25" s="287" t="str">
        <f>'Pricing Trends'!R31</f>
        <v>RBD CANOLA OIL</v>
      </c>
      <c r="C25" s="249">
        <f>'Pricing Trends'!S31</f>
        <v>45269</v>
      </c>
      <c r="D25" s="223">
        <f>'Pricing Trends'!U31</f>
        <v>73.180847</v>
      </c>
      <c r="E25" s="220" t="b">
        <v>0</v>
      </c>
      <c r="F25" s="84"/>
      <c r="G25" s="297" t="s">
        <v>164</v>
      </c>
      <c r="H25" s="84"/>
      <c r="I25" s="94"/>
      <c r="J25" s="99"/>
      <c r="K25" s="94"/>
      <c r="L25" s="99"/>
      <c r="M25" s="94"/>
      <c r="N25" s="99"/>
      <c r="O25" s="94"/>
      <c r="P25" s="99"/>
      <c r="Q25" s="94"/>
      <c r="R25" s="99"/>
      <c r="S25" s="94"/>
      <c r="T25" s="99"/>
      <c r="U25" s="84"/>
      <c r="V25" s="94"/>
      <c r="W25" s="99"/>
      <c r="X25" s="94"/>
      <c r="Y25" s="99"/>
      <c r="Z25" s="94"/>
      <c r="AA25" s="99"/>
      <c r="AB25" s="94"/>
      <c r="AC25" s="99"/>
      <c r="AD25" s="94"/>
      <c r="AE25" s="99"/>
      <c r="AF25" s="131"/>
      <c r="AG25" s="94"/>
      <c r="AH25" s="99"/>
      <c r="AI25" s="251"/>
      <c r="AJ25" s="99"/>
      <c r="AK25" s="131"/>
      <c r="AL25" s="94"/>
      <c r="AM25" s="99"/>
      <c r="AN25" s="94"/>
      <c r="AO25" s="99"/>
      <c r="AP25" s="84"/>
      <c r="AQ25" s="94"/>
      <c r="AR25" s="99"/>
      <c r="AS25" s="251"/>
      <c r="AT25" s="99"/>
      <c r="AU25" s="84"/>
      <c r="AV25" s="94"/>
      <c r="AW25" s="99"/>
      <c r="AX25" s="94"/>
      <c r="AY25" s="99"/>
      <c r="AZ25" s="84"/>
      <c r="BA25" s="94"/>
      <c r="BB25" s="99"/>
      <c r="BC25" s="251"/>
      <c r="BD25" s="99"/>
      <c r="BE25" s="84"/>
      <c r="BF25" s="251"/>
      <c r="BG25" s="99"/>
      <c r="BH25" s="84"/>
      <c r="BI25" s="84"/>
    </row>
    <row r="26" spans="1:61" x14ac:dyDescent="0.2">
      <c r="A26" s="84"/>
      <c r="B26" s="287" t="str">
        <f>'Pricing Trends'!R32</f>
        <v>RBD CANOLA OIL</v>
      </c>
      <c r="C26" s="249">
        <f>'Pricing Trends'!S32</f>
        <v>45118</v>
      </c>
      <c r="D26" s="223">
        <f>'Pricing Trends'!U32</f>
        <v>80.463780999999997</v>
      </c>
      <c r="E26" s="220" t="b">
        <v>0</v>
      </c>
      <c r="F26" s="84"/>
      <c r="G26" s="297" t="s">
        <v>173</v>
      </c>
      <c r="H26" s="84"/>
      <c r="I26" s="94"/>
      <c r="J26" s="99"/>
      <c r="K26" s="94"/>
      <c r="L26" s="99"/>
      <c r="M26" s="94"/>
      <c r="N26" s="99"/>
      <c r="O26" s="94"/>
      <c r="P26" s="99"/>
      <c r="Q26" s="94"/>
      <c r="R26" s="99"/>
      <c r="S26" s="94"/>
      <c r="T26" s="99"/>
      <c r="U26" s="84"/>
      <c r="V26" s="94"/>
      <c r="W26" s="99"/>
      <c r="X26" s="94"/>
      <c r="Y26" s="99"/>
      <c r="Z26" s="94"/>
      <c r="AA26" s="99"/>
      <c r="AB26" s="94"/>
      <c r="AC26" s="99"/>
      <c r="AD26" s="94"/>
      <c r="AE26" s="99"/>
      <c r="AF26" s="131"/>
      <c r="AG26" s="94"/>
      <c r="AH26" s="99"/>
      <c r="AI26" s="251"/>
      <c r="AJ26" s="99"/>
      <c r="AK26" s="131"/>
      <c r="AL26" s="94"/>
      <c r="AM26" s="99"/>
      <c r="AN26" s="94"/>
      <c r="AO26" s="99"/>
      <c r="AP26" s="84"/>
      <c r="AQ26" s="94"/>
      <c r="AR26" s="99"/>
      <c r="AS26" s="251"/>
      <c r="AT26" s="99"/>
      <c r="AU26" s="84"/>
      <c r="AV26" s="94"/>
      <c r="AW26" s="99"/>
      <c r="AX26" s="94"/>
      <c r="AY26" s="99"/>
      <c r="AZ26" s="84"/>
      <c r="BA26" s="94"/>
      <c r="BB26" s="99"/>
      <c r="BC26" s="251"/>
      <c r="BD26" s="99"/>
      <c r="BE26" s="84"/>
      <c r="BF26" s="251"/>
      <c r="BG26" s="99"/>
      <c r="BH26" s="84"/>
      <c r="BI26" s="84"/>
    </row>
    <row r="27" spans="1:61" x14ac:dyDescent="0.2">
      <c r="A27" s="84"/>
      <c r="B27" s="287">
        <f>'Pricing Trends'!R33</f>
        <v>0</v>
      </c>
      <c r="C27" s="249">
        <f>'Pricing Trends'!S33</f>
        <v>0</v>
      </c>
      <c r="D27" s="223">
        <f>'Pricing Trends'!U33</f>
        <v>0</v>
      </c>
      <c r="E27" s="220" t="b">
        <v>0</v>
      </c>
      <c r="F27" s="84"/>
      <c r="G27" s="247" t="s">
        <v>176</v>
      </c>
      <c r="H27" s="84"/>
      <c r="I27" s="94">
        <f>I6*0.01</f>
        <v>0.35000000000000003</v>
      </c>
      <c r="J27" s="99">
        <f t="shared" si="22"/>
        <v>0.01</v>
      </c>
      <c r="K27" s="94">
        <f>K6*0.01</f>
        <v>0.51</v>
      </c>
      <c r="L27" s="99">
        <f t="shared" si="23"/>
        <v>0.01</v>
      </c>
      <c r="M27" s="94">
        <f>M6*0.01</f>
        <v>0.91</v>
      </c>
      <c r="N27" s="99">
        <f t="shared" si="24"/>
        <v>0.01</v>
      </c>
      <c r="O27" s="94">
        <f>O6*0.01</f>
        <v>1.1686028991552271</v>
      </c>
      <c r="P27" s="99">
        <f t="shared" si="25"/>
        <v>0.01</v>
      </c>
      <c r="Q27" s="94">
        <f>Q6*0.01</f>
        <v>2.262205798310454</v>
      </c>
      <c r="R27" s="99">
        <f t="shared" si="26"/>
        <v>0.01</v>
      </c>
      <c r="S27" s="94">
        <f>S6*0.01</f>
        <v>2.262205798310454</v>
      </c>
      <c r="T27" s="99">
        <f t="shared" si="27"/>
        <v>0.01</v>
      </c>
      <c r="U27" s="84"/>
      <c r="V27" s="94">
        <f>V6*0.01</f>
        <v>0.2</v>
      </c>
      <c r="W27" s="99">
        <f t="shared" si="28"/>
        <v>0.01</v>
      </c>
      <c r="X27" s="94">
        <f>X6*0.01</f>
        <v>0.31</v>
      </c>
      <c r="Y27" s="99">
        <f t="shared" si="29"/>
        <v>0.01</v>
      </c>
      <c r="Z27" s="94">
        <f>Z6*0.01</f>
        <v>0.495</v>
      </c>
      <c r="AA27" s="99">
        <f t="shared" si="30"/>
        <v>0.01</v>
      </c>
      <c r="AB27" s="94">
        <f>AB6*0.01</f>
        <v>0.95000000000000007</v>
      </c>
      <c r="AC27" s="99">
        <f t="shared" si="31"/>
        <v>0.01</v>
      </c>
      <c r="AD27" s="94">
        <f>AD6*0.01</f>
        <v>1.8</v>
      </c>
      <c r="AE27" s="99">
        <f t="shared" si="32"/>
        <v>0.01</v>
      </c>
      <c r="AF27" s="131"/>
      <c r="AG27" s="94">
        <f>AG6*0.01</f>
        <v>4.4744115966209081</v>
      </c>
      <c r="AH27" s="99">
        <f t="shared" si="33"/>
        <v>0.01</v>
      </c>
      <c r="AI27" s="94">
        <f>AI6*0.01</f>
        <v>16</v>
      </c>
      <c r="AJ27" s="99">
        <f t="shared" si="34"/>
        <v>0.01</v>
      </c>
      <c r="AK27" s="131"/>
      <c r="AL27" s="94">
        <f>AL6*0.01</f>
        <v>1.085</v>
      </c>
      <c r="AM27" s="99">
        <f t="shared" si="35"/>
        <v>0.01</v>
      </c>
      <c r="AN27" s="94">
        <f>AN6*0.01</f>
        <v>2.27</v>
      </c>
      <c r="AO27" s="99">
        <f t="shared" si="36"/>
        <v>0.01</v>
      </c>
      <c r="AP27" s="84"/>
      <c r="AQ27" s="94">
        <f>AQ6*0.01</f>
        <v>5.3595000000000006</v>
      </c>
      <c r="AR27" s="99">
        <f t="shared" si="37"/>
        <v>0.01</v>
      </c>
      <c r="AS27" s="94">
        <f>AS6*0.01</f>
        <v>19.777899999999999</v>
      </c>
      <c r="AT27" s="99">
        <f t="shared" si="38"/>
        <v>0.01</v>
      </c>
      <c r="AU27" s="84"/>
      <c r="AV27" s="94">
        <f>AV6*0.01</f>
        <v>1.1500000000000001</v>
      </c>
      <c r="AW27" s="99">
        <f t="shared" si="43"/>
        <v>1.0000000000000002E-2</v>
      </c>
      <c r="AX27" s="94">
        <f>AX6*0.01</f>
        <v>2.4</v>
      </c>
      <c r="AY27" s="99">
        <f t="shared" si="39"/>
        <v>0.01</v>
      </c>
      <c r="AZ27" s="84"/>
      <c r="BA27" s="94">
        <f>BA6*0.01</f>
        <v>5.5143200000000006</v>
      </c>
      <c r="BB27" s="99">
        <f t="shared" si="40"/>
        <v>0.01</v>
      </c>
      <c r="BC27" s="94">
        <f>BC6*0.01</f>
        <v>21.5</v>
      </c>
      <c r="BD27" s="99">
        <f t="shared" si="41"/>
        <v>0.01</v>
      </c>
      <c r="BE27" s="84"/>
      <c r="BF27" s="94">
        <f>BF6*0.01</f>
        <v>14.5</v>
      </c>
      <c r="BG27" s="99">
        <f t="shared" si="42"/>
        <v>0.01</v>
      </c>
      <c r="BH27" s="84"/>
      <c r="BI27" s="84"/>
    </row>
    <row r="28" spans="1:61" x14ac:dyDescent="0.2">
      <c r="A28" s="84"/>
      <c r="B28" s="287">
        <f>'Pricing Trends'!R34</f>
        <v>0</v>
      </c>
      <c r="C28" s="249">
        <f>'Pricing Trends'!S34</f>
        <v>0</v>
      </c>
      <c r="D28" s="223">
        <f>'Pricing Trends'!U34</f>
        <v>0</v>
      </c>
      <c r="E28" s="220" t="b">
        <v>0</v>
      </c>
      <c r="F28" s="84"/>
      <c r="G28" s="247" t="s">
        <v>182</v>
      </c>
      <c r="H28" s="84"/>
      <c r="I28" s="94">
        <f>I6*0.01</f>
        <v>0.35000000000000003</v>
      </c>
      <c r="J28" s="99">
        <f t="shared" si="22"/>
        <v>0.01</v>
      </c>
      <c r="K28" s="94">
        <f>K6*0.01</f>
        <v>0.51</v>
      </c>
      <c r="L28" s="99">
        <f t="shared" si="23"/>
        <v>0.01</v>
      </c>
      <c r="M28" s="94">
        <f>M6*0.01</f>
        <v>0.91</v>
      </c>
      <c r="N28" s="99">
        <f t="shared" si="24"/>
        <v>0.01</v>
      </c>
      <c r="O28" s="94">
        <f>O6*0.01</f>
        <v>1.1686028991552271</v>
      </c>
      <c r="P28" s="99">
        <f t="shared" si="25"/>
        <v>0.01</v>
      </c>
      <c r="Q28" s="94">
        <f>Q6*0.01</f>
        <v>2.262205798310454</v>
      </c>
      <c r="R28" s="99">
        <f t="shared" si="26"/>
        <v>0.01</v>
      </c>
      <c r="S28" s="94">
        <f>S6*0.01</f>
        <v>2.262205798310454</v>
      </c>
      <c r="T28" s="99">
        <f t="shared" si="27"/>
        <v>0.01</v>
      </c>
      <c r="U28" s="84"/>
      <c r="V28" s="94">
        <f t="shared" ref="V28" si="47">V6*0.01</f>
        <v>0.2</v>
      </c>
      <c r="W28" s="99">
        <f t="shared" si="28"/>
        <v>0.01</v>
      </c>
      <c r="X28" s="94">
        <f t="shared" ref="X28" si="48">X6*0.01</f>
        <v>0.31</v>
      </c>
      <c r="Y28" s="99">
        <f t="shared" si="29"/>
        <v>0.01</v>
      </c>
      <c r="Z28" s="94">
        <f t="shared" ref="Z28" si="49">Z6*0.01</f>
        <v>0.495</v>
      </c>
      <c r="AA28" s="99">
        <f t="shared" si="30"/>
        <v>0.01</v>
      </c>
      <c r="AB28" s="94">
        <f t="shared" ref="AB28" si="50">AB6*0.01</f>
        <v>0.95000000000000007</v>
      </c>
      <c r="AC28" s="99">
        <f t="shared" si="31"/>
        <v>0.01</v>
      </c>
      <c r="AD28" s="94">
        <f t="shared" ref="AD28" si="51">AD6*0.01</f>
        <v>1.8</v>
      </c>
      <c r="AE28" s="99">
        <f t="shared" si="32"/>
        <v>0.01</v>
      </c>
      <c r="AF28" s="131"/>
      <c r="AG28" s="94">
        <f t="shared" ref="AG28" si="52">AG6*0.01</f>
        <v>4.4744115966209081</v>
      </c>
      <c r="AH28" s="99">
        <f t="shared" si="33"/>
        <v>0.01</v>
      </c>
      <c r="AI28" s="94">
        <f t="shared" ref="AI28" si="53">AI6*0.01</f>
        <v>16</v>
      </c>
      <c r="AJ28" s="99">
        <f t="shared" si="34"/>
        <v>0.01</v>
      </c>
      <c r="AK28" s="131"/>
      <c r="AL28" s="94">
        <f t="shared" ref="AL28" si="54">AL6*0.01</f>
        <v>1.085</v>
      </c>
      <c r="AM28" s="99">
        <f t="shared" si="35"/>
        <v>0.01</v>
      </c>
      <c r="AN28" s="94">
        <f t="shared" ref="AN28" si="55">AN6*0.01</f>
        <v>2.27</v>
      </c>
      <c r="AO28" s="99">
        <f t="shared" si="36"/>
        <v>0.01</v>
      </c>
      <c r="AP28" s="84"/>
      <c r="AQ28" s="94">
        <f t="shared" ref="AQ28" si="56">AQ6*0.01</f>
        <v>5.3595000000000006</v>
      </c>
      <c r="AR28" s="99">
        <f t="shared" si="37"/>
        <v>0.01</v>
      </c>
      <c r="AS28" s="94">
        <f t="shared" ref="AS28" si="57">AS6*0.01</f>
        <v>19.777899999999999</v>
      </c>
      <c r="AT28" s="99">
        <f t="shared" si="38"/>
        <v>0.01</v>
      </c>
      <c r="AU28" s="84"/>
      <c r="AV28" s="94">
        <f t="shared" ref="AV28" si="58">AV6*0.01</f>
        <v>1.1500000000000001</v>
      </c>
      <c r="AW28" s="99">
        <f t="shared" si="43"/>
        <v>1.0000000000000002E-2</v>
      </c>
      <c r="AX28" s="94">
        <f t="shared" ref="AX28" si="59">AX6*0.01</f>
        <v>2.4</v>
      </c>
      <c r="AY28" s="99">
        <f t="shared" si="39"/>
        <v>0.01</v>
      </c>
      <c r="AZ28" s="84"/>
      <c r="BA28" s="94">
        <f t="shared" ref="BA28" si="60">BA6*0.01</f>
        <v>5.5143200000000006</v>
      </c>
      <c r="BB28" s="99">
        <f t="shared" si="40"/>
        <v>0.01</v>
      </c>
      <c r="BC28" s="94">
        <f t="shared" ref="BC28" si="61">BC6*0.01</f>
        <v>21.5</v>
      </c>
      <c r="BD28" s="99">
        <f t="shared" si="41"/>
        <v>0.01</v>
      </c>
      <c r="BE28" s="84"/>
      <c r="BF28" s="94">
        <f>BF6*0.01</f>
        <v>14.5</v>
      </c>
      <c r="BG28" s="99">
        <f t="shared" si="42"/>
        <v>0.01</v>
      </c>
      <c r="BH28" s="84"/>
      <c r="BI28" s="84"/>
    </row>
    <row r="29" spans="1:61" x14ac:dyDescent="0.2">
      <c r="A29" s="84"/>
      <c r="B29" s="287">
        <f>'Pricing Trends'!R35</f>
        <v>0</v>
      </c>
      <c r="C29" s="249">
        <f>'Pricing Trends'!S35</f>
        <v>0</v>
      </c>
      <c r="D29" s="223">
        <f>'Pricing Trends'!U35</f>
        <v>0</v>
      </c>
      <c r="E29" s="220" t="b">
        <v>0</v>
      </c>
      <c r="F29" s="84"/>
      <c r="G29" s="247" t="s">
        <v>187</v>
      </c>
      <c r="H29" s="84"/>
      <c r="I29" s="377">
        <f>I6*0.03</f>
        <v>1.05</v>
      </c>
      <c r="J29" s="99">
        <f t="shared" si="22"/>
        <v>3.0000000000000002E-2</v>
      </c>
      <c r="K29" s="377">
        <f>K6*0.03</f>
        <v>1.53</v>
      </c>
      <c r="L29" s="99">
        <f t="shared" si="23"/>
        <v>0.03</v>
      </c>
      <c r="M29" s="377">
        <f>M6*0.03</f>
        <v>2.73</v>
      </c>
      <c r="N29" s="99">
        <f t="shared" si="24"/>
        <v>0.03</v>
      </c>
      <c r="O29" s="94">
        <f>O6*0.03</f>
        <v>3.5058086974656808</v>
      </c>
      <c r="P29" s="99">
        <f t="shared" si="25"/>
        <v>0.03</v>
      </c>
      <c r="Q29" s="94">
        <f>Q6*0.03</f>
        <v>6.786617394931362</v>
      </c>
      <c r="R29" s="99">
        <f t="shared" si="26"/>
        <v>0.03</v>
      </c>
      <c r="S29" s="94">
        <f>S6*0.03</f>
        <v>6.786617394931362</v>
      </c>
      <c r="T29" s="99">
        <f t="shared" si="27"/>
        <v>0.03</v>
      </c>
      <c r="U29" s="84"/>
      <c r="V29" s="94">
        <f t="shared" ref="V29" si="62">V6*0.03</f>
        <v>0.6</v>
      </c>
      <c r="W29" s="99">
        <f t="shared" si="28"/>
        <v>0.03</v>
      </c>
      <c r="X29" s="94">
        <f t="shared" ref="X29" si="63">X6*0.03</f>
        <v>0.92999999999999994</v>
      </c>
      <c r="Y29" s="99">
        <f t="shared" si="29"/>
        <v>0.03</v>
      </c>
      <c r="Z29" s="94">
        <f t="shared" ref="Z29" si="64">Z6*0.03</f>
        <v>1.4849999999999999</v>
      </c>
      <c r="AA29" s="99">
        <f t="shared" si="30"/>
        <v>0.03</v>
      </c>
      <c r="AB29" s="94">
        <f t="shared" ref="AB29" si="65">AB6*0.03</f>
        <v>2.85</v>
      </c>
      <c r="AC29" s="99">
        <f t="shared" si="31"/>
        <v>3.0000000000000002E-2</v>
      </c>
      <c r="AD29" s="94">
        <f t="shared" ref="AD29" si="66">AD6*0.03</f>
        <v>5.3999999999999995</v>
      </c>
      <c r="AE29" s="99">
        <f t="shared" si="32"/>
        <v>2.9999999999999995E-2</v>
      </c>
      <c r="AF29" s="131"/>
      <c r="AG29" s="94">
        <f t="shared" ref="AG29" si="67">AG6*0.03</f>
        <v>13.423234789862724</v>
      </c>
      <c r="AH29" s="99">
        <f t="shared" si="33"/>
        <v>0.03</v>
      </c>
      <c r="AI29" s="94">
        <f t="shared" ref="AI29" si="68">AI6*0.03</f>
        <v>48</v>
      </c>
      <c r="AJ29" s="99">
        <f t="shared" si="34"/>
        <v>0.03</v>
      </c>
      <c r="AK29" s="131"/>
      <c r="AL29" s="94">
        <f t="shared" ref="AL29" si="69">AL6*0.03</f>
        <v>3.2549999999999999</v>
      </c>
      <c r="AM29" s="99">
        <f t="shared" si="35"/>
        <v>0.03</v>
      </c>
      <c r="AN29" s="94">
        <f t="shared" ref="AN29" si="70">AN6*0.03</f>
        <v>6.81</v>
      </c>
      <c r="AO29" s="99">
        <f t="shared" si="36"/>
        <v>0.03</v>
      </c>
      <c r="AP29" s="84"/>
      <c r="AQ29" s="94">
        <f t="shared" ref="AQ29" si="71">AQ6*0.03</f>
        <v>16.078500000000002</v>
      </c>
      <c r="AR29" s="99">
        <f t="shared" si="37"/>
        <v>3.0000000000000002E-2</v>
      </c>
      <c r="AS29" s="94">
        <f t="shared" ref="AS29" si="72">AS6*0.03</f>
        <v>59.333699999999993</v>
      </c>
      <c r="AT29" s="99">
        <f t="shared" si="38"/>
        <v>2.9999999999999995E-2</v>
      </c>
      <c r="AU29" s="84"/>
      <c r="AV29" s="94">
        <f t="shared" ref="AV29" si="73">AV6*0.03</f>
        <v>3.4499999999999997</v>
      </c>
      <c r="AW29" s="99">
        <f t="shared" si="43"/>
        <v>0.03</v>
      </c>
      <c r="AX29" s="94">
        <f t="shared" ref="AX29" si="74">AX6*0.03</f>
        <v>7.1999999999999993</v>
      </c>
      <c r="AY29" s="99">
        <f t="shared" si="39"/>
        <v>2.9999999999999995E-2</v>
      </c>
      <c r="AZ29" s="84"/>
      <c r="BA29" s="94">
        <f t="shared" ref="BA29" si="75">BA6*0.03</f>
        <v>16.542960000000001</v>
      </c>
      <c r="BB29" s="99">
        <f t="shared" si="40"/>
        <v>0.03</v>
      </c>
      <c r="BC29" s="94">
        <f t="shared" ref="BC29" si="76">BC6*0.03</f>
        <v>64.5</v>
      </c>
      <c r="BD29" s="99">
        <f t="shared" si="41"/>
        <v>0.03</v>
      </c>
      <c r="BE29" s="84"/>
      <c r="BF29" s="94">
        <f>BF6*0.03</f>
        <v>43.5</v>
      </c>
      <c r="BG29" s="99">
        <f t="shared" si="42"/>
        <v>0.03</v>
      </c>
      <c r="BH29" s="84"/>
      <c r="BI29" s="84"/>
    </row>
    <row r="30" spans="1:61" x14ac:dyDescent="0.2">
      <c r="A30" s="84"/>
      <c r="B30" s="287">
        <f>'Pricing Trends'!R36</f>
        <v>0</v>
      </c>
      <c r="C30" s="249">
        <f>'Pricing Trends'!S36</f>
        <v>0</v>
      </c>
      <c r="D30" s="223">
        <f>'Pricing Trends'!U36</f>
        <v>0</v>
      </c>
      <c r="E30" s="220" t="b">
        <v>0</v>
      </c>
      <c r="F30" s="84"/>
      <c r="G30" s="247" t="s">
        <v>191</v>
      </c>
      <c r="H30" s="84" t="s">
        <v>192</v>
      </c>
      <c r="I30" s="377">
        <f>M30*0.35</f>
        <v>0</v>
      </c>
      <c r="J30" s="99">
        <f t="shared" si="22"/>
        <v>0</v>
      </c>
      <c r="K30" s="377">
        <f>M30*0.5</f>
        <v>0</v>
      </c>
      <c r="L30" s="99">
        <f t="shared" si="23"/>
        <v>0</v>
      </c>
      <c r="M30" s="377">
        <f>((IFERROR(VLOOKUP(I2&amp;$G$11,Validation!$E:$F,2,FALSE),0)*'Pick Up Cost'!$C$16)+(IFERROR(VLOOKUP(I2&amp;$G$8,Validation!$E:$F,2,FALSE),0)*'Pick Up Cost'!$C$16))</f>
        <v>0</v>
      </c>
      <c r="N30" s="99">
        <f t="shared" si="24"/>
        <v>0</v>
      </c>
      <c r="O30" s="94">
        <f>((IFERROR(VLOOKUP(I2&amp;$G$11,Validation!$E:$F,2,FALSE),0)*'Pick Up Cost'!$C$16)+(IFERROR(VLOOKUP(I2&amp;$G$8,Validation!$E:$F,2,FALSE),0)*'Pick Up Cost'!$C$16))</f>
        <v>0</v>
      </c>
      <c r="P30" s="99">
        <f t="shared" si="25"/>
        <v>0</v>
      </c>
      <c r="Q30" s="94">
        <f>M30*2</f>
        <v>0</v>
      </c>
      <c r="R30" s="99">
        <f t="shared" si="26"/>
        <v>0</v>
      </c>
      <c r="S30" s="94">
        <f>M30*2</f>
        <v>0</v>
      </c>
      <c r="T30" s="99">
        <f t="shared" si="27"/>
        <v>0</v>
      </c>
      <c r="U30" s="84"/>
      <c r="V30" s="94">
        <f>$AB30*0.18</f>
        <v>0</v>
      </c>
      <c r="W30" s="99">
        <f>V30/V$6</f>
        <v>0</v>
      </c>
      <c r="X30" s="94">
        <f>$AB30*0.3</f>
        <v>0</v>
      </c>
      <c r="Y30" s="99">
        <f>X30/X$6</f>
        <v>0</v>
      </c>
      <c r="Z30" s="94">
        <f>$AB30*0.5</f>
        <v>0</v>
      </c>
      <c r="AA30" s="99">
        <f>Z30/Z$6</f>
        <v>0</v>
      </c>
      <c r="AB30" s="94">
        <f>((IFERROR(VLOOKUP(V2&amp;$G$11,Validation!$E:$F,2,FALSE),0)*'Pick Up Cost'!$C$16)+(IFERROR(VLOOKUP(V2&amp;$G$8,Validation!$E:$F,2,FALSE),0)*'Pick Up Cost'!$C$16))</f>
        <v>0</v>
      </c>
      <c r="AC30" s="99">
        <f>AB30/AB$6</f>
        <v>0</v>
      </c>
      <c r="AD30" s="94">
        <f>$AB30*2</f>
        <v>0</v>
      </c>
      <c r="AE30" s="99">
        <f>AD30/AD$6</f>
        <v>0</v>
      </c>
      <c r="AF30" s="131"/>
      <c r="AG30" s="94">
        <f>((IFERROR(VLOOKUP(AG2&amp;$G$11,Validation!$E:$F,2,FALSE),0)*'Pick Up Cost'!$C$16)+(IFERROR(VLOOKUP(AG2&amp;$G$8,Validation!$E:$F,2,FALSE),0)*'Pick Up Cost'!$C$16))*AH5</f>
        <v>0</v>
      </c>
      <c r="AH30" s="99">
        <f>AG30/AG$6</f>
        <v>0</v>
      </c>
      <c r="AI30" s="94">
        <f>((IFERROR(VLOOKUP(AG2&amp;$G$11,Validation!$E:$F,2,FALSE),0)*'Pick Up Cost'!$C$16)+(IFERROR(VLOOKUP(AG2&amp;$G$8,Validation!$E:$F,2,FALSE),0)*'Pick Up Cost'!$C$16))*15.66*1.1364</f>
        <v>0</v>
      </c>
      <c r="AJ30" s="99">
        <f>AI30/AI$6</f>
        <v>0</v>
      </c>
      <c r="AK30" s="131"/>
      <c r="AL30" s="94">
        <f>((IFERROR(VLOOKUP(AL2&amp;$G$11,Validation!$E:$F,2,FALSE),0)*'Pick Up Cost'!$C$16)+(IFERROR(VLOOKUP(AL2&amp;$G$8,Validation!$E:$F,2,FALSE),0)*'Pick Up Cost'!$C$16))</f>
        <v>0</v>
      </c>
      <c r="AM30" s="99">
        <f>AL30/AL$6</f>
        <v>0</v>
      </c>
      <c r="AN30" s="94">
        <f>AL30*2</f>
        <v>0</v>
      </c>
      <c r="AO30" s="99">
        <f>AN30/AN$6</f>
        <v>0</v>
      </c>
      <c r="AP30" s="84"/>
      <c r="AQ30" s="94">
        <f>((IFERROR(VLOOKUP(AQ2&amp;$G$11,Validation!$E:$F,2,FALSE),0)*'Pick Up Cost'!$C$16)+(IFERROR(VLOOKUP(AQ2&amp;$G$8,Validation!$E:$F,2,FALSE),0)*'Pick Up Cost'!$C$16))*AR5</f>
        <v>0</v>
      </c>
      <c r="AR30" s="99">
        <f>AQ30/AQ$6</f>
        <v>0</v>
      </c>
      <c r="AS30" s="94">
        <f>((IFERROR(VLOOKUP(AQ2&amp;$G$11,Validation!$E:$F,2,FALSE),0)*'Pick Up Cost'!$C$16)+(IFERROR(VLOOKUP(AQ2&amp;$G$8,Validation!$E:$F,2,FALSE),0)*'Pick Up Cost'!$C$16))*AR5*15.66*1.1364</f>
        <v>0</v>
      </c>
      <c r="AT30" s="99">
        <f>AS30/AS$6</f>
        <v>0</v>
      </c>
      <c r="AU30" s="84"/>
      <c r="AV30" s="94">
        <f>((IFERROR(VLOOKUP(AV2&amp;$G$11,Validation!$E:$F,2,FALSE),0)*'Pick Up Cost'!$C$16)+(IFERROR(VLOOKUP(AV2&amp;$G$8,Validation!$E:$F,2,FALSE),0)*'Pick Up Cost'!$C$16))</f>
        <v>0</v>
      </c>
      <c r="AW30" s="99">
        <f>AV30/AV$6</f>
        <v>0</v>
      </c>
      <c r="AX30" s="94">
        <f>AV30*2</f>
        <v>0</v>
      </c>
      <c r="AY30" s="99">
        <f>AX30/AX$6</f>
        <v>0</v>
      </c>
      <c r="AZ30" s="84"/>
      <c r="BA30" s="94">
        <f>((IFERROR(VLOOKUP(I2&amp;$G$11,Validation!$E:$F,2,FALSE),0)*'Pick Up Cost'!$C$16)+(IFERROR(VLOOKUP(I2&amp;$G$8,Validation!$E:$F,2,FALSE),0)*'Pick Up Cost'!$C$16))*BB5</f>
        <v>0</v>
      </c>
      <c r="BB30" s="99">
        <f>BA30/BA$6</f>
        <v>0</v>
      </c>
      <c r="BC30" s="94">
        <f>((IFERROR(VLOOKUP(I2&amp;$G$11,Validation!$E:$F,2,FALSE),0)*'Pick Up Cost'!$C$16)+(IFERROR(VLOOKUP(I2&amp;$G$8,Validation!$E:$F,2,FALSE),0)*'Pick Up Cost'!$C$16))*15.66*1.1364</f>
        <v>0</v>
      </c>
      <c r="BD30" s="99">
        <f>BC30/BC$6</f>
        <v>0</v>
      </c>
      <c r="BE30" s="84"/>
      <c r="BF30" s="94">
        <f>((IFERROR(VLOOKUP(BF2&amp;$G$11,Validation!$E:$F,2,FALSE),0)*'Pick Up Cost'!$C$16)+(IFERROR(VLOOKUP(BF2&amp;$G$8,Validation!$E:$F,2,FALSE),0)*'Pick Up Cost'!$C$16))*15.66*1.1364</f>
        <v>31.143042000000005</v>
      </c>
      <c r="BG30" s="99">
        <f t="shared" si="42"/>
        <v>2.1477960000000004E-2</v>
      </c>
      <c r="BH30" s="84"/>
      <c r="BI30" s="84"/>
    </row>
    <row r="31" spans="1:61" x14ac:dyDescent="0.2">
      <c r="A31" s="84"/>
      <c r="B31" s="287">
        <f>'Pricing Trends'!R37</f>
        <v>0</v>
      </c>
      <c r="C31" s="249">
        <f>'Pricing Trends'!S37</f>
        <v>0</v>
      </c>
      <c r="D31" s="223">
        <f>'Pricing Trends'!U37</f>
        <v>0</v>
      </c>
      <c r="E31" s="220" t="b">
        <v>0</v>
      </c>
      <c r="F31" s="84"/>
      <c r="G31" s="297" t="s">
        <v>196</v>
      </c>
      <c r="H31" s="84"/>
      <c r="I31" s="377">
        <f>M31*0.35</f>
        <v>0</v>
      </c>
      <c r="J31" s="99">
        <f t="shared" si="22"/>
        <v>0</v>
      </c>
      <c r="K31" s="377">
        <f>M31*0.5</f>
        <v>0</v>
      </c>
      <c r="L31" s="99">
        <f t="shared" si="23"/>
        <v>0</v>
      </c>
      <c r="M31" s="377"/>
      <c r="N31" s="99">
        <f t="shared" si="24"/>
        <v>0</v>
      </c>
      <c r="O31" s="94">
        <f>((IFERROR(VLOOKUP(I2&amp;$G$7,Validation!$E:$F,2,FALSE),0)*'Shipping Cost'!$E$4)+(IFERROR(VLOOKUP(I2&amp;$G$9,Validation!$E:$F,2,FALSE),0)*'Shipping Cost'!$C$4)+(IFERROR(VLOOKUP(I2&amp;$G$10,Validation!$E:$F,2,FALSE),0)*'Shipping Cost'!$D$4))</f>
        <v>5.1584602222785572</v>
      </c>
      <c r="P31" s="99">
        <f t="shared" si="25"/>
        <v>4.4142113852426376E-2</v>
      </c>
      <c r="Q31" s="94">
        <f>M31*2</f>
        <v>0</v>
      </c>
      <c r="R31" s="99">
        <f t="shared" si="26"/>
        <v>0</v>
      </c>
      <c r="S31" s="94">
        <f>M31*2</f>
        <v>0</v>
      </c>
      <c r="T31" s="99">
        <f t="shared" si="27"/>
        <v>0</v>
      </c>
      <c r="U31" s="84"/>
      <c r="V31" s="94">
        <f>$AB31*0.18</f>
        <v>0.92852284001014029</v>
      </c>
      <c r="W31" s="99">
        <f>V31/V$6</f>
        <v>4.6426142000507015E-2</v>
      </c>
      <c r="X31" s="94">
        <f>$AB31*0.3</f>
        <v>1.5475380666835672</v>
      </c>
      <c r="Y31" s="99">
        <f>X31/X$6</f>
        <v>4.9920582796244103E-2</v>
      </c>
      <c r="Z31" s="94">
        <f>$AB31*0.5</f>
        <v>2.5792301111392786</v>
      </c>
      <c r="AA31" s="99">
        <f>Z31/Z$6</f>
        <v>5.2105658810894517E-2</v>
      </c>
      <c r="AB31" s="94">
        <f>((IFERROR(VLOOKUP(V2&amp;$G$7,Validation!$E:$F,2,FALSE),0)*'Shipping Cost'!$E$4)+(IFERROR(VLOOKUP(V2&amp;$G$9,Validation!$E:$F,2,FALSE),0)*'Shipping Cost'!$C$4)+(IFERROR(VLOOKUP(V2&amp;$G$10,Validation!$E:$F,2,FALSE),0)*'Shipping Cost'!$D$4))</f>
        <v>5.1584602222785572</v>
      </c>
      <c r="AC31" s="99">
        <f>AB31/AB$6</f>
        <v>5.4299581287142705E-2</v>
      </c>
      <c r="AD31" s="94">
        <f>$AB31*2</f>
        <v>10.316920444557114</v>
      </c>
      <c r="AE31" s="99">
        <f>AD31/AD$6</f>
        <v>5.7316224691983969E-2</v>
      </c>
      <c r="AF31" s="131"/>
      <c r="AG31" s="94">
        <f>((IFERROR(VLOOKUP(AG2&amp;$G$7,Validation!$E:$F,2,FALSE),0)*'Shipping Cost'!$E$4)+(IFERROR(VLOOKUP(AG2&amp;$G$9,Validation!$E:$F,2,FALSE),0)*'Shipping Cost'!$C$4)+(IFERROR(VLOOKUP(AG2&amp;$G$10,Validation!$E:$F,2,FALSE),0)*'Shipping Cost'!$D$4))*AH5</f>
        <v>20.633840889114229</v>
      </c>
      <c r="AH31" s="99">
        <f>AG31/AG$6</f>
        <v>4.6115205191889323E-2</v>
      </c>
      <c r="AI31" s="94">
        <f>((IFERROR(VLOOKUP(AG2&amp;$G$7,Validation!$E:$F,2,FALSE),0)*'Shipping Cost'!$E$4)+(IFERROR(VLOOKUP(AG2&amp;$G$9,Validation!$E:$F,2,FALSE),0)*'Shipping Cost'!$C$4)+(IFERROR(VLOOKUP(AG2&amp;$G$10,Validation!$E:$F,2,FALSE),0)*'Shipping Cost'!$D$4))*15.66*1.1364</f>
        <v>91.80008191871454</v>
      </c>
      <c r="AJ31" s="99">
        <f>AI31/AI$6</f>
        <v>5.7375051199196586E-2</v>
      </c>
      <c r="AK31" s="131"/>
      <c r="AL31" s="94">
        <f>((IFERROR(VLOOKUP(AL2&amp;$G$7,Validation!$E:$F,2,FALSE),0)*'Shipping Cost'!$E$4)+(IFERROR(VLOOKUP(AL2&amp;$G$9,Validation!$E:$F,2,FALSE),0)*'Shipping Cost'!$C$4)+(IFERROR(VLOOKUP(AL2&amp;$G$10,Validation!$E:$F,2,FALSE),0)*'Shipping Cost'!$D$4))</f>
        <v>5.2559199593985086</v>
      </c>
      <c r="AM31" s="99">
        <f>AL31/AL$6</f>
        <v>4.8441658611967822E-2</v>
      </c>
      <c r="AN31" s="94">
        <f>AL31*2</f>
        <v>10.511839918797017</v>
      </c>
      <c r="AO31" s="99">
        <f>AN31/AN$6</f>
        <v>4.6307664840515496E-2</v>
      </c>
      <c r="AP31" s="84"/>
      <c r="AQ31" s="94">
        <f>((IFERROR(VLOOKUP(AQ2&amp;$G$7,Validation!$E:$F,2,FALSE),0)*'Shipping Cost'!$E$4)+(IFERROR(VLOOKUP(AQ2&amp;$G$9,Validation!$E:$F,2,FALSE),0)*'Shipping Cost'!$C$4)+(IFERROR(VLOOKUP(AQ2&amp;$G$10,Validation!$E:$F,2,FALSE),0)*'Shipping Cost'!$D$4))*AR5</f>
        <v>21.023679837594035</v>
      </c>
      <c r="AR31" s="99">
        <f>AQ31/AQ$6</f>
        <v>3.9226942508804985E-2</v>
      </c>
      <c r="AS31" s="94">
        <f>((IFERROR(VLOOKUP(I2&amp;$G$7,Validation!$E:$F,2,FALSE),0)*'Shipping Cost'!$E$4)+(IFERROR(VLOOKUP(I2&amp;$G$9,Validation!$E:$F,2,FALSE),0)*'Shipping Cost'!$C$4)+(IFERROR(VLOOKUP(I2&amp;$G$10,Validation!$E:$F,2,FALSE),0)*'Shipping Cost'!$D$4))*15.66*1.1364</f>
        <v>91.80008191871454</v>
      </c>
      <c r="AT31" s="99">
        <f>AS31/AS$6</f>
        <v>4.6415484919387066E-2</v>
      </c>
      <c r="AU31" s="84"/>
      <c r="AV31" s="94">
        <f>((IFERROR(VLOOKUP(AV2&amp;$G$7,Validation!$E:$F,2,FALSE),0)*'Shipping Cost'!$E$4)+(IFERROR(VLOOKUP(AV2&amp;$G$9,Validation!$E:$F,2,FALSE),0)*'Shipping Cost'!$C$4)+(IFERROR(VLOOKUP(AV2&amp;$G$10,Validation!$E:$F,2,FALSE),0)*'Shipping Cost'!$D$4))</f>
        <v>5.2868079199560842</v>
      </c>
      <c r="AW31" s="99">
        <f>AV31/AV$6</f>
        <v>4.5972242782226821E-2</v>
      </c>
      <c r="AX31" s="94">
        <f>AV31*2</f>
        <v>10.573615839912168</v>
      </c>
      <c r="AY31" s="99">
        <f>AX31/AX$6</f>
        <v>4.4056732666300703E-2</v>
      </c>
      <c r="AZ31" s="84"/>
      <c r="BA31" s="94">
        <f>((IFERROR(VLOOKUP(BA2&amp;$G$7,Validation!$E:$F,2,FALSE),0)*'Shipping Cost'!$E$4)+(IFERROR(VLOOKUP(BA2&amp;$G$9,Validation!$E:$F,2,FALSE),0)*'Shipping Cost'!$C$4)+(IFERROR(VLOOKUP(BA2&amp;$G$10,Validation!$E:$F,2,FALSE),0)*'Shipping Cost'!$D$4))*BB5</f>
        <v>21.147231679824337</v>
      </c>
      <c r="BB31" s="99">
        <f>BA31/BA$6</f>
        <v>3.8349663566540092E-2</v>
      </c>
      <c r="BC31" s="94">
        <f>((IFERROR(VLOOKUP(BA2&amp;$G$7,Validation!$E:$F,2,FALSE),0)*'Shipping Cost'!$E$4)+(IFERROR(VLOOKUP(BA2&amp;$G$9,Validation!$E:$F,2,FALSE),0)*'Shipping Cost'!$C$4)+(IFERROR(VLOOKUP(BA2&amp;$G$10,Validation!$E:$F,2,FALSE),0)*'Shipping Cost'!$D$4))*15.66*1.1364</f>
        <v>94.084160626928551</v>
      </c>
      <c r="BD31" s="99">
        <f>BC31/BC$6</f>
        <v>4.3760074710199326E-2</v>
      </c>
      <c r="BE31" s="84"/>
      <c r="BF31" s="94">
        <f>((IFERROR(VLOOKUP(BF2&amp;$G$7,Validation!$E:$F,2,FALSE),0)*'Shipping Cost'!$E$4)+(IFERROR(VLOOKUP(BF2&amp;$G$9,Validation!$E:$F,2,FALSE),0)*'Shipping Cost'!$C$4)+(IFERROR(VLOOKUP(BF2&amp;$G$10,Validation!$E:$F,2,FALSE),0)*'Shipping Cost'!$D$4))</f>
        <v>0</v>
      </c>
      <c r="BG31" s="99">
        <f t="shared" si="42"/>
        <v>0</v>
      </c>
      <c r="BH31" s="84"/>
      <c r="BI31" s="84"/>
    </row>
    <row r="32" spans="1:61" x14ac:dyDescent="0.2">
      <c r="A32" s="84"/>
      <c r="B32" s="287" t="str">
        <f>'Pricing Trends'!R38</f>
        <v>RBD COCONUT OIL</v>
      </c>
      <c r="C32" s="249">
        <f>'Pricing Trends'!S38</f>
        <v>45468</v>
      </c>
      <c r="D32" s="223">
        <f>'Pricing Trends'!U38</f>
        <v>85.357268567405839</v>
      </c>
      <c r="E32" s="220" t="b">
        <v>0</v>
      </c>
      <c r="F32" s="84"/>
      <c r="G32" s="247" t="s">
        <v>200</v>
      </c>
      <c r="H32" s="84"/>
      <c r="I32" s="94"/>
      <c r="J32" s="99">
        <f t="shared" si="22"/>
        <v>0</v>
      </c>
      <c r="K32" s="94">
        <f t="shared" ref="K32" si="77">K6*0.01</f>
        <v>0.51</v>
      </c>
      <c r="L32" s="99">
        <f t="shared" si="23"/>
        <v>0.01</v>
      </c>
      <c r="M32" s="94"/>
      <c r="N32" s="99">
        <f t="shared" si="24"/>
        <v>0</v>
      </c>
      <c r="O32" s="94">
        <f t="shared" ref="O32" si="78">O6*0.01</f>
        <v>1.1686028991552271</v>
      </c>
      <c r="P32" s="99">
        <f t="shared" si="25"/>
        <v>0.01</v>
      </c>
      <c r="Q32" s="94">
        <f t="shared" ref="Q32" si="79">Q6*0.01</f>
        <v>2.262205798310454</v>
      </c>
      <c r="R32" s="99">
        <f t="shared" si="26"/>
        <v>0.01</v>
      </c>
      <c r="S32" s="94">
        <f t="shared" ref="S32" si="80">S6*0.01</f>
        <v>2.262205798310454</v>
      </c>
      <c r="T32" s="99">
        <f t="shared" si="27"/>
        <v>0.01</v>
      </c>
      <c r="U32" s="84"/>
      <c r="V32" s="94">
        <f t="shared" ref="V32" si="81">V6*0.01</f>
        <v>0.2</v>
      </c>
      <c r="W32" s="99">
        <f t="shared" ref="W32:AE33" si="82">V32/V$6</f>
        <v>0.01</v>
      </c>
      <c r="X32" s="94">
        <f t="shared" ref="X32" si="83">X6*0.01</f>
        <v>0.31</v>
      </c>
      <c r="Y32" s="99">
        <f t="shared" ref="Y32" si="84">X32/X$6</f>
        <v>0.01</v>
      </c>
      <c r="Z32" s="94">
        <f t="shared" ref="Z32" si="85">Z6*0.01</f>
        <v>0.495</v>
      </c>
      <c r="AA32" s="99">
        <f t="shared" ref="AA32" si="86">Z32/Z$6</f>
        <v>0.01</v>
      </c>
      <c r="AB32" s="94">
        <f t="shared" ref="AB32" si="87">AB6*0.01</f>
        <v>0.95000000000000007</v>
      </c>
      <c r="AC32" s="99">
        <f t="shared" ref="AC32" si="88">AB32/AB$6</f>
        <v>0.01</v>
      </c>
      <c r="AD32" s="94">
        <f t="shared" ref="AD32" si="89">AD6*0.01</f>
        <v>1.8</v>
      </c>
      <c r="AE32" s="99">
        <f t="shared" ref="AE32" si="90">AD32/AD$6</f>
        <v>0.01</v>
      </c>
      <c r="AF32" s="131"/>
      <c r="AG32" s="94">
        <f t="shared" ref="AG32" si="91">AG6*0.01</f>
        <v>4.4744115966209081</v>
      </c>
      <c r="AH32" s="99">
        <f t="shared" ref="AH32:AJ33" si="92">AG32/AG$6</f>
        <v>0.01</v>
      </c>
      <c r="AI32" s="94">
        <f t="shared" ref="AI32" si="93">AI6*0.01</f>
        <v>16</v>
      </c>
      <c r="AJ32" s="99">
        <f t="shared" ref="AJ32" si="94">AI32/AI$6</f>
        <v>0.01</v>
      </c>
      <c r="AK32" s="131"/>
      <c r="AL32" s="94">
        <f>AL10*0.05</f>
        <v>3.762</v>
      </c>
      <c r="AM32" s="99">
        <f t="shared" ref="AM32:AO33" si="95">AL32/AL$6</f>
        <v>3.4672811059907833E-2</v>
      </c>
      <c r="AN32" s="94">
        <f t="shared" ref="AN32" si="96">AN6*0.01</f>
        <v>2.27</v>
      </c>
      <c r="AO32" s="99">
        <f t="shared" ref="AO32" si="97">AN32/AN$6</f>
        <v>0.01</v>
      </c>
      <c r="AP32" s="84"/>
      <c r="AQ32" s="94">
        <f t="shared" ref="AQ32" si="98">AQ6*0.01</f>
        <v>5.3595000000000006</v>
      </c>
      <c r="AR32" s="99">
        <f t="shared" ref="AR32:AT33" si="99">AQ32/AQ$6</f>
        <v>0.01</v>
      </c>
      <c r="AS32" s="94">
        <f t="shared" ref="AS32" si="100">AS6*0.01</f>
        <v>19.777899999999999</v>
      </c>
      <c r="AT32" s="99">
        <f t="shared" ref="AT32" si="101">AS32/AS$6</f>
        <v>0.01</v>
      </c>
      <c r="AU32" s="84"/>
      <c r="AV32" s="94">
        <f>AV7*0.05</f>
        <v>3.7814999999999999</v>
      </c>
      <c r="AW32" s="99">
        <f t="shared" ref="AW32:AY33" si="102">AV32/AV$6</f>
        <v>3.2882608695652175E-2</v>
      </c>
      <c r="AX32" s="94">
        <f t="shared" ref="AX32" si="103">AX6*0.01</f>
        <v>2.4</v>
      </c>
      <c r="AY32" s="99">
        <f t="shared" ref="AY32" si="104">AX32/AX$6</f>
        <v>0.01</v>
      </c>
      <c r="AZ32" s="84"/>
      <c r="BA32" s="94">
        <f t="shared" ref="BA32" si="105">BA6*0.01</f>
        <v>5.5143200000000006</v>
      </c>
      <c r="BB32" s="99">
        <f t="shared" ref="BB32:BD33" si="106">BA32/BA$6</f>
        <v>0.01</v>
      </c>
      <c r="BC32" s="94">
        <f t="shared" ref="BC32" si="107">BC6*0.01</f>
        <v>21.5</v>
      </c>
      <c r="BD32" s="99">
        <f t="shared" ref="BD32" si="108">BC32/BC$6</f>
        <v>0.01</v>
      </c>
      <c r="BE32" s="84"/>
      <c r="BF32" s="94">
        <f>BF6*0.01</f>
        <v>14.5</v>
      </c>
      <c r="BG32" s="99">
        <f t="shared" si="42"/>
        <v>0.01</v>
      </c>
      <c r="BH32" s="84"/>
      <c r="BI32" s="84"/>
    </row>
    <row r="33" spans="1:61" x14ac:dyDescent="0.2">
      <c r="A33" s="84"/>
      <c r="B33" s="287">
        <f>'Pricing Trends'!R39</f>
        <v>0</v>
      </c>
      <c r="C33" s="249">
        <f>'Pricing Trends'!S39</f>
        <v>0</v>
      </c>
      <c r="D33" s="223">
        <f>'Pricing Trends'!U39</f>
        <v>0</v>
      </c>
      <c r="E33" s="220" t="b">
        <v>0</v>
      </c>
      <c r="F33" s="84"/>
      <c r="G33" s="247" t="s">
        <v>204</v>
      </c>
      <c r="H33" s="84"/>
      <c r="I33" s="94"/>
      <c r="J33" s="99">
        <f t="shared" si="22"/>
        <v>0</v>
      </c>
      <c r="K33" s="94">
        <f t="shared" ref="K33" si="109">K6*0.01</f>
        <v>0.51</v>
      </c>
      <c r="L33" s="99">
        <f t="shared" si="23"/>
        <v>0.01</v>
      </c>
      <c r="M33" s="94"/>
      <c r="N33" s="99">
        <f t="shared" si="24"/>
        <v>0</v>
      </c>
      <c r="O33" s="94">
        <f t="shared" ref="O33" si="110">O6*0.01</f>
        <v>1.1686028991552271</v>
      </c>
      <c r="P33" s="99">
        <f t="shared" si="25"/>
        <v>0.01</v>
      </c>
      <c r="Q33" s="94">
        <f t="shared" ref="Q33" si="111">Q6*0.01</f>
        <v>2.262205798310454</v>
      </c>
      <c r="R33" s="99">
        <f t="shared" si="26"/>
        <v>0.01</v>
      </c>
      <c r="S33" s="94">
        <f t="shared" ref="S33:AD33" si="112">S6*0.01</f>
        <v>2.262205798310454</v>
      </c>
      <c r="T33" s="99">
        <f t="shared" si="27"/>
        <v>0.01</v>
      </c>
      <c r="U33" s="84"/>
      <c r="V33" s="94">
        <f t="shared" si="112"/>
        <v>0.2</v>
      </c>
      <c r="W33" s="99">
        <f t="shared" si="82"/>
        <v>0.01</v>
      </c>
      <c r="X33" s="94">
        <f t="shared" si="112"/>
        <v>0.31</v>
      </c>
      <c r="Y33" s="99">
        <f t="shared" si="82"/>
        <v>0.01</v>
      </c>
      <c r="Z33" s="94">
        <f t="shared" si="112"/>
        <v>0.495</v>
      </c>
      <c r="AA33" s="99">
        <f t="shared" si="82"/>
        <v>0.01</v>
      </c>
      <c r="AB33" s="94">
        <f t="shared" si="112"/>
        <v>0.95000000000000007</v>
      </c>
      <c r="AC33" s="99">
        <f t="shared" si="82"/>
        <v>0.01</v>
      </c>
      <c r="AD33" s="94">
        <f t="shared" si="112"/>
        <v>1.8</v>
      </c>
      <c r="AE33" s="99">
        <f t="shared" si="82"/>
        <v>0.01</v>
      </c>
      <c r="AF33" s="131"/>
      <c r="AG33" s="94">
        <f t="shared" ref="AG33:AI33" si="113">AG6*0.01</f>
        <v>4.4744115966209081</v>
      </c>
      <c r="AH33" s="99">
        <f t="shared" si="92"/>
        <v>0.01</v>
      </c>
      <c r="AI33" s="94">
        <f t="shared" si="113"/>
        <v>16</v>
      </c>
      <c r="AJ33" s="99">
        <f t="shared" si="92"/>
        <v>0.01</v>
      </c>
      <c r="AK33" s="131"/>
      <c r="AL33" s="94">
        <f t="shared" ref="AL33:AN33" si="114">AL6*0.01</f>
        <v>1.085</v>
      </c>
      <c r="AM33" s="99">
        <f t="shared" si="95"/>
        <v>0.01</v>
      </c>
      <c r="AN33" s="94">
        <f t="shared" si="114"/>
        <v>2.27</v>
      </c>
      <c r="AO33" s="99">
        <f t="shared" si="95"/>
        <v>0.01</v>
      </c>
      <c r="AP33" s="84"/>
      <c r="AQ33" s="94">
        <f t="shared" ref="AQ33:AS33" si="115">AQ6*0.01</f>
        <v>5.3595000000000006</v>
      </c>
      <c r="AR33" s="99">
        <f t="shared" si="99"/>
        <v>0.01</v>
      </c>
      <c r="AS33" s="94">
        <f t="shared" si="115"/>
        <v>19.777899999999999</v>
      </c>
      <c r="AT33" s="99">
        <f t="shared" si="99"/>
        <v>0.01</v>
      </c>
      <c r="AU33" s="84"/>
      <c r="AV33" s="94">
        <f t="shared" ref="AV33:AX33" si="116">AV6*0.01</f>
        <v>1.1500000000000001</v>
      </c>
      <c r="AW33" s="99">
        <f t="shared" si="102"/>
        <v>1.0000000000000002E-2</v>
      </c>
      <c r="AX33" s="94">
        <f t="shared" si="116"/>
        <v>2.4</v>
      </c>
      <c r="AY33" s="99">
        <f t="shared" si="102"/>
        <v>0.01</v>
      </c>
      <c r="AZ33" s="84"/>
      <c r="BA33" s="94">
        <f t="shared" ref="BA33:BC33" si="117">BA6*0.01</f>
        <v>5.5143200000000006</v>
      </c>
      <c r="BB33" s="99">
        <f t="shared" si="106"/>
        <v>0.01</v>
      </c>
      <c r="BC33" s="94">
        <f t="shared" si="117"/>
        <v>21.5</v>
      </c>
      <c r="BD33" s="99">
        <f t="shared" si="106"/>
        <v>0.01</v>
      </c>
      <c r="BE33" s="84"/>
      <c r="BF33" s="94">
        <f t="shared" ref="BF33" si="118">BF6*0.01</f>
        <v>14.5</v>
      </c>
      <c r="BG33" s="99">
        <f t="shared" si="42"/>
        <v>0.01</v>
      </c>
      <c r="BH33" s="84"/>
      <c r="BI33" s="84"/>
    </row>
    <row r="34" spans="1:61" x14ac:dyDescent="0.2">
      <c r="A34" s="84"/>
      <c r="B34" s="287" t="str">
        <f>'Pricing Trends'!R40</f>
        <v>RBD CANOLA OIL</v>
      </c>
      <c r="C34" s="249">
        <f>'Pricing Trends'!S40</f>
        <v>0</v>
      </c>
      <c r="D34" s="223">
        <f>'Pricing Trends'!U40</f>
        <v>83.220041256354207</v>
      </c>
      <c r="E34" s="220" t="b">
        <v>1</v>
      </c>
      <c r="F34" s="84"/>
      <c r="G34" s="297" t="s">
        <v>211</v>
      </c>
      <c r="H34" s="84"/>
      <c r="I34" s="94"/>
      <c r="J34" s="99">
        <f t="shared" si="22"/>
        <v>0</v>
      </c>
      <c r="K34" s="94">
        <f>((K6/1.12)*0.12)-((K17/1.12)*0.12)</f>
        <v>0.50661525894950454</v>
      </c>
      <c r="L34" s="99">
        <f>K34/K$6</f>
        <v>9.9336325284216584E-3</v>
      </c>
      <c r="M34" s="94"/>
      <c r="N34" s="99">
        <f>M34/M$6</f>
        <v>0</v>
      </c>
      <c r="O34" s="94">
        <f>((O6/1.12)*0.12)-((O17/1.12)*0.12)</f>
        <v>5.0561210623774313</v>
      </c>
      <c r="P34" s="99">
        <f>O34/O$6</f>
        <v>4.3266374454765243E-2</v>
      </c>
      <c r="Q34" s="94">
        <f>((Q6/1.12)*0.12)-((Q17/1.12)*0.12)</f>
        <v>8.952956410469147</v>
      </c>
      <c r="R34" s="99">
        <f>Q34/Q$6</f>
        <v>3.9576224307955238E-2</v>
      </c>
      <c r="S34" s="94">
        <f>((S6/1.12)*0.12)-((S17/1.12)*0.12)</f>
        <v>8.4672421247548595</v>
      </c>
      <c r="T34" s="99">
        <f>S34/S$6</f>
        <v>3.7429141641660918E-2</v>
      </c>
      <c r="U34" s="84"/>
      <c r="V34" s="94">
        <f>V6*0.02</f>
        <v>0.4</v>
      </c>
      <c r="W34" s="99">
        <f>V34/V$6</f>
        <v>0.02</v>
      </c>
      <c r="X34" s="94">
        <f>X6*0.02</f>
        <v>0.62</v>
      </c>
      <c r="Y34" s="99">
        <f>X34/X$6</f>
        <v>0.02</v>
      </c>
      <c r="Z34" s="94">
        <f>Z6*0.02</f>
        <v>0.99</v>
      </c>
      <c r="AA34" s="99">
        <f>Z34/Z$6</f>
        <v>0.02</v>
      </c>
      <c r="AB34" s="94">
        <f>AB6*0.02</f>
        <v>1.9000000000000001</v>
      </c>
      <c r="AC34" s="99">
        <f>AB34/AB$6</f>
        <v>0.02</v>
      </c>
      <c r="AD34" s="94">
        <f>AD6*0.02</f>
        <v>3.6</v>
      </c>
      <c r="AE34" s="99">
        <f>AD34/AD$6</f>
        <v>0.02</v>
      </c>
      <c r="AF34" s="131"/>
      <c r="AG34" s="94">
        <f>((AG6/1.12)*0.12)-((AG17/1.12)*0.12)</f>
        <v>17.273948535224012</v>
      </c>
      <c r="AH34" s="99">
        <f>AG34/AG$6</f>
        <v>3.8606078502633423E-2</v>
      </c>
      <c r="AI34" s="94">
        <f>((AI6/1.12)*0.12)-((AI17/1.12)*0.12)</f>
        <v>55.780168817588574</v>
      </c>
      <c r="AJ34" s="99">
        <f>AI34/AI$6</f>
        <v>3.4862605510992857E-2</v>
      </c>
      <c r="AK34" s="131"/>
      <c r="AL34" s="377">
        <f>((AL6/1.12)*0.12)-((AL17/1.12)*0.12)</f>
        <v>2.6408928571428589</v>
      </c>
      <c r="AM34" s="99">
        <f>AL34/AL$6</f>
        <v>2.4340026333113909E-2</v>
      </c>
      <c r="AN34" s="94">
        <f>((AN6/1.12)*0.12)-((AN17/1.12)*0.12)</f>
        <v>4.1349911593526691</v>
      </c>
      <c r="AO34" s="99">
        <f>AN34/AN$6</f>
        <v>1.8215820085254048E-2</v>
      </c>
      <c r="AP34" s="84"/>
      <c r="AQ34" s="94">
        <f>((AQ6/1.12)*0.12)-((AQ17/1.12)*0.12)</f>
        <v>17.085518032991061</v>
      </c>
      <c r="AR34" s="99">
        <f>AQ34/AQ$6</f>
        <v>3.1878940261201714E-2</v>
      </c>
      <c r="AS34" s="94">
        <f>((AS6/1.12)*0.12)-((AS17/1.12)*0.12)</f>
        <v>53.229015912956783</v>
      </c>
      <c r="AT34" s="99">
        <f>AS34/AS$6</f>
        <v>2.6913381053072765E-2</v>
      </c>
      <c r="AU34" s="84"/>
      <c r="AV34" s="377">
        <f>((AV6/1.12)*0.12)-((AV17/1.12)*0.12)</f>
        <v>3.2955357142857142</v>
      </c>
      <c r="AW34" s="99">
        <f>AV34/AV$6</f>
        <v>2.8656832298136644E-2</v>
      </c>
      <c r="AX34" s="94">
        <f>((AX6/1.12)*0.12)-((AX17/1.12)*0.12)</f>
        <v>8.4616703071428567</v>
      </c>
      <c r="AY34" s="99">
        <f>AX34/AX$6</f>
        <v>3.5256959613095239E-2</v>
      </c>
      <c r="AZ34" s="84"/>
      <c r="BA34" s="94">
        <f>((BA6/1.12)*0.12)-((BA17/1.12)*0.12)</f>
        <v>24.804804900000001</v>
      </c>
      <c r="BB34" s="99">
        <f>BA34/BA$6</f>
        <v>4.4982527129364999E-2</v>
      </c>
      <c r="BC34" s="94">
        <f>((BC6/1.12)*0.12)-((BC17/1.12)*0.12)</f>
        <v>98.643293333000798</v>
      </c>
      <c r="BD34" s="99">
        <f>BC34/BC$6</f>
        <v>4.5880601550232929E-2</v>
      </c>
      <c r="BE34" s="84"/>
      <c r="BF34" s="94"/>
      <c r="BG34" s="99">
        <f>BF34/BF$6</f>
        <v>0</v>
      </c>
      <c r="BH34" s="84"/>
      <c r="BI34" s="84"/>
    </row>
    <row r="35" spans="1:61" x14ac:dyDescent="0.2">
      <c r="A35" s="84"/>
      <c r="B35" s="287" t="str">
        <f>'Pricing Trends'!R41</f>
        <v>RBD SOYA BEAN OIL</v>
      </c>
      <c r="C35" s="249">
        <f>'Pricing Trends'!S41</f>
        <v>0</v>
      </c>
      <c r="D35" s="223">
        <f>'Pricing Trends'!U41</f>
        <v>81.666041886659627</v>
      </c>
      <c r="E35" s="220" t="b">
        <v>1</v>
      </c>
      <c r="F35" s="84"/>
      <c r="G35" s="247" t="s">
        <v>214</v>
      </c>
      <c r="H35" s="84"/>
      <c r="I35" s="94"/>
      <c r="J35" s="99">
        <f t="shared" si="22"/>
        <v>0</v>
      </c>
      <c r="K35" s="94">
        <f>K6*0.01</f>
        <v>0.51</v>
      </c>
      <c r="L35" s="99">
        <f>K35/K$6</f>
        <v>0.01</v>
      </c>
      <c r="M35" s="94"/>
      <c r="N35" s="99">
        <f>M35/M$6</f>
        <v>0</v>
      </c>
      <c r="O35" s="94">
        <f>O6*0.01</f>
        <v>1.1686028991552271</v>
      </c>
      <c r="P35" s="99">
        <f>O35/O$6</f>
        <v>0.01</v>
      </c>
      <c r="Q35" s="94">
        <f>Q6*0.01</f>
        <v>2.262205798310454</v>
      </c>
      <c r="R35" s="99">
        <f>Q35/Q$6</f>
        <v>0.01</v>
      </c>
      <c r="S35" s="94">
        <f>S6*0.01</f>
        <v>2.262205798310454</v>
      </c>
      <c r="T35" s="99">
        <f>S35/S$6</f>
        <v>0.01</v>
      </c>
      <c r="U35" s="84"/>
      <c r="V35" s="94">
        <f>V6*0.01</f>
        <v>0.2</v>
      </c>
      <c r="W35" s="99">
        <f>V35/V$6</f>
        <v>0.01</v>
      </c>
      <c r="X35" s="94">
        <f>X6*0.01</f>
        <v>0.31</v>
      </c>
      <c r="Y35" s="99">
        <f>X35/X$6</f>
        <v>0.01</v>
      </c>
      <c r="Z35" s="94">
        <f>Z6*0.01</f>
        <v>0.495</v>
      </c>
      <c r="AA35" s="99">
        <f>Z35/Z$6</f>
        <v>0.01</v>
      </c>
      <c r="AB35" s="94">
        <f>AB6*0.01</f>
        <v>0.95000000000000007</v>
      </c>
      <c r="AC35" s="99">
        <f>AB35/AB$6</f>
        <v>0.01</v>
      </c>
      <c r="AD35" s="94">
        <f>AD6*0.01</f>
        <v>1.8</v>
      </c>
      <c r="AE35" s="99">
        <f>AD35/AD$6</f>
        <v>0.01</v>
      </c>
      <c r="AF35" s="131"/>
      <c r="AG35" s="94">
        <f>AG6*0.01</f>
        <v>4.4744115966209081</v>
      </c>
      <c r="AH35" s="99">
        <f>AG35/AG$6</f>
        <v>0.01</v>
      </c>
      <c r="AI35" s="94">
        <f>AI6*0.01</f>
        <v>16</v>
      </c>
      <c r="AJ35" s="99">
        <f>AI35/AI$6</f>
        <v>0.01</v>
      </c>
      <c r="AK35" s="131"/>
      <c r="AL35" s="94">
        <f>AL6*0.01</f>
        <v>1.085</v>
      </c>
      <c r="AM35" s="99">
        <f>AL35/AL$6</f>
        <v>0.01</v>
      </c>
      <c r="AN35" s="94">
        <f>AN6*0.01</f>
        <v>2.27</v>
      </c>
      <c r="AO35" s="99">
        <f>AN35/AN$6</f>
        <v>0.01</v>
      </c>
      <c r="AP35" s="84"/>
      <c r="AQ35" s="94">
        <f>AQ6*0.01</f>
        <v>5.3595000000000006</v>
      </c>
      <c r="AR35" s="99">
        <f>AQ35/AQ$6</f>
        <v>0.01</v>
      </c>
      <c r="AS35" s="94">
        <f>AS6*0.01</f>
        <v>19.777899999999999</v>
      </c>
      <c r="AT35" s="99">
        <f>AS35/AS$6</f>
        <v>0.01</v>
      </c>
      <c r="AU35" s="84"/>
      <c r="AV35" s="94">
        <f>AV6*0.01</f>
        <v>1.1500000000000001</v>
      </c>
      <c r="AW35" s="99">
        <f>AV35/AV$6</f>
        <v>1.0000000000000002E-2</v>
      </c>
      <c r="AX35" s="94">
        <f>AX6*0.01</f>
        <v>2.4</v>
      </c>
      <c r="AY35" s="99">
        <f>AX35/AX$6</f>
        <v>0.01</v>
      </c>
      <c r="AZ35" s="84"/>
      <c r="BA35" s="94">
        <f>BA6*0.01</f>
        <v>5.5143200000000006</v>
      </c>
      <c r="BB35" s="99">
        <f>BA35/BA$6</f>
        <v>0.01</v>
      </c>
      <c r="BC35" s="94">
        <f>BC6*0.01</f>
        <v>21.5</v>
      </c>
      <c r="BD35" s="99">
        <f>BC35/BC$6</f>
        <v>0.01</v>
      </c>
      <c r="BE35" s="84"/>
      <c r="BF35" s="94"/>
      <c r="BG35" s="99">
        <f>BF35/BF$6</f>
        <v>0</v>
      </c>
      <c r="BH35" s="84"/>
      <c r="BI35" s="84"/>
    </row>
    <row r="36" spans="1:61" x14ac:dyDescent="0.2">
      <c r="A36" s="84"/>
      <c r="B36" s="287">
        <f>'Pricing Trends'!R42</f>
        <v>0</v>
      </c>
      <c r="C36" s="249">
        <f>'Pricing Trends'!S42</f>
        <v>0</v>
      </c>
      <c r="D36" s="223">
        <f>'Pricing Trends'!U42</f>
        <v>0</v>
      </c>
      <c r="E36" s="220" t="b">
        <v>0</v>
      </c>
      <c r="F36" s="84"/>
      <c r="G36" s="243" t="s">
        <v>216</v>
      </c>
      <c r="H36" s="84"/>
      <c r="I36" s="96">
        <f>I18-I19</f>
        <v>-1.0427247526410106</v>
      </c>
      <c r="J36" s="97">
        <f>I36/I6</f>
        <v>-2.9792135789743161E-2</v>
      </c>
      <c r="K36" s="96">
        <f>K18-K19</f>
        <v>-1.2582061754207938</v>
      </c>
      <c r="L36" s="97">
        <f>K36/K6</f>
        <v>-2.4670709321976351E-2</v>
      </c>
      <c r="M36" s="96">
        <f>M18-M19</f>
        <v>-6.2881818329425929</v>
      </c>
      <c r="N36" s="97">
        <f>M36/M6</f>
        <v>-6.910089926310542E-2</v>
      </c>
      <c r="O36" s="96">
        <f>O18-O19</f>
        <v>26.227058770958212</v>
      </c>
      <c r="P36" s="97">
        <f>O36/O6</f>
        <v>0.22443088914050724</v>
      </c>
      <c r="Q36" s="96">
        <f>Q18-Q19</f>
        <v>54.710323700759268</v>
      </c>
      <c r="R36" s="97">
        <f>Q36/Q6</f>
        <v>0.24184503346963437</v>
      </c>
      <c r="S36" s="96">
        <f>S18-S19</f>
        <v>50.662704653140224</v>
      </c>
      <c r="T36" s="97">
        <f>S36/S6</f>
        <v>0.22395267791718179</v>
      </c>
      <c r="U36" s="84"/>
      <c r="V36" s="96">
        <f>V18-V19</f>
        <v>2.4506583599898599</v>
      </c>
      <c r="W36" s="97">
        <f>V36/V6</f>
        <v>0.12253291799949299</v>
      </c>
      <c r="X36" s="96">
        <f>X18-X19</f>
        <v>3.7281805999831024</v>
      </c>
      <c r="Y36" s="97">
        <f>X36/X6</f>
        <v>0.12026389032203556</v>
      </c>
      <c r="Z36" s="96">
        <f>Z18-Z19</f>
        <v>10.50668988886072</v>
      </c>
      <c r="AA36" s="97">
        <f>Z36/Z6</f>
        <v>0.21225636139112566</v>
      </c>
      <c r="AB36" s="96">
        <f>AB18-AB19</f>
        <v>10.963379777721439</v>
      </c>
      <c r="AC36" s="97">
        <f>AB36/AB6</f>
        <v>0.11540399766022567</v>
      </c>
      <c r="AD36" s="96">
        <f>AD18-AD19</f>
        <v>17.82342622210955</v>
      </c>
      <c r="AE36" s="97">
        <f>AD36/AD6</f>
        <v>9.9019034567275274E-2</v>
      </c>
      <c r="AF36" s="131"/>
      <c r="AG36" s="96">
        <f>AG18-AG19</f>
        <v>84.720437464785277</v>
      </c>
      <c r="AH36" s="97">
        <f>AG36/AG6</f>
        <v>0.1893443096043432</v>
      </c>
      <c r="AI36" s="96">
        <f>AI18-AI19</f>
        <v>236.91624862785676</v>
      </c>
      <c r="AJ36" s="97">
        <f>AI36/AI6</f>
        <v>0.14807265539241046</v>
      </c>
      <c r="AK36" s="131"/>
      <c r="AL36" s="96">
        <f>AL18-AL19</f>
        <v>3.9945205167919724</v>
      </c>
      <c r="AM36" s="97">
        <f>AL36/AL6</f>
        <v>3.6815857297621865E-2</v>
      </c>
      <c r="AN36" s="96">
        <f>AN18-AN19</f>
        <v>3.9864197424752277</v>
      </c>
      <c r="AO36" s="97">
        <f>AN36/AN6</f>
        <v>1.7561320451432719E-2</v>
      </c>
      <c r="AP36" s="84"/>
      <c r="AQ36" s="96">
        <f>AQ18-AQ19</f>
        <v>75.679637103998104</v>
      </c>
      <c r="AR36" s="97">
        <f>AQ36/AQ6</f>
        <v>0.14120652505643827</v>
      </c>
      <c r="AS36" s="96">
        <f>AS18-AS19</f>
        <v>189.35185068925881</v>
      </c>
      <c r="AT36" s="97">
        <f>AS36/AS6</f>
        <v>9.5739108140529994E-2</v>
      </c>
      <c r="AU36" s="84"/>
      <c r="AV36" s="96">
        <f>AV18-AV19</f>
        <v>8.944489699091541</v>
      </c>
      <c r="AW36" s="97">
        <f>AV36/AV6</f>
        <v>7.7778171296448179E-2</v>
      </c>
      <c r="AX36" s="96">
        <f>AX18-AX19</f>
        <v>38.940303386278309</v>
      </c>
      <c r="AY36" s="97">
        <f>AX36/AX6</f>
        <v>0.16225126410949295</v>
      </c>
      <c r="AZ36" s="84"/>
      <c r="BA36" s="96">
        <f>BA18-BA19</f>
        <v>138.6449158201757</v>
      </c>
      <c r="BB36" s="97">
        <f>BA36/BA6</f>
        <v>0.25142704054203546</v>
      </c>
      <c r="BC36" s="96">
        <f>BC18-BC19</f>
        <v>547.82487421474491</v>
      </c>
      <c r="BD36" s="97">
        <f>BC36/BC6</f>
        <v>0.25480226707662557</v>
      </c>
      <c r="BE36" s="84"/>
      <c r="BF36" s="96">
        <f>BF18-BF19</f>
        <v>-209.7814516</v>
      </c>
      <c r="BG36" s="97">
        <f>BF36/BF6</f>
        <v>-0.14467686317241379</v>
      </c>
      <c r="BH36" s="84"/>
      <c r="BI36" s="84"/>
    </row>
    <row r="37" spans="1:61" x14ac:dyDescent="0.2">
      <c r="A37" s="84"/>
      <c r="B37" s="287" t="str">
        <f>'Pricing Trends'!R43</f>
        <v>RBD PALM OLEIN (FOREIGN)</v>
      </c>
      <c r="C37" s="249">
        <f>'Pricing Trends'!S43</f>
        <v>0</v>
      </c>
      <c r="D37" s="223">
        <f>'Pricing Trends'!U43</f>
        <v>64.843398983325557</v>
      </c>
      <c r="E37" s="220" t="b">
        <v>0</v>
      </c>
      <c r="F37" s="84"/>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c r="BH37" s="84"/>
      <c r="BI37" s="84"/>
    </row>
    <row r="38" spans="1:61" x14ac:dyDescent="0.2">
      <c r="A38" s="84"/>
      <c r="B38" s="287">
        <f>'Pricing Trends'!R44</f>
        <v>0</v>
      </c>
      <c r="C38" s="249">
        <f>'Pricing Trends'!S44</f>
        <v>0</v>
      </c>
      <c r="D38" s="223">
        <f>'Pricing Trends'!U44</f>
        <v>0</v>
      </c>
      <c r="E38" s="220" t="b">
        <v>0</v>
      </c>
      <c r="F38" s="84"/>
      <c r="G38" s="260"/>
      <c r="H38" s="260"/>
      <c r="I38" s="260"/>
      <c r="J38" s="260"/>
      <c r="K38" s="260"/>
      <c r="L38" s="260"/>
      <c r="M38" s="260"/>
      <c r="N38" s="260"/>
      <c r="O38" s="296"/>
      <c r="P38" s="262"/>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84"/>
      <c r="BI38" s="84"/>
    </row>
    <row r="39" spans="1:61" x14ac:dyDescent="0.2">
      <c r="A39" s="84"/>
      <c r="B39" s="287" t="str">
        <f>'Pricing Trends'!R45</f>
        <v>RBD PALM OLEIN (FOREIGN)</v>
      </c>
      <c r="C39" s="249">
        <f>'Pricing Trends'!S45</f>
        <v>0</v>
      </c>
      <c r="D39" s="223">
        <f>'Pricing Trends'!U45</f>
        <v>82.366515166275917</v>
      </c>
      <c r="E39" s="220" t="b">
        <v>0</v>
      </c>
      <c r="F39" s="84"/>
      <c r="G39" s="260"/>
      <c r="H39" s="260"/>
      <c r="I39" s="260"/>
      <c r="J39" s="260"/>
      <c r="K39" s="260"/>
      <c r="L39" s="260"/>
      <c r="M39" s="260"/>
      <c r="N39" s="260"/>
      <c r="O39" s="296"/>
      <c r="P39" s="262"/>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84"/>
      <c r="BI39" s="84"/>
    </row>
    <row r="40" spans="1:61" x14ac:dyDescent="0.2">
      <c r="A40" s="84"/>
      <c r="B40" s="287" t="str">
        <f>'Pricing Trends'!R46</f>
        <v>RBD PALM OLEIN (FOREIGN)</v>
      </c>
      <c r="C40" s="249">
        <f>'Pricing Trends'!S46</f>
        <v>0</v>
      </c>
      <c r="D40" s="223">
        <f>'Pricing Trends'!U46</f>
        <v>74.656859937366562</v>
      </c>
      <c r="E40" s="220" t="b">
        <v>0</v>
      </c>
      <c r="F40" s="84"/>
      <c r="G40" s="260"/>
      <c r="H40" s="260"/>
      <c r="I40" s="260"/>
      <c r="J40" s="260"/>
      <c r="K40" s="260"/>
      <c r="L40" s="260"/>
      <c r="M40" s="260"/>
      <c r="N40" s="260"/>
      <c r="O40" s="260"/>
      <c r="P40" s="262"/>
      <c r="Q40" s="260"/>
      <c r="R40" s="260"/>
      <c r="S40" s="260"/>
      <c r="T40" s="260"/>
      <c r="U40" s="260"/>
      <c r="V40" s="260"/>
      <c r="W40" s="260"/>
      <c r="X40" s="260"/>
      <c r="Y40" s="260"/>
      <c r="Z40" s="260"/>
      <c r="AA40" s="260"/>
      <c r="AB40" s="260"/>
      <c r="AC40" s="260"/>
      <c r="AD40" s="260"/>
      <c r="AE40" s="260"/>
      <c r="AF40" s="260"/>
      <c r="AG40" s="260"/>
      <c r="AH40" s="260"/>
      <c r="AI40" s="260"/>
      <c r="AJ40" s="260"/>
      <c r="AK40" s="260"/>
      <c r="AL40" s="260"/>
      <c r="AM40" s="260"/>
      <c r="AN40" s="260"/>
      <c r="AO40" s="260"/>
      <c r="AP40" s="260"/>
      <c r="AQ40" s="260"/>
      <c r="AR40" s="260"/>
      <c r="AS40" s="260"/>
      <c r="AT40" s="260"/>
      <c r="AU40" s="260"/>
      <c r="AV40" s="260"/>
      <c r="AW40" s="260"/>
      <c r="AX40" s="260"/>
      <c r="AY40" s="260"/>
      <c r="AZ40" s="260"/>
      <c r="BA40" s="260"/>
      <c r="BB40" s="260"/>
      <c r="BC40" s="260"/>
      <c r="BD40" s="260"/>
      <c r="BE40" s="260"/>
      <c r="BF40" s="260"/>
      <c r="BG40" s="260"/>
      <c r="BH40" s="84"/>
      <c r="BI40" s="84"/>
    </row>
    <row r="41" spans="1:61" x14ac:dyDescent="0.2">
      <c r="A41" s="84"/>
      <c r="B41" s="287">
        <f>'Pricing Trends'!R47</f>
        <v>0</v>
      </c>
      <c r="C41" s="249">
        <f>'Pricing Trends'!S47</f>
        <v>0</v>
      </c>
      <c r="D41" s="223">
        <f>'Pricing Trends'!U47</f>
        <v>0</v>
      </c>
      <c r="E41" s="220" t="b">
        <v>0</v>
      </c>
      <c r="F41" s="84"/>
      <c r="G41" s="260"/>
      <c r="H41" s="260"/>
      <c r="I41" s="260"/>
      <c r="J41" s="260"/>
      <c r="K41" s="260"/>
      <c r="L41" s="260"/>
      <c r="M41" s="260"/>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260"/>
      <c r="AW41" s="260"/>
      <c r="AX41" s="260"/>
      <c r="AY41" s="260"/>
      <c r="AZ41" s="260"/>
      <c r="BA41" s="260"/>
      <c r="BB41" s="260"/>
      <c r="BC41" s="260"/>
      <c r="BD41" s="260"/>
      <c r="BE41" s="260"/>
      <c r="BF41" s="260"/>
      <c r="BG41" s="260"/>
      <c r="BH41" s="84"/>
      <c r="BI41" s="84"/>
    </row>
    <row r="42" spans="1:61" x14ac:dyDescent="0.2">
      <c r="A42" s="84"/>
      <c r="B42" s="287">
        <f>'Pricing Trends'!R48</f>
        <v>0</v>
      </c>
      <c r="C42" s="249">
        <f>'Pricing Trends'!S48</f>
        <v>0</v>
      </c>
      <c r="D42" s="223">
        <f>'Pricing Trends'!U48</f>
        <v>0</v>
      </c>
      <c r="E42" s="220" t="b">
        <v>0</v>
      </c>
      <c r="F42" s="84"/>
      <c r="G42" s="260"/>
      <c r="H42" s="260"/>
      <c r="I42" s="260"/>
      <c r="J42" s="260"/>
      <c r="K42" s="260"/>
      <c r="L42" s="260"/>
      <c r="M42" s="260"/>
      <c r="N42" s="260"/>
      <c r="O42" s="262"/>
      <c r="P42" s="262"/>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c r="BB42" s="260"/>
      <c r="BC42" s="260"/>
      <c r="BD42" s="260"/>
      <c r="BE42" s="260"/>
      <c r="BF42" s="260"/>
      <c r="BG42" s="260"/>
      <c r="BH42" s="84"/>
      <c r="BI42" s="84"/>
    </row>
    <row r="43" spans="1:61" x14ac:dyDescent="0.2">
      <c r="A43" s="84"/>
      <c r="B43" s="287">
        <f>'Pricing Trends'!R49</f>
        <v>0</v>
      </c>
      <c r="C43" s="249">
        <f>'Pricing Trends'!S49</f>
        <v>0</v>
      </c>
      <c r="D43" s="223">
        <f>'Pricing Trends'!U49</f>
        <v>0</v>
      </c>
      <c r="E43" s="220" t="b">
        <v>0</v>
      </c>
      <c r="F43" s="84"/>
      <c r="G43" s="260"/>
      <c r="H43" s="260"/>
      <c r="I43" s="260"/>
      <c r="J43" s="260"/>
      <c r="K43" s="260"/>
      <c r="L43" s="260"/>
      <c r="M43" s="260"/>
      <c r="N43" s="260"/>
      <c r="O43" s="262"/>
      <c r="P43" s="262"/>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0"/>
      <c r="AS43" s="260"/>
      <c r="AT43" s="260"/>
      <c r="AU43" s="260"/>
      <c r="AV43" s="260"/>
      <c r="AW43" s="260"/>
      <c r="AX43" s="260"/>
      <c r="AY43" s="260"/>
      <c r="AZ43" s="260"/>
      <c r="BA43" s="260"/>
      <c r="BB43" s="260"/>
      <c r="BC43" s="260"/>
      <c r="BD43" s="260"/>
      <c r="BE43" s="260"/>
      <c r="BF43" s="260"/>
      <c r="BG43" s="260"/>
      <c r="BH43" s="84"/>
      <c r="BI43" s="84"/>
    </row>
    <row r="44" spans="1:61" x14ac:dyDescent="0.2">
      <c r="A44" s="84"/>
      <c r="B44" s="287">
        <f>'Pricing Trends'!R50</f>
        <v>0</v>
      </c>
      <c r="C44" s="249">
        <f>'Pricing Trends'!S50</f>
        <v>0</v>
      </c>
      <c r="D44" s="223">
        <f>'Pricing Trends'!U50</f>
        <v>0</v>
      </c>
      <c r="E44" s="220" t="b">
        <v>0</v>
      </c>
      <c r="F44" s="84"/>
      <c r="G44" s="260"/>
      <c r="H44" s="260"/>
      <c r="I44" s="260"/>
      <c r="J44" s="260"/>
      <c r="K44" s="260"/>
      <c r="L44" s="260"/>
      <c r="M44" s="260"/>
      <c r="N44" s="260"/>
      <c r="O44" s="260"/>
      <c r="P44" s="262"/>
      <c r="Q44" s="260"/>
      <c r="R44" s="260"/>
      <c r="S44" s="263"/>
      <c r="T44" s="260"/>
      <c r="U44" s="260"/>
      <c r="V44" s="260"/>
      <c r="W44" s="260"/>
      <c r="X44" s="260"/>
      <c r="Y44" s="260"/>
      <c r="Z44" s="260"/>
      <c r="AA44" s="260"/>
      <c r="AB44" s="260"/>
      <c r="AC44" s="260"/>
      <c r="AD44" s="260"/>
      <c r="AE44" s="260"/>
      <c r="AF44" s="260"/>
      <c r="AG44" s="260"/>
      <c r="AH44" s="260"/>
      <c r="AI44" s="260"/>
      <c r="AJ44" s="260"/>
      <c r="AK44" s="260"/>
      <c r="AL44" s="260"/>
      <c r="AM44" s="260"/>
      <c r="AN44" s="260"/>
      <c r="AO44" s="260"/>
      <c r="AP44" s="260"/>
      <c r="AQ44" s="260"/>
      <c r="AR44" s="260"/>
      <c r="AS44" s="260"/>
      <c r="AT44" s="260"/>
      <c r="AU44" s="260"/>
      <c r="AV44" s="260"/>
      <c r="AW44" s="260"/>
      <c r="AX44" s="260"/>
      <c r="AY44" s="260"/>
      <c r="AZ44" s="260"/>
      <c r="BA44" s="260"/>
      <c r="BB44" s="260"/>
      <c r="BC44" s="260"/>
      <c r="BD44" s="260"/>
      <c r="BE44" s="260"/>
      <c r="BF44" s="260"/>
      <c r="BG44" s="260"/>
      <c r="BH44" s="84"/>
      <c r="BI44" s="84"/>
    </row>
    <row r="45" spans="1:61" x14ac:dyDescent="0.2">
      <c r="A45" s="84"/>
      <c r="B45" s="287">
        <f>'Pricing Trends'!R51</f>
        <v>0</v>
      </c>
      <c r="C45" s="249">
        <f>'Pricing Trends'!S51</f>
        <v>0</v>
      </c>
      <c r="D45" s="223">
        <f>'Pricing Trends'!U51</f>
        <v>0</v>
      </c>
      <c r="E45" s="220" t="b">
        <v>0</v>
      </c>
      <c r="F45" s="84"/>
      <c r="G45" s="260"/>
      <c r="H45" s="260"/>
      <c r="I45" s="260"/>
      <c r="J45" s="260"/>
      <c r="K45" s="260"/>
      <c r="L45" s="260"/>
      <c r="M45" s="260"/>
      <c r="N45" s="260"/>
      <c r="O45" s="260"/>
      <c r="P45" s="262"/>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0"/>
      <c r="AS45" s="260"/>
      <c r="AT45" s="260"/>
      <c r="AU45" s="260"/>
      <c r="AV45" s="260"/>
      <c r="AW45" s="260"/>
      <c r="AX45" s="260"/>
      <c r="AY45" s="260"/>
      <c r="AZ45" s="260"/>
      <c r="BA45" s="260"/>
      <c r="BB45" s="260"/>
      <c r="BC45" s="260"/>
      <c r="BD45" s="260"/>
      <c r="BE45" s="260"/>
      <c r="BF45" s="260"/>
      <c r="BG45" s="260"/>
      <c r="BH45" s="84"/>
      <c r="BI45" s="84"/>
    </row>
    <row r="46" spans="1:61" x14ac:dyDescent="0.2">
      <c r="A46" s="84"/>
      <c r="B46" s="287">
        <f>'Pricing Trends'!R52</f>
        <v>0</v>
      </c>
      <c r="C46" s="249">
        <f>'Pricing Trends'!S52</f>
        <v>0</v>
      </c>
      <c r="D46" s="223">
        <f>'Pricing Trends'!U52</f>
        <v>0</v>
      </c>
      <c r="E46" s="220" t="b">
        <v>0</v>
      </c>
      <c r="F46" s="84"/>
      <c r="G46" s="260"/>
      <c r="H46" s="260"/>
      <c r="I46" s="260"/>
      <c r="J46" s="260"/>
      <c r="K46" s="260"/>
      <c r="L46" s="260"/>
      <c r="M46" s="260"/>
      <c r="N46" s="260"/>
      <c r="O46" s="260"/>
      <c r="P46" s="262"/>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84"/>
      <c r="BI46" s="84"/>
    </row>
    <row r="47" spans="1:61" x14ac:dyDescent="0.2">
      <c r="A47" s="84"/>
      <c r="B47" s="287">
        <f>'Pricing Trends'!R53</f>
        <v>0</v>
      </c>
      <c r="C47" s="249">
        <f>'Pricing Trends'!S53</f>
        <v>0</v>
      </c>
      <c r="D47" s="223">
        <f>'Pricing Trends'!U53</f>
        <v>0</v>
      </c>
      <c r="E47" s="220" t="b">
        <v>0</v>
      </c>
      <c r="F47" s="84"/>
      <c r="G47" s="260"/>
      <c r="H47" s="260"/>
      <c r="I47" s="260"/>
      <c r="J47" s="260"/>
      <c r="K47" s="260"/>
      <c r="L47" s="260"/>
      <c r="M47" s="260"/>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0"/>
      <c r="AS47" s="260"/>
      <c r="AT47" s="260"/>
      <c r="AU47" s="260"/>
      <c r="AV47" s="260"/>
      <c r="AW47" s="260"/>
      <c r="AX47" s="260"/>
      <c r="AY47" s="260"/>
      <c r="AZ47" s="260"/>
      <c r="BA47" s="260"/>
      <c r="BB47" s="260"/>
      <c r="BC47" s="260"/>
      <c r="BD47" s="260"/>
      <c r="BE47" s="260"/>
      <c r="BF47" s="260"/>
      <c r="BG47" s="260"/>
      <c r="BH47" s="84"/>
      <c r="BI47" s="84"/>
    </row>
    <row r="48" spans="1:61" x14ac:dyDescent="0.2">
      <c r="A48" s="84"/>
      <c r="B48" s="287">
        <f>'Pricing Trends'!R54</f>
        <v>0</v>
      </c>
      <c r="C48" s="249">
        <f>'Pricing Trends'!S54</f>
        <v>0</v>
      </c>
      <c r="D48" s="223">
        <f>'Pricing Trends'!U54</f>
        <v>0</v>
      </c>
      <c r="E48" s="220" t="b">
        <v>0</v>
      </c>
      <c r="F48" s="84"/>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c r="BH48" s="84"/>
      <c r="BI48" s="84"/>
    </row>
    <row r="49" spans="1:61" x14ac:dyDescent="0.2">
      <c r="A49" s="84"/>
      <c r="B49" s="287">
        <f>'Pricing Trends'!R55</f>
        <v>0</v>
      </c>
      <c r="C49" s="249">
        <f>'Pricing Trends'!S55</f>
        <v>0</v>
      </c>
      <c r="D49" s="223">
        <f>'Pricing Trends'!U55</f>
        <v>0</v>
      </c>
      <c r="E49" s="220" t="b">
        <v>0</v>
      </c>
      <c r="F49" s="84"/>
      <c r="G49" s="260"/>
      <c r="H49" s="260"/>
      <c r="I49" s="260"/>
      <c r="J49" s="260"/>
      <c r="K49" s="260"/>
      <c r="L49" s="260"/>
      <c r="M49" s="260"/>
      <c r="N49" s="260"/>
      <c r="O49" s="260"/>
      <c r="P49" s="260"/>
      <c r="Q49" s="260"/>
      <c r="R49" s="260"/>
      <c r="S49" s="260"/>
      <c r="T49" s="260"/>
      <c r="U49" s="260"/>
      <c r="V49" s="261"/>
      <c r="W49" s="261"/>
      <c r="X49" s="261"/>
      <c r="Y49" s="261"/>
      <c r="Z49" s="261"/>
      <c r="AA49" s="261"/>
      <c r="AB49" s="261"/>
      <c r="AC49" s="261"/>
      <c r="AD49" s="261"/>
      <c r="AE49" s="261"/>
      <c r="AF49" s="260"/>
      <c r="AG49" s="261"/>
      <c r="AH49" s="260"/>
      <c r="AI49" s="261"/>
      <c r="AJ49" s="260"/>
      <c r="AK49" s="260"/>
      <c r="AL49" s="260"/>
      <c r="AM49" s="260"/>
      <c r="AN49" s="260"/>
      <c r="AO49" s="260"/>
      <c r="AP49" s="260"/>
      <c r="AQ49" s="260"/>
      <c r="AR49" s="260"/>
      <c r="AS49" s="260"/>
      <c r="AT49" s="260"/>
      <c r="AU49" s="260"/>
      <c r="AV49" s="260"/>
      <c r="AW49" s="260"/>
      <c r="AX49" s="260"/>
      <c r="AY49" s="260"/>
      <c r="AZ49" s="260"/>
      <c r="BA49" s="260"/>
      <c r="BB49" s="260"/>
      <c r="BC49" s="260"/>
      <c r="BD49" s="260"/>
      <c r="BE49" s="84"/>
      <c r="BF49" s="84"/>
      <c r="BG49" s="84"/>
      <c r="BH49" s="84"/>
      <c r="BI49" s="84"/>
    </row>
    <row r="50" spans="1:61" x14ac:dyDescent="0.2">
      <c r="A50" s="84"/>
      <c r="B50" s="226"/>
      <c r="C50" s="226"/>
      <c r="D50" s="84"/>
      <c r="E50" s="84"/>
      <c r="F50" s="84"/>
      <c r="G50" s="260"/>
      <c r="H50" s="260"/>
      <c r="I50" s="260"/>
      <c r="J50" s="260"/>
      <c r="K50" s="260"/>
      <c r="L50" s="260"/>
      <c r="M50" s="260"/>
      <c r="N50" s="260"/>
      <c r="O50" s="260"/>
      <c r="P50" s="260"/>
      <c r="Q50" s="260"/>
      <c r="R50" s="260"/>
      <c r="S50" s="260"/>
      <c r="T50" s="260"/>
      <c r="U50" s="260"/>
      <c r="V50" s="261"/>
      <c r="W50" s="261"/>
      <c r="X50" s="261"/>
      <c r="Y50" s="261"/>
      <c r="Z50" s="261"/>
      <c r="AA50" s="261"/>
      <c r="AB50" s="261"/>
      <c r="AC50" s="261"/>
      <c r="AD50" s="261"/>
      <c r="AE50" s="261"/>
      <c r="AF50" s="260"/>
      <c r="AG50" s="261"/>
      <c r="AH50" s="260"/>
      <c r="AI50" s="261"/>
      <c r="AJ50" s="260"/>
      <c r="AK50" s="260"/>
      <c r="AL50" s="260"/>
      <c r="AM50" s="260"/>
      <c r="AN50" s="260"/>
      <c r="AO50" s="260"/>
      <c r="AP50" s="260"/>
      <c r="AQ50" s="260"/>
      <c r="AR50" s="260"/>
      <c r="AS50" s="260"/>
      <c r="AT50" s="260"/>
      <c r="AU50" s="260"/>
      <c r="AV50" s="260"/>
      <c r="AW50" s="260"/>
      <c r="AX50" s="260"/>
      <c r="AY50" s="260"/>
      <c r="AZ50" s="260"/>
      <c r="BA50" s="260"/>
      <c r="BB50" s="260"/>
      <c r="BC50" s="260"/>
      <c r="BD50" s="260"/>
      <c r="BE50" s="84"/>
      <c r="BF50" s="84"/>
      <c r="BG50" s="84"/>
      <c r="BH50" s="84"/>
      <c r="BI50" s="84"/>
    </row>
    <row r="51" spans="1:61" x14ac:dyDescent="0.2">
      <c r="A51" s="84"/>
      <c r="B51" s="226"/>
      <c r="C51" s="226"/>
      <c r="D51" s="85"/>
      <c r="E51" s="84"/>
      <c r="F51" s="84"/>
      <c r="G51" s="260"/>
      <c r="H51" s="260"/>
      <c r="I51" s="261"/>
      <c r="J51" s="261"/>
      <c r="K51" s="261"/>
      <c r="L51" s="261"/>
      <c r="M51" s="261"/>
      <c r="N51" s="261"/>
      <c r="O51" s="261"/>
      <c r="P51" s="261"/>
      <c r="Q51" s="261"/>
      <c r="R51" s="260"/>
      <c r="S51" s="261"/>
      <c r="T51" s="260"/>
      <c r="U51" s="260"/>
      <c r="V51" s="261"/>
      <c r="W51" s="261"/>
      <c r="X51" s="261"/>
      <c r="Y51" s="261"/>
      <c r="Z51" s="261"/>
      <c r="AA51" s="261"/>
      <c r="AB51" s="261"/>
      <c r="AC51" s="261"/>
      <c r="AD51" s="261"/>
      <c r="AE51" s="261"/>
      <c r="AF51" s="260"/>
      <c r="AG51" s="261"/>
      <c r="AH51" s="260"/>
      <c r="AI51" s="261"/>
      <c r="AJ51" s="260"/>
      <c r="AK51" s="260"/>
      <c r="AL51" s="262"/>
      <c r="AM51" s="260"/>
      <c r="AN51" s="262"/>
      <c r="AO51" s="260"/>
      <c r="AP51" s="260"/>
      <c r="AQ51" s="262"/>
      <c r="AR51" s="262"/>
      <c r="AS51" s="262"/>
      <c r="AT51" s="262"/>
      <c r="AU51" s="260"/>
      <c r="AV51" s="262"/>
      <c r="AW51" s="260"/>
      <c r="AX51" s="262"/>
      <c r="AY51" s="260"/>
      <c r="AZ51" s="260"/>
      <c r="BA51" s="262"/>
      <c r="BB51" s="260"/>
      <c r="BC51" s="260"/>
      <c r="BD51" s="260"/>
      <c r="BE51" s="84"/>
      <c r="BF51" s="85"/>
      <c r="BG51" s="84"/>
      <c r="BH51" s="84"/>
      <c r="BI51" s="84"/>
    </row>
    <row r="52" spans="1:61" x14ac:dyDescent="0.2">
      <c r="A52" s="84"/>
      <c r="B52" s="226"/>
      <c r="C52" s="226"/>
      <c r="D52" s="85"/>
      <c r="E52" s="84"/>
      <c r="F52" s="84"/>
      <c r="G52" s="84"/>
      <c r="H52" s="84"/>
      <c r="I52" s="131"/>
      <c r="J52" s="131"/>
      <c r="K52" s="131"/>
      <c r="L52" s="131"/>
      <c r="M52" s="131"/>
      <c r="N52" s="131"/>
      <c r="O52" s="131"/>
      <c r="P52" s="131"/>
      <c r="Q52" s="131"/>
      <c r="R52" s="84"/>
      <c r="S52" s="131"/>
      <c r="T52" s="84"/>
      <c r="U52" s="84"/>
      <c r="V52" s="131"/>
      <c r="W52" s="131"/>
      <c r="X52" s="131"/>
      <c r="Y52" s="131"/>
      <c r="Z52" s="131"/>
      <c r="AA52" s="131"/>
      <c r="AB52" s="131"/>
      <c r="AC52" s="131"/>
      <c r="AD52" s="131"/>
      <c r="AE52" s="131"/>
      <c r="AF52" s="84"/>
      <c r="AG52" s="131"/>
      <c r="AH52" s="84"/>
      <c r="AI52" s="131"/>
      <c r="AJ52" s="84"/>
      <c r="AK52" s="84"/>
      <c r="AL52" s="85"/>
      <c r="AM52" s="84"/>
      <c r="AN52" s="85"/>
      <c r="AO52" s="84"/>
      <c r="AP52" s="84"/>
      <c r="AQ52" s="85"/>
      <c r="AR52" s="85"/>
      <c r="AS52" s="85"/>
      <c r="AT52" s="85"/>
      <c r="AU52" s="84"/>
      <c r="AV52" s="85"/>
      <c r="AW52" s="84"/>
      <c r="AX52" s="85"/>
      <c r="AY52" s="84"/>
      <c r="AZ52" s="84"/>
      <c r="BA52" s="85"/>
      <c r="BB52" s="84"/>
      <c r="BC52" s="84"/>
      <c r="BD52" s="84"/>
      <c r="BE52" s="84"/>
      <c r="BF52" s="85"/>
      <c r="BG52" s="84"/>
      <c r="BH52" s="84"/>
      <c r="BI52" s="84"/>
    </row>
    <row r="53" spans="1:61" x14ac:dyDescent="0.2">
      <c r="A53" s="84"/>
      <c r="B53" s="226"/>
      <c r="C53" s="226"/>
      <c r="D53" s="84"/>
      <c r="E53" s="84"/>
      <c r="F53" s="84"/>
      <c r="G53" s="84"/>
      <c r="H53" s="84"/>
      <c r="I53" s="131"/>
      <c r="J53" s="131"/>
      <c r="K53" s="131"/>
      <c r="L53" s="131"/>
      <c r="M53" s="131"/>
      <c r="N53" s="131"/>
      <c r="O53" s="131"/>
      <c r="P53" s="131"/>
      <c r="Q53" s="131"/>
      <c r="R53" s="84"/>
      <c r="S53" s="131"/>
      <c r="T53" s="84"/>
      <c r="U53" s="84"/>
      <c r="V53" s="131"/>
      <c r="W53" s="131"/>
      <c r="X53" s="131"/>
      <c r="Y53" s="131"/>
      <c r="Z53" s="131"/>
      <c r="AA53" s="131"/>
      <c r="AB53" s="131"/>
      <c r="AC53" s="131"/>
      <c r="AD53" s="131"/>
      <c r="AE53" s="131"/>
      <c r="AF53" s="84"/>
      <c r="AG53" s="131"/>
      <c r="AH53" s="84"/>
      <c r="AI53" s="131"/>
      <c r="AJ53" s="84"/>
      <c r="AK53" s="84"/>
      <c r="AL53" s="85"/>
      <c r="AM53" s="84"/>
      <c r="AN53" s="85"/>
      <c r="AO53" s="84"/>
      <c r="AP53" s="84"/>
      <c r="AQ53" s="85"/>
      <c r="AR53" s="85"/>
      <c r="AS53" s="85"/>
      <c r="AT53" s="85"/>
      <c r="AU53" s="84"/>
      <c r="AV53" s="85"/>
      <c r="AW53" s="84"/>
      <c r="AX53" s="85"/>
      <c r="AY53" s="84"/>
      <c r="AZ53" s="84"/>
      <c r="BA53" s="85"/>
      <c r="BB53" s="84"/>
      <c r="BC53" s="84"/>
      <c r="BD53" s="84"/>
      <c r="BE53" s="84"/>
      <c r="BF53" s="85"/>
      <c r="BG53" s="84"/>
      <c r="BH53" s="84"/>
      <c r="BI53" s="84"/>
    </row>
    <row r="54" spans="1:61" x14ac:dyDescent="0.2">
      <c r="A54" s="84"/>
      <c r="B54" s="226"/>
      <c r="C54" s="226"/>
      <c r="D54" s="84"/>
      <c r="E54" s="84"/>
      <c r="F54" s="84"/>
      <c r="G54" s="84"/>
      <c r="H54" s="84"/>
      <c r="I54" s="131"/>
      <c r="J54" s="131"/>
      <c r="K54" s="131"/>
      <c r="L54" s="131"/>
      <c r="M54" s="131"/>
      <c r="N54" s="131"/>
      <c r="O54" s="131"/>
      <c r="P54" s="131"/>
      <c r="Q54" s="131"/>
      <c r="R54" s="84"/>
      <c r="S54" s="131"/>
      <c r="T54" s="84"/>
      <c r="U54" s="84"/>
      <c r="V54" s="131"/>
      <c r="W54" s="131"/>
      <c r="X54" s="131"/>
      <c r="Y54" s="131"/>
      <c r="Z54" s="131"/>
      <c r="AA54" s="131"/>
      <c r="AB54" s="131"/>
      <c r="AC54" s="131"/>
      <c r="AD54" s="131"/>
      <c r="AE54" s="131"/>
      <c r="AF54" s="84"/>
      <c r="AG54" s="131"/>
      <c r="AH54" s="84"/>
      <c r="AI54" s="131"/>
      <c r="AJ54" s="84"/>
      <c r="AK54" s="84"/>
      <c r="AL54" s="85"/>
      <c r="AM54" s="84"/>
      <c r="AN54" s="85"/>
      <c r="AO54" s="84"/>
      <c r="AP54" s="84"/>
      <c r="AQ54" s="85"/>
      <c r="AR54" s="85"/>
      <c r="AS54" s="85"/>
      <c r="AT54" s="85"/>
      <c r="AU54" s="84"/>
      <c r="AV54" s="85"/>
      <c r="AW54" s="84"/>
      <c r="AX54" s="85"/>
      <c r="AY54" s="84"/>
      <c r="AZ54" s="84"/>
      <c r="BA54" s="85"/>
      <c r="BB54" s="84"/>
      <c r="BC54" s="84"/>
      <c r="BD54" s="84"/>
      <c r="BE54" s="84"/>
      <c r="BF54" s="85"/>
      <c r="BG54" s="84"/>
      <c r="BH54" s="84"/>
      <c r="BI54" s="84"/>
    </row>
    <row r="55" spans="1:61" x14ac:dyDescent="0.2">
      <c r="A55" s="84"/>
      <c r="B55" s="226"/>
      <c r="C55" s="226"/>
      <c r="D55" s="84"/>
      <c r="E55" s="84"/>
      <c r="F55" s="84"/>
      <c r="G55" s="84"/>
      <c r="H55" s="84"/>
      <c r="I55" s="131"/>
      <c r="J55" s="131"/>
      <c r="K55" s="131"/>
      <c r="L55" s="131"/>
      <c r="M55" s="131"/>
      <c r="N55" s="131"/>
      <c r="O55" s="131"/>
      <c r="P55" s="131"/>
      <c r="Q55" s="131"/>
      <c r="R55" s="84"/>
      <c r="S55" s="131"/>
      <c r="T55" s="84"/>
      <c r="U55" s="84"/>
      <c r="V55" s="131"/>
      <c r="W55" s="131"/>
      <c r="X55" s="131"/>
      <c r="Y55" s="131"/>
      <c r="Z55" s="131"/>
      <c r="AA55" s="131"/>
      <c r="AB55" s="131"/>
      <c r="AC55" s="131"/>
      <c r="AD55" s="131"/>
      <c r="AE55" s="131"/>
      <c r="AF55" s="84"/>
      <c r="AG55" s="131"/>
      <c r="AH55" s="84"/>
      <c r="AI55" s="131"/>
      <c r="AJ55" s="84"/>
      <c r="AK55" s="84"/>
      <c r="AL55" s="85"/>
      <c r="AM55" s="84"/>
      <c r="AN55" s="85"/>
      <c r="AO55" s="84"/>
      <c r="AP55" s="84"/>
      <c r="AQ55" s="85"/>
      <c r="AR55" s="85"/>
      <c r="AS55" s="85"/>
      <c r="AT55" s="85"/>
      <c r="AU55" s="84"/>
      <c r="AV55" s="85"/>
      <c r="AW55" s="84"/>
      <c r="AX55" s="85"/>
      <c r="AY55" s="84"/>
      <c r="AZ55" s="84"/>
      <c r="BA55" s="85"/>
      <c r="BB55" s="84"/>
      <c r="BC55" s="84"/>
      <c r="BD55" s="84"/>
      <c r="BE55" s="84"/>
      <c r="BF55" s="85"/>
      <c r="BG55" s="84"/>
      <c r="BH55" s="84"/>
      <c r="BI55" s="84"/>
    </row>
    <row r="56" spans="1:61" x14ac:dyDescent="0.2">
      <c r="A56" s="84"/>
      <c r="B56" s="226"/>
      <c r="C56" s="226"/>
      <c r="D56" s="84"/>
      <c r="E56" s="84"/>
      <c r="F56" s="84"/>
      <c r="G56" s="84"/>
      <c r="H56" s="84"/>
      <c r="I56" s="131"/>
      <c r="J56" s="131"/>
      <c r="K56" s="131"/>
      <c r="L56" s="131"/>
      <c r="M56" s="131"/>
      <c r="N56" s="131"/>
      <c r="O56" s="131"/>
      <c r="P56" s="131"/>
      <c r="Q56" s="131"/>
      <c r="R56" s="84"/>
      <c r="S56" s="131"/>
      <c r="T56" s="84"/>
      <c r="U56" s="84"/>
      <c r="V56" s="131"/>
      <c r="W56" s="131"/>
      <c r="X56" s="131"/>
      <c r="Y56" s="131"/>
      <c r="Z56" s="131"/>
      <c r="AA56" s="131"/>
      <c r="AB56" s="131"/>
      <c r="AC56" s="131"/>
      <c r="AD56" s="131"/>
      <c r="AE56" s="131"/>
      <c r="AF56" s="84"/>
      <c r="AG56" s="131"/>
      <c r="AH56" s="84"/>
      <c r="AI56" s="131"/>
      <c r="AJ56" s="84"/>
      <c r="AK56" s="84"/>
      <c r="AL56" s="85"/>
      <c r="AM56" s="84"/>
      <c r="AN56" s="85"/>
      <c r="AO56" s="84"/>
      <c r="AP56" s="84"/>
      <c r="AQ56" s="85"/>
      <c r="AR56" s="85"/>
      <c r="AS56" s="85"/>
      <c r="AT56" s="85"/>
      <c r="AU56" s="84"/>
      <c r="AV56" s="85"/>
      <c r="AW56" s="84"/>
      <c r="AX56" s="85"/>
      <c r="AY56" s="84"/>
      <c r="AZ56" s="84"/>
      <c r="BA56" s="85"/>
      <c r="BB56" s="84"/>
      <c r="BC56" s="84"/>
      <c r="BD56" s="84"/>
      <c r="BE56" s="84"/>
      <c r="BF56" s="85"/>
      <c r="BG56" s="84"/>
      <c r="BH56" s="84"/>
      <c r="BI56" s="84"/>
    </row>
    <row r="57" spans="1:61" x14ac:dyDescent="0.2">
      <c r="A57" s="84"/>
      <c r="B57" s="226"/>
      <c r="C57" s="226"/>
      <c r="D57" s="84"/>
      <c r="E57" s="84"/>
      <c r="F57" s="84"/>
      <c r="G57" s="84"/>
      <c r="H57" s="84"/>
      <c r="I57" s="131"/>
      <c r="J57" s="131"/>
      <c r="K57" s="131"/>
      <c r="L57" s="131"/>
      <c r="M57" s="131"/>
      <c r="N57" s="131"/>
      <c r="O57" s="131"/>
      <c r="P57" s="131"/>
      <c r="Q57" s="131"/>
      <c r="R57" s="84"/>
      <c r="S57" s="131"/>
      <c r="T57" s="84"/>
      <c r="U57" s="84"/>
      <c r="V57" s="131"/>
      <c r="W57" s="131"/>
      <c r="X57" s="131"/>
      <c r="Y57" s="131"/>
      <c r="Z57" s="131"/>
      <c r="AA57" s="131"/>
      <c r="AB57" s="131"/>
      <c r="AC57" s="131"/>
      <c r="AD57" s="131"/>
      <c r="AE57" s="131"/>
      <c r="AF57" s="84"/>
      <c r="AG57" s="131"/>
      <c r="AH57" s="84"/>
      <c r="AI57" s="131"/>
      <c r="AJ57" s="84"/>
      <c r="AK57" s="84"/>
      <c r="AL57" s="85"/>
      <c r="AM57" s="84"/>
      <c r="AN57" s="85"/>
      <c r="AO57" s="84"/>
      <c r="AP57" s="84"/>
      <c r="AQ57" s="85"/>
      <c r="AR57" s="85"/>
      <c r="AS57" s="85"/>
      <c r="AT57" s="85"/>
      <c r="AU57" s="84"/>
      <c r="AV57" s="85"/>
      <c r="AW57" s="84"/>
      <c r="AX57" s="85"/>
      <c r="AY57" s="84"/>
      <c r="AZ57" s="84"/>
      <c r="BA57" s="85"/>
      <c r="BB57" s="84"/>
      <c r="BC57" s="84"/>
      <c r="BD57" s="84"/>
      <c r="BE57" s="84"/>
      <c r="BF57" s="85"/>
      <c r="BG57" s="84"/>
      <c r="BH57" s="84"/>
      <c r="BI57" s="84"/>
    </row>
    <row r="58" spans="1:61" x14ac:dyDescent="0.2">
      <c r="A58" s="84"/>
      <c r="B58" s="226"/>
      <c r="C58" s="226"/>
      <c r="D58" s="84"/>
      <c r="E58" s="84"/>
      <c r="F58" s="84"/>
      <c r="G58" s="84"/>
      <c r="H58" s="84"/>
      <c r="I58" s="131"/>
      <c r="J58" s="131"/>
      <c r="K58" s="131"/>
      <c r="L58" s="131"/>
      <c r="M58" s="131"/>
      <c r="N58" s="131"/>
      <c r="O58" s="131"/>
      <c r="P58" s="131"/>
      <c r="Q58" s="131"/>
      <c r="R58" s="84"/>
      <c r="S58" s="131"/>
      <c r="T58" s="84"/>
      <c r="U58" s="84"/>
      <c r="V58" s="131"/>
      <c r="W58" s="131"/>
      <c r="X58" s="131"/>
      <c r="Y58" s="131"/>
      <c r="Z58" s="131"/>
      <c r="AA58" s="131"/>
      <c r="AB58" s="131"/>
      <c r="AC58" s="131"/>
      <c r="AD58" s="131"/>
      <c r="AE58" s="131"/>
      <c r="AF58" s="84"/>
      <c r="AG58" s="131"/>
      <c r="AH58" s="84"/>
      <c r="AI58" s="131"/>
      <c r="AJ58" s="84"/>
      <c r="AK58" s="84"/>
      <c r="AL58" s="85"/>
      <c r="AM58" s="84"/>
      <c r="AN58" s="85"/>
      <c r="AO58" s="84"/>
      <c r="AP58" s="84"/>
      <c r="AQ58" s="85"/>
      <c r="AR58" s="85"/>
      <c r="AS58" s="85"/>
      <c r="AT58" s="85"/>
      <c r="AU58" s="84"/>
      <c r="AV58" s="85"/>
      <c r="AW58" s="84"/>
      <c r="AX58" s="85"/>
      <c r="AY58" s="84"/>
      <c r="AZ58" s="84"/>
      <c r="BA58" s="85"/>
      <c r="BB58" s="84"/>
      <c r="BC58" s="84"/>
      <c r="BD58" s="84"/>
      <c r="BE58" s="84"/>
      <c r="BF58" s="85"/>
      <c r="BG58" s="84"/>
      <c r="BH58" s="84"/>
      <c r="BI58" s="84"/>
    </row>
    <row r="59" spans="1:61" x14ac:dyDescent="0.2">
      <c r="A59" s="84"/>
      <c r="B59" s="226"/>
      <c r="C59" s="226"/>
      <c r="D59" s="84"/>
      <c r="E59" s="84"/>
      <c r="F59" s="84"/>
      <c r="G59" s="84"/>
      <c r="H59" s="84"/>
      <c r="I59" s="131"/>
      <c r="J59" s="131"/>
      <c r="K59" s="131"/>
      <c r="L59" s="131"/>
      <c r="M59" s="131"/>
      <c r="N59" s="131"/>
      <c r="O59" s="131"/>
      <c r="P59" s="131"/>
      <c r="Q59" s="131"/>
      <c r="R59" s="84"/>
      <c r="S59" s="131"/>
      <c r="T59" s="84"/>
      <c r="U59" s="84"/>
      <c r="V59" s="131"/>
      <c r="W59" s="131"/>
      <c r="X59" s="131"/>
      <c r="Y59" s="131"/>
      <c r="Z59" s="131"/>
      <c r="AA59" s="131"/>
      <c r="AB59" s="131"/>
      <c r="AC59" s="131"/>
      <c r="AD59" s="131"/>
      <c r="AE59" s="131"/>
      <c r="AF59" s="84"/>
      <c r="AG59" s="131"/>
      <c r="AH59" s="84"/>
      <c r="AI59" s="131"/>
      <c r="AJ59" s="84"/>
      <c r="AK59" s="84"/>
      <c r="AL59" s="85"/>
      <c r="AM59" s="84"/>
      <c r="AN59" s="85"/>
      <c r="AO59" s="84"/>
      <c r="AP59" s="84"/>
      <c r="AQ59" s="85"/>
      <c r="AR59" s="85"/>
      <c r="AS59" s="85"/>
      <c r="AT59" s="85"/>
      <c r="AU59" s="84"/>
      <c r="AV59" s="85"/>
      <c r="AW59" s="84"/>
      <c r="AX59" s="85"/>
      <c r="AY59" s="84"/>
      <c r="AZ59" s="84"/>
      <c r="BA59" s="85"/>
      <c r="BB59" s="84"/>
      <c r="BC59" s="84"/>
      <c r="BD59" s="84"/>
      <c r="BE59" s="84"/>
      <c r="BF59" s="85"/>
      <c r="BG59" s="84"/>
      <c r="BH59" s="84"/>
      <c r="BI59" s="84"/>
    </row>
    <row r="60" spans="1:61" x14ac:dyDescent="0.2">
      <c r="A60" s="84"/>
      <c r="B60" s="226"/>
      <c r="C60" s="226"/>
      <c r="D60" s="84"/>
      <c r="E60" s="84"/>
      <c r="F60" s="84"/>
      <c r="G60" s="84"/>
      <c r="H60" s="84"/>
      <c r="I60" s="131"/>
      <c r="J60" s="131"/>
      <c r="K60" s="131"/>
      <c r="L60" s="131"/>
      <c r="M60" s="131"/>
      <c r="N60" s="131"/>
      <c r="O60" s="131"/>
      <c r="P60" s="131"/>
      <c r="Q60" s="131"/>
      <c r="R60" s="84"/>
      <c r="S60" s="131"/>
      <c r="T60" s="84"/>
      <c r="U60" s="84"/>
      <c r="V60" s="131"/>
      <c r="W60" s="131"/>
      <c r="X60" s="131"/>
      <c r="Y60" s="131"/>
      <c r="Z60" s="131"/>
      <c r="AA60" s="131"/>
      <c r="AB60" s="131"/>
      <c r="AC60" s="131"/>
      <c r="AD60" s="131"/>
      <c r="AE60" s="131"/>
      <c r="AF60" s="84"/>
      <c r="AG60" s="131"/>
      <c r="AH60" s="84"/>
      <c r="AI60" s="131"/>
      <c r="AJ60" s="84"/>
      <c r="AK60" s="84"/>
      <c r="AL60" s="85"/>
      <c r="AM60" s="84"/>
      <c r="AN60" s="85"/>
      <c r="AO60" s="84"/>
      <c r="AP60" s="84"/>
      <c r="AQ60" s="85"/>
      <c r="AR60" s="85"/>
      <c r="AS60" s="85"/>
      <c r="AT60" s="85"/>
      <c r="AU60" s="84"/>
      <c r="AV60" s="85"/>
      <c r="AW60" s="84"/>
      <c r="AX60" s="85"/>
      <c r="AY60" s="84"/>
      <c r="AZ60" s="84"/>
      <c r="BA60" s="85"/>
      <c r="BB60" s="84"/>
      <c r="BC60" s="84"/>
      <c r="BD60" s="84"/>
      <c r="BE60" s="84"/>
      <c r="BF60" s="85"/>
      <c r="BG60" s="84"/>
      <c r="BH60" s="84"/>
      <c r="BI60" s="84"/>
    </row>
  </sheetData>
  <mergeCells count="18">
    <mergeCell ref="AQ3:AT4"/>
    <mergeCell ref="BA3:BD4"/>
    <mergeCell ref="BF3:BG4"/>
    <mergeCell ref="AQ2:AT2"/>
    <mergeCell ref="AV2:AY2"/>
    <mergeCell ref="BA2:BD2"/>
    <mergeCell ref="BF2:BG2"/>
    <mergeCell ref="AV3:AY4"/>
    <mergeCell ref="AL2:AO2"/>
    <mergeCell ref="B2:D5"/>
    <mergeCell ref="G2:G4"/>
    <mergeCell ref="I2:T2"/>
    <mergeCell ref="V2:AE2"/>
    <mergeCell ref="AG2:AJ2"/>
    <mergeCell ref="I3:T4"/>
    <mergeCell ref="V3:AE4"/>
    <mergeCell ref="AG3:AJ4"/>
    <mergeCell ref="AL3:AO4"/>
  </mergeCells>
  <conditionalFormatting sqref="G36:BG36">
    <cfRule type="cellIs" dxfId="24" priority="1" operator="lessThan">
      <formula>0</formula>
    </cfRule>
  </conditionalFormatting>
  <dataValidations count="1">
    <dataValidation type="list" allowBlank="1" showInputMessage="1" showErrorMessage="1" sqref="BA2" xr:uid="{00000000-0002-0000-0400-000000000000}">
      <formula1>#REF!</formula1>
    </dataValidation>
  </dataValidations>
  <pageMargins left="0.25" right="0.25" top="0.75" bottom="0.75" header="0.3" footer="0.3"/>
  <pageSetup scale="6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66561" r:id="rId4" name="Check Box 1">
              <controlPr defaultSize="0" autoFill="0" autoLine="0" autoPict="0">
                <anchor moveWithCells="1">
                  <from>
                    <xdr:col>0</xdr:col>
                    <xdr:colOff>0</xdr:colOff>
                    <xdr:row>6</xdr:row>
                    <xdr:rowOff>19050</xdr:rowOff>
                  </from>
                  <to>
                    <xdr:col>6</xdr:col>
                    <xdr:colOff>247650</xdr:colOff>
                    <xdr:row>6</xdr:row>
                    <xdr:rowOff>171450</xdr:rowOff>
                  </to>
                </anchor>
              </controlPr>
            </control>
          </mc:Choice>
        </mc:AlternateContent>
        <mc:AlternateContent xmlns:mc="http://schemas.openxmlformats.org/markup-compatibility/2006">
          <mc:Choice Requires="x14">
            <control shapeId="66562" r:id="rId5" name="Check Box 2">
              <controlPr defaultSize="0" autoFill="0" autoLine="0" autoPict="0">
                <anchor moveWithCells="1">
                  <from>
                    <xdr:col>0</xdr:col>
                    <xdr:colOff>0</xdr:colOff>
                    <xdr:row>7</xdr:row>
                    <xdr:rowOff>9525</xdr:rowOff>
                  </from>
                  <to>
                    <xdr:col>6</xdr:col>
                    <xdr:colOff>247650</xdr:colOff>
                    <xdr:row>7</xdr:row>
                    <xdr:rowOff>161925</xdr:rowOff>
                  </to>
                </anchor>
              </controlPr>
            </control>
          </mc:Choice>
        </mc:AlternateContent>
        <mc:AlternateContent xmlns:mc="http://schemas.openxmlformats.org/markup-compatibility/2006">
          <mc:Choice Requires="x14">
            <control shapeId="66563" r:id="rId6" name="Check Box 3">
              <controlPr defaultSize="0" autoFill="0" autoLine="0" autoPict="0">
                <anchor moveWithCells="1">
                  <from>
                    <xdr:col>0</xdr:col>
                    <xdr:colOff>0</xdr:colOff>
                    <xdr:row>8</xdr:row>
                    <xdr:rowOff>9525</xdr:rowOff>
                  </from>
                  <to>
                    <xdr:col>6</xdr:col>
                    <xdr:colOff>247650</xdr:colOff>
                    <xdr:row>8</xdr:row>
                    <xdr:rowOff>161925</xdr:rowOff>
                  </to>
                </anchor>
              </controlPr>
            </control>
          </mc:Choice>
        </mc:AlternateContent>
        <mc:AlternateContent xmlns:mc="http://schemas.openxmlformats.org/markup-compatibility/2006">
          <mc:Choice Requires="x14">
            <control shapeId="66564" r:id="rId7" name="Check Box 4">
              <controlPr defaultSize="0" autoFill="0" autoLine="0" autoPict="0">
                <anchor moveWithCells="1">
                  <from>
                    <xdr:col>0</xdr:col>
                    <xdr:colOff>0</xdr:colOff>
                    <xdr:row>9</xdr:row>
                    <xdr:rowOff>9525</xdr:rowOff>
                  </from>
                  <to>
                    <xdr:col>6</xdr:col>
                    <xdr:colOff>257175</xdr:colOff>
                    <xdr:row>9</xdr:row>
                    <xdr:rowOff>161925</xdr:rowOff>
                  </to>
                </anchor>
              </controlPr>
            </control>
          </mc:Choice>
        </mc:AlternateContent>
        <mc:AlternateContent xmlns:mc="http://schemas.openxmlformats.org/markup-compatibility/2006">
          <mc:Choice Requires="x14">
            <control shapeId="66565" r:id="rId8" name="Check Box 5">
              <controlPr defaultSize="0" autoFill="0" autoLine="0" autoPict="0">
                <anchor moveWithCells="1">
                  <from>
                    <xdr:col>0</xdr:col>
                    <xdr:colOff>0</xdr:colOff>
                    <xdr:row>10</xdr:row>
                    <xdr:rowOff>19050</xdr:rowOff>
                  </from>
                  <to>
                    <xdr:col>6</xdr:col>
                    <xdr:colOff>247650</xdr:colOff>
                    <xdr:row>10</xdr:row>
                    <xdr:rowOff>171450</xdr:rowOff>
                  </to>
                </anchor>
              </controlPr>
            </control>
          </mc:Choice>
        </mc:AlternateContent>
        <mc:AlternateContent xmlns:mc="http://schemas.openxmlformats.org/markup-compatibility/2006">
          <mc:Choice Requires="x14">
            <control shapeId="66566" r:id="rId9" name="Check Box 6">
              <controlPr defaultSize="0" autoFill="0" autoLine="0" autoPict="0">
                <anchor moveWithCells="1">
                  <from>
                    <xdr:col>0</xdr:col>
                    <xdr:colOff>0</xdr:colOff>
                    <xdr:row>11</xdr:row>
                    <xdr:rowOff>9525</xdr:rowOff>
                  </from>
                  <to>
                    <xdr:col>6</xdr:col>
                    <xdr:colOff>257175</xdr:colOff>
                    <xdr:row>11</xdr:row>
                    <xdr:rowOff>161925</xdr:rowOff>
                  </to>
                </anchor>
              </controlPr>
            </control>
          </mc:Choice>
        </mc:AlternateContent>
        <mc:AlternateContent xmlns:mc="http://schemas.openxmlformats.org/markup-compatibility/2006">
          <mc:Choice Requires="x14">
            <control shapeId="66567" r:id="rId10" name="Check Box 7">
              <controlPr defaultSize="0" autoFill="0" autoLine="0" autoPict="0">
                <anchor moveWithCells="1">
                  <from>
                    <xdr:col>0</xdr:col>
                    <xdr:colOff>0</xdr:colOff>
                    <xdr:row>12</xdr:row>
                    <xdr:rowOff>9525</xdr:rowOff>
                  </from>
                  <to>
                    <xdr:col>6</xdr:col>
                    <xdr:colOff>247650</xdr:colOff>
                    <xdr:row>12</xdr:row>
                    <xdr:rowOff>161925</xdr:rowOff>
                  </to>
                </anchor>
              </controlPr>
            </control>
          </mc:Choice>
        </mc:AlternateContent>
        <mc:AlternateContent xmlns:mc="http://schemas.openxmlformats.org/markup-compatibility/2006">
          <mc:Choice Requires="x14">
            <control shapeId="66568" r:id="rId11" name="Check Box 8">
              <controlPr defaultSize="0" autoFill="0" autoLine="0" autoPict="0">
                <anchor moveWithCells="1">
                  <from>
                    <xdr:col>0</xdr:col>
                    <xdr:colOff>0</xdr:colOff>
                    <xdr:row>13</xdr:row>
                    <xdr:rowOff>19050</xdr:rowOff>
                  </from>
                  <to>
                    <xdr:col>6</xdr:col>
                    <xdr:colOff>247650</xdr:colOff>
                    <xdr:row>13</xdr:row>
                    <xdr:rowOff>171450</xdr:rowOff>
                  </to>
                </anchor>
              </controlPr>
            </control>
          </mc:Choice>
        </mc:AlternateContent>
        <mc:AlternateContent xmlns:mc="http://schemas.openxmlformats.org/markup-compatibility/2006">
          <mc:Choice Requires="x14">
            <control shapeId="66569" r:id="rId12" name="Check Box 9">
              <controlPr defaultSize="0" autoFill="0" autoLine="0" autoPict="0">
                <anchor moveWithCells="1">
                  <from>
                    <xdr:col>0</xdr:col>
                    <xdr:colOff>0</xdr:colOff>
                    <xdr:row>14</xdr:row>
                    <xdr:rowOff>19050</xdr:rowOff>
                  </from>
                  <to>
                    <xdr:col>6</xdr:col>
                    <xdr:colOff>247650</xdr:colOff>
                    <xdr:row>14</xdr:row>
                    <xdr:rowOff>171450</xdr:rowOff>
                  </to>
                </anchor>
              </controlPr>
            </control>
          </mc:Choice>
        </mc:AlternateContent>
        <mc:AlternateContent xmlns:mc="http://schemas.openxmlformats.org/markup-compatibility/2006">
          <mc:Choice Requires="x14">
            <control shapeId="66570" r:id="rId13" name="Check Box 10">
              <controlPr defaultSize="0" autoFill="0" autoLine="0" autoPict="0">
                <anchor moveWithCells="1">
                  <from>
                    <xdr:col>0</xdr:col>
                    <xdr:colOff>0</xdr:colOff>
                    <xdr:row>15</xdr:row>
                    <xdr:rowOff>9525</xdr:rowOff>
                  </from>
                  <to>
                    <xdr:col>6</xdr:col>
                    <xdr:colOff>247650</xdr:colOff>
                    <xdr:row>15</xdr:row>
                    <xdr:rowOff>161925</xdr:rowOff>
                  </to>
                </anchor>
              </controlPr>
            </control>
          </mc:Choice>
        </mc:AlternateContent>
        <mc:AlternateContent xmlns:mc="http://schemas.openxmlformats.org/markup-compatibility/2006">
          <mc:Choice Requires="x14">
            <control shapeId="66571" r:id="rId14" name="Check Box 11">
              <controlPr defaultSize="0" autoFill="0" autoLine="0" autoPict="0">
                <anchor moveWithCells="1">
                  <from>
                    <xdr:col>0</xdr:col>
                    <xdr:colOff>0</xdr:colOff>
                    <xdr:row>16</xdr:row>
                    <xdr:rowOff>19050</xdr:rowOff>
                  </from>
                  <to>
                    <xdr:col>6</xdr:col>
                    <xdr:colOff>247650</xdr:colOff>
                    <xdr:row>16</xdr:row>
                    <xdr:rowOff>171450</xdr:rowOff>
                  </to>
                </anchor>
              </controlPr>
            </control>
          </mc:Choice>
        </mc:AlternateContent>
        <mc:AlternateContent xmlns:mc="http://schemas.openxmlformats.org/markup-compatibility/2006">
          <mc:Choice Requires="x14">
            <control shapeId="66572" r:id="rId15" name="Check Box 12">
              <controlPr defaultSize="0" autoFill="0" autoLine="0" autoPict="0">
                <anchor moveWithCells="1">
                  <from>
                    <xdr:col>0</xdr:col>
                    <xdr:colOff>0</xdr:colOff>
                    <xdr:row>17</xdr:row>
                    <xdr:rowOff>19050</xdr:rowOff>
                  </from>
                  <to>
                    <xdr:col>6</xdr:col>
                    <xdr:colOff>247650</xdr:colOff>
                    <xdr:row>17</xdr:row>
                    <xdr:rowOff>171450</xdr:rowOff>
                  </to>
                </anchor>
              </controlPr>
            </control>
          </mc:Choice>
        </mc:AlternateContent>
        <mc:AlternateContent xmlns:mc="http://schemas.openxmlformats.org/markup-compatibility/2006">
          <mc:Choice Requires="x14">
            <control shapeId="66573" r:id="rId16" name="Check Box 13">
              <controlPr defaultSize="0" autoFill="0" autoLine="0" autoPict="0">
                <anchor moveWithCells="1">
                  <from>
                    <xdr:col>0</xdr:col>
                    <xdr:colOff>0</xdr:colOff>
                    <xdr:row>18</xdr:row>
                    <xdr:rowOff>19050</xdr:rowOff>
                  </from>
                  <to>
                    <xdr:col>6</xdr:col>
                    <xdr:colOff>247650</xdr:colOff>
                    <xdr:row>18</xdr:row>
                    <xdr:rowOff>171450</xdr:rowOff>
                  </to>
                </anchor>
              </controlPr>
            </control>
          </mc:Choice>
        </mc:AlternateContent>
        <mc:AlternateContent xmlns:mc="http://schemas.openxmlformats.org/markup-compatibility/2006">
          <mc:Choice Requires="x14">
            <control shapeId="66574" r:id="rId17" name="Check Box 14">
              <controlPr defaultSize="0" autoFill="0" autoLine="0" autoPict="0">
                <anchor moveWithCells="1">
                  <from>
                    <xdr:col>0</xdr:col>
                    <xdr:colOff>0</xdr:colOff>
                    <xdr:row>19</xdr:row>
                    <xdr:rowOff>19050</xdr:rowOff>
                  </from>
                  <to>
                    <xdr:col>6</xdr:col>
                    <xdr:colOff>247650</xdr:colOff>
                    <xdr:row>19</xdr:row>
                    <xdr:rowOff>171450</xdr:rowOff>
                  </to>
                </anchor>
              </controlPr>
            </control>
          </mc:Choice>
        </mc:AlternateContent>
        <mc:AlternateContent xmlns:mc="http://schemas.openxmlformats.org/markup-compatibility/2006">
          <mc:Choice Requires="x14">
            <control shapeId="66575" r:id="rId18" name="Check Box 15">
              <controlPr defaultSize="0" autoFill="0" autoLine="0" autoPict="0">
                <anchor moveWithCells="1">
                  <from>
                    <xdr:col>0</xdr:col>
                    <xdr:colOff>0</xdr:colOff>
                    <xdr:row>20</xdr:row>
                    <xdr:rowOff>9525</xdr:rowOff>
                  </from>
                  <to>
                    <xdr:col>6</xdr:col>
                    <xdr:colOff>247650</xdr:colOff>
                    <xdr:row>20</xdr:row>
                    <xdr:rowOff>161925</xdr:rowOff>
                  </to>
                </anchor>
              </controlPr>
            </control>
          </mc:Choice>
        </mc:AlternateContent>
        <mc:AlternateContent xmlns:mc="http://schemas.openxmlformats.org/markup-compatibility/2006">
          <mc:Choice Requires="x14">
            <control shapeId="66576" r:id="rId19" name="Check Box 16">
              <controlPr defaultSize="0" autoFill="0" autoLine="0" autoPict="0">
                <anchor moveWithCells="1">
                  <from>
                    <xdr:col>0</xdr:col>
                    <xdr:colOff>0</xdr:colOff>
                    <xdr:row>21</xdr:row>
                    <xdr:rowOff>19050</xdr:rowOff>
                  </from>
                  <to>
                    <xdr:col>6</xdr:col>
                    <xdr:colOff>247650</xdr:colOff>
                    <xdr:row>21</xdr:row>
                    <xdr:rowOff>171450</xdr:rowOff>
                  </to>
                </anchor>
              </controlPr>
            </control>
          </mc:Choice>
        </mc:AlternateContent>
        <mc:AlternateContent xmlns:mc="http://schemas.openxmlformats.org/markup-compatibility/2006">
          <mc:Choice Requires="x14">
            <control shapeId="66577" r:id="rId20" name="Check Box 17">
              <controlPr defaultSize="0" autoFill="0" autoLine="0" autoPict="0">
                <anchor moveWithCells="1">
                  <from>
                    <xdr:col>0</xdr:col>
                    <xdr:colOff>0</xdr:colOff>
                    <xdr:row>22</xdr:row>
                    <xdr:rowOff>19050</xdr:rowOff>
                  </from>
                  <to>
                    <xdr:col>6</xdr:col>
                    <xdr:colOff>247650</xdr:colOff>
                    <xdr:row>22</xdr:row>
                    <xdr:rowOff>171450</xdr:rowOff>
                  </to>
                </anchor>
              </controlPr>
            </control>
          </mc:Choice>
        </mc:AlternateContent>
        <mc:AlternateContent xmlns:mc="http://schemas.openxmlformats.org/markup-compatibility/2006">
          <mc:Choice Requires="x14">
            <control shapeId="66578" r:id="rId21" name="Check Box 18">
              <controlPr defaultSize="0" autoFill="0" autoLine="0" autoPict="0">
                <anchor moveWithCells="1">
                  <from>
                    <xdr:col>0</xdr:col>
                    <xdr:colOff>0</xdr:colOff>
                    <xdr:row>23</xdr:row>
                    <xdr:rowOff>19050</xdr:rowOff>
                  </from>
                  <to>
                    <xdr:col>6</xdr:col>
                    <xdr:colOff>257175</xdr:colOff>
                    <xdr:row>23</xdr:row>
                    <xdr:rowOff>171450</xdr:rowOff>
                  </to>
                </anchor>
              </controlPr>
            </control>
          </mc:Choice>
        </mc:AlternateContent>
        <mc:AlternateContent xmlns:mc="http://schemas.openxmlformats.org/markup-compatibility/2006">
          <mc:Choice Requires="x14">
            <control shapeId="66579" r:id="rId22" name="Check Box 19">
              <controlPr defaultSize="0" autoFill="0" autoLine="0" autoPict="0">
                <anchor moveWithCells="1">
                  <from>
                    <xdr:col>0</xdr:col>
                    <xdr:colOff>0</xdr:colOff>
                    <xdr:row>24</xdr:row>
                    <xdr:rowOff>19050</xdr:rowOff>
                  </from>
                  <to>
                    <xdr:col>6</xdr:col>
                    <xdr:colOff>247650</xdr:colOff>
                    <xdr:row>24</xdr:row>
                    <xdr:rowOff>171450</xdr:rowOff>
                  </to>
                </anchor>
              </controlPr>
            </control>
          </mc:Choice>
        </mc:AlternateContent>
        <mc:AlternateContent xmlns:mc="http://schemas.openxmlformats.org/markup-compatibility/2006">
          <mc:Choice Requires="x14">
            <control shapeId="66580" r:id="rId23" name="Check Box 20">
              <controlPr defaultSize="0" autoFill="0" autoLine="0" autoPict="0">
                <anchor moveWithCells="1">
                  <from>
                    <xdr:col>0</xdr:col>
                    <xdr:colOff>0</xdr:colOff>
                    <xdr:row>25</xdr:row>
                    <xdr:rowOff>19050</xdr:rowOff>
                  </from>
                  <to>
                    <xdr:col>6</xdr:col>
                    <xdr:colOff>257175</xdr:colOff>
                    <xdr:row>25</xdr:row>
                    <xdr:rowOff>171450</xdr:rowOff>
                  </to>
                </anchor>
              </controlPr>
            </control>
          </mc:Choice>
        </mc:AlternateContent>
        <mc:AlternateContent xmlns:mc="http://schemas.openxmlformats.org/markup-compatibility/2006">
          <mc:Choice Requires="x14">
            <control shapeId="66581" r:id="rId24" name="Check Box 21">
              <controlPr defaultSize="0" autoFill="0" autoLine="0" autoPict="0">
                <anchor moveWithCells="1">
                  <from>
                    <xdr:col>0</xdr:col>
                    <xdr:colOff>0</xdr:colOff>
                    <xdr:row>26</xdr:row>
                    <xdr:rowOff>19050</xdr:rowOff>
                  </from>
                  <to>
                    <xdr:col>6</xdr:col>
                    <xdr:colOff>247650</xdr:colOff>
                    <xdr:row>26</xdr:row>
                    <xdr:rowOff>171450</xdr:rowOff>
                  </to>
                </anchor>
              </controlPr>
            </control>
          </mc:Choice>
        </mc:AlternateContent>
        <mc:AlternateContent xmlns:mc="http://schemas.openxmlformats.org/markup-compatibility/2006">
          <mc:Choice Requires="x14">
            <control shapeId="66582" r:id="rId25" name="Check Box 22">
              <controlPr defaultSize="0" autoFill="0" autoLine="0" autoPict="0">
                <anchor moveWithCells="1">
                  <from>
                    <xdr:col>0</xdr:col>
                    <xdr:colOff>0</xdr:colOff>
                    <xdr:row>27</xdr:row>
                    <xdr:rowOff>19050</xdr:rowOff>
                  </from>
                  <to>
                    <xdr:col>6</xdr:col>
                    <xdr:colOff>247650</xdr:colOff>
                    <xdr:row>27</xdr:row>
                    <xdr:rowOff>171450</xdr:rowOff>
                  </to>
                </anchor>
              </controlPr>
            </control>
          </mc:Choice>
        </mc:AlternateContent>
        <mc:AlternateContent xmlns:mc="http://schemas.openxmlformats.org/markup-compatibility/2006">
          <mc:Choice Requires="x14">
            <control shapeId="66583" r:id="rId26" name="Check Box 23">
              <controlPr defaultSize="0" autoFill="0" autoLine="0" autoPict="0">
                <anchor moveWithCells="1">
                  <from>
                    <xdr:col>0</xdr:col>
                    <xdr:colOff>0</xdr:colOff>
                    <xdr:row>28</xdr:row>
                    <xdr:rowOff>9525</xdr:rowOff>
                  </from>
                  <to>
                    <xdr:col>6</xdr:col>
                    <xdr:colOff>257175</xdr:colOff>
                    <xdr:row>28</xdr:row>
                    <xdr:rowOff>161925</xdr:rowOff>
                  </to>
                </anchor>
              </controlPr>
            </control>
          </mc:Choice>
        </mc:AlternateContent>
        <mc:AlternateContent xmlns:mc="http://schemas.openxmlformats.org/markup-compatibility/2006">
          <mc:Choice Requires="x14">
            <control shapeId="66584" r:id="rId27" name="Check Box 24">
              <controlPr defaultSize="0" autoFill="0" autoLine="0" autoPict="0">
                <anchor moveWithCells="1">
                  <from>
                    <xdr:col>0</xdr:col>
                    <xdr:colOff>0</xdr:colOff>
                    <xdr:row>29</xdr:row>
                    <xdr:rowOff>19050</xdr:rowOff>
                  </from>
                  <to>
                    <xdr:col>6</xdr:col>
                    <xdr:colOff>257175</xdr:colOff>
                    <xdr:row>29</xdr:row>
                    <xdr:rowOff>171450</xdr:rowOff>
                  </to>
                </anchor>
              </controlPr>
            </control>
          </mc:Choice>
        </mc:AlternateContent>
        <mc:AlternateContent xmlns:mc="http://schemas.openxmlformats.org/markup-compatibility/2006">
          <mc:Choice Requires="x14">
            <control shapeId="66585" r:id="rId28" name="Check Box 25">
              <controlPr defaultSize="0" autoFill="0" autoLine="0" autoPict="0">
                <anchor moveWithCells="1">
                  <from>
                    <xdr:col>0</xdr:col>
                    <xdr:colOff>0</xdr:colOff>
                    <xdr:row>30</xdr:row>
                    <xdr:rowOff>19050</xdr:rowOff>
                  </from>
                  <to>
                    <xdr:col>6</xdr:col>
                    <xdr:colOff>247650</xdr:colOff>
                    <xdr:row>30</xdr:row>
                    <xdr:rowOff>171450</xdr:rowOff>
                  </to>
                </anchor>
              </controlPr>
            </control>
          </mc:Choice>
        </mc:AlternateContent>
        <mc:AlternateContent xmlns:mc="http://schemas.openxmlformats.org/markup-compatibility/2006">
          <mc:Choice Requires="x14">
            <control shapeId="66586" r:id="rId29" name="Check Box 26">
              <controlPr defaultSize="0" autoFill="0" autoLine="0" autoPict="0">
                <anchor moveWithCells="1">
                  <from>
                    <xdr:col>0</xdr:col>
                    <xdr:colOff>0</xdr:colOff>
                    <xdr:row>31</xdr:row>
                    <xdr:rowOff>28575</xdr:rowOff>
                  </from>
                  <to>
                    <xdr:col>6</xdr:col>
                    <xdr:colOff>247650</xdr:colOff>
                    <xdr:row>31</xdr:row>
                    <xdr:rowOff>171450</xdr:rowOff>
                  </to>
                </anchor>
              </controlPr>
            </control>
          </mc:Choice>
        </mc:AlternateContent>
        <mc:AlternateContent xmlns:mc="http://schemas.openxmlformats.org/markup-compatibility/2006">
          <mc:Choice Requires="x14">
            <control shapeId="66587" r:id="rId30" name="Check Box 27">
              <controlPr defaultSize="0" autoFill="0" autoLine="0" autoPict="0">
                <anchor moveWithCells="1">
                  <from>
                    <xdr:col>0</xdr:col>
                    <xdr:colOff>0</xdr:colOff>
                    <xdr:row>32</xdr:row>
                    <xdr:rowOff>19050</xdr:rowOff>
                  </from>
                  <to>
                    <xdr:col>6</xdr:col>
                    <xdr:colOff>247650</xdr:colOff>
                    <xdr:row>32</xdr:row>
                    <xdr:rowOff>171450</xdr:rowOff>
                  </to>
                </anchor>
              </controlPr>
            </control>
          </mc:Choice>
        </mc:AlternateContent>
        <mc:AlternateContent xmlns:mc="http://schemas.openxmlformats.org/markup-compatibility/2006">
          <mc:Choice Requires="x14">
            <control shapeId="66588" r:id="rId31" name="Check Box 28">
              <controlPr defaultSize="0" autoFill="0" autoLine="0" autoPict="0">
                <anchor moveWithCells="1">
                  <from>
                    <xdr:col>0</xdr:col>
                    <xdr:colOff>0</xdr:colOff>
                    <xdr:row>33</xdr:row>
                    <xdr:rowOff>19050</xdr:rowOff>
                  </from>
                  <to>
                    <xdr:col>6</xdr:col>
                    <xdr:colOff>247650</xdr:colOff>
                    <xdr:row>33</xdr:row>
                    <xdr:rowOff>171450</xdr:rowOff>
                  </to>
                </anchor>
              </controlPr>
            </control>
          </mc:Choice>
        </mc:AlternateContent>
        <mc:AlternateContent xmlns:mc="http://schemas.openxmlformats.org/markup-compatibility/2006">
          <mc:Choice Requires="x14">
            <control shapeId="66589" r:id="rId32" name="Check Box 29">
              <controlPr defaultSize="0" autoFill="0" autoLine="0" autoPict="0">
                <anchor moveWithCells="1">
                  <from>
                    <xdr:col>0</xdr:col>
                    <xdr:colOff>0</xdr:colOff>
                    <xdr:row>34</xdr:row>
                    <xdr:rowOff>19050</xdr:rowOff>
                  </from>
                  <to>
                    <xdr:col>6</xdr:col>
                    <xdr:colOff>247650</xdr:colOff>
                    <xdr:row>34</xdr:row>
                    <xdr:rowOff>171450</xdr:rowOff>
                  </to>
                </anchor>
              </controlPr>
            </control>
          </mc:Choice>
        </mc:AlternateContent>
        <mc:AlternateContent xmlns:mc="http://schemas.openxmlformats.org/markup-compatibility/2006">
          <mc:Choice Requires="x14">
            <control shapeId="66590" r:id="rId33" name="Check Box 30">
              <controlPr defaultSize="0" autoFill="0" autoLine="0" autoPict="0">
                <anchor moveWithCells="1">
                  <from>
                    <xdr:col>0</xdr:col>
                    <xdr:colOff>0</xdr:colOff>
                    <xdr:row>35</xdr:row>
                    <xdr:rowOff>19050</xdr:rowOff>
                  </from>
                  <to>
                    <xdr:col>6</xdr:col>
                    <xdr:colOff>247650</xdr:colOff>
                    <xdr:row>35</xdr:row>
                    <xdr:rowOff>171450</xdr:rowOff>
                  </to>
                </anchor>
              </controlPr>
            </control>
          </mc:Choice>
        </mc:AlternateContent>
        <mc:AlternateContent xmlns:mc="http://schemas.openxmlformats.org/markup-compatibility/2006">
          <mc:Choice Requires="x14">
            <control shapeId="66591" r:id="rId34" name="Check Box 31">
              <controlPr defaultSize="0" autoFill="0" autoLine="0" autoPict="0">
                <anchor moveWithCells="1">
                  <from>
                    <xdr:col>0</xdr:col>
                    <xdr:colOff>0</xdr:colOff>
                    <xdr:row>36</xdr:row>
                    <xdr:rowOff>19050</xdr:rowOff>
                  </from>
                  <to>
                    <xdr:col>6</xdr:col>
                    <xdr:colOff>247650</xdr:colOff>
                    <xdr:row>36</xdr:row>
                    <xdr:rowOff>171450</xdr:rowOff>
                  </to>
                </anchor>
              </controlPr>
            </control>
          </mc:Choice>
        </mc:AlternateContent>
        <mc:AlternateContent xmlns:mc="http://schemas.openxmlformats.org/markup-compatibility/2006">
          <mc:Choice Requires="x14">
            <control shapeId="66592" r:id="rId35" name="Check Box 32">
              <controlPr defaultSize="0" autoFill="0" autoLine="0" autoPict="0">
                <anchor moveWithCells="1">
                  <from>
                    <xdr:col>0</xdr:col>
                    <xdr:colOff>0</xdr:colOff>
                    <xdr:row>37</xdr:row>
                    <xdr:rowOff>19050</xdr:rowOff>
                  </from>
                  <to>
                    <xdr:col>6</xdr:col>
                    <xdr:colOff>247650</xdr:colOff>
                    <xdr:row>37</xdr:row>
                    <xdr:rowOff>171450</xdr:rowOff>
                  </to>
                </anchor>
              </controlPr>
            </control>
          </mc:Choice>
        </mc:AlternateContent>
        <mc:AlternateContent xmlns:mc="http://schemas.openxmlformats.org/markup-compatibility/2006">
          <mc:Choice Requires="x14">
            <control shapeId="66593" r:id="rId36" name="Check Box 33">
              <controlPr defaultSize="0" autoFill="0" autoLine="0" autoPict="0">
                <anchor moveWithCells="1">
                  <from>
                    <xdr:col>0</xdr:col>
                    <xdr:colOff>0</xdr:colOff>
                    <xdr:row>38</xdr:row>
                    <xdr:rowOff>9525</xdr:rowOff>
                  </from>
                  <to>
                    <xdr:col>6</xdr:col>
                    <xdr:colOff>247650</xdr:colOff>
                    <xdr:row>38</xdr:row>
                    <xdr:rowOff>161925</xdr:rowOff>
                  </to>
                </anchor>
              </controlPr>
            </control>
          </mc:Choice>
        </mc:AlternateContent>
        <mc:AlternateContent xmlns:mc="http://schemas.openxmlformats.org/markup-compatibility/2006">
          <mc:Choice Requires="x14">
            <control shapeId="66594" r:id="rId37" name="Check Box 34">
              <controlPr defaultSize="0" autoFill="0" autoLine="0" autoPict="0">
                <anchor moveWithCells="1">
                  <from>
                    <xdr:col>0</xdr:col>
                    <xdr:colOff>0</xdr:colOff>
                    <xdr:row>39</xdr:row>
                    <xdr:rowOff>19050</xdr:rowOff>
                  </from>
                  <to>
                    <xdr:col>6</xdr:col>
                    <xdr:colOff>257175</xdr:colOff>
                    <xdr:row>39</xdr:row>
                    <xdr:rowOff>161925</xdr:rowOff>
                  </to>
                </anchor>
              </controlPr>
            </control>
          </mc:Choice>
        </mc:AlternateContent>
        <mc:AlternateContent xmlns:mc="http://schemas.openxmlformats.org/markup-compatibility/2006">
          <mc:Choice Requires="x14">
            <control shapeId="66595" r:id="rId38" name="Check Box 35">
              <controlPr defaultSize="0" autoFill="0" autoLine="0" autoPict="0">
                <anchor moveWithCells="1">
                  <from>
                    <xdr:col>0</xdr:col>
                    <xdr:colOff>0</xdr:colOff>
                    <xdr:row>40</xdr:row>
                    <xdr:rowOff>19050</xdr:rowOff>
                  </from>
                  <to>
                    <xdr:col>6</xdr:col>
                    <xdr:colOff>257175</xdr:colOff>
                    <xdr:row>40</xdr:row>
                    <xdr:rowOff>171450</xdr:rowOff>
                  </to>
                </anchor>
              </controlPr>
            </control>
          </mc:Choice>
        </mc:AlternateContent>
        <mc:AlternateContent xmlns:mc="http://schemas.openxmlformats.org/markup-compatibility/2006">
          <mc:Choice Requires="x14">
            <control shapeId="66596" r:id="rId39" name="Check Box 36">
              <controlPr defaultSize="0" autoFill="0" autoLine="0" autoPict="0">
                <anchor moveWithCells="1">
                  <from>
                    <xdr:col>0</xdr:col>
                    <xdr:colOff>0</xdr:colOff>
                    <xdr:row>41</xdr:row>
                    <xdr:rowOff>19050</xdr:rowOff>
                  </from>
                  <to>
                    <xdr:col>6</xdr:col>
                    <xdr:colOff>257175</xdr:colOff>
                    <xdr:row>41</xdr:row>
                    <xdr:rowOff>171450</xdr:rowOff>
                  </to>
                </anchor>
              </controlPr>
            </control>
          </mc:Choice>
        </mc:AlternateContent>
        <mc:AlternateContent xmlns:mc="http://schemas.openxmlformats.org/markup-compatibility/2006">
          <mc:Choice Requires="x14">
            <control shapeId="66597" r:id="rId40" name="Check Box 37">
              <controlPr defaultSize="0" autoFill="0" autoLine="0" autoPict="0">
                <anchor moveWithCells="1">
                  <from>
                    <xdr:col>0</xdr:col>
                    <xdr:colOff>0</xdr:colOff>
                    <xdr:row>42</xdr:row>
                    <xdr:rowOff>9525</xdr:rowOff>
                  </from>
                  <to>
                    <xdr:col>6</xdr:col>
                    <xdr:colOff>257175</xdr:colOff>
                    <xdr:row>42</xdr:row>
                    <xdr:rowOff>171450</xdr:rowOff>
                  </to>
                </anchor>
              </controlPr>
            </control>
          </mc:Choice>
        </mc:AlternateContent>
        <mc:AlternateContent xmlns:mc="http://schemas.openxmlformats.org/markup-compatibility/2006">
          <mc:Choice Requires="x14">
            <control shapeId="66598" r:id="rId41" name="Check Box 38">
              <controlPr defaultSize="0" autoFill="0" autoLine="0" autoPict="0">
                <anchor moveWithCells="1">
                  <from>
                    <xdr:col>0</xdr:col>
                    <xdr:colOff>0</xdr:colOff>
                    <xdr:row>43</xdr:row>
                    <xdr:rowOff>19050</xdr:rowOff>
                  </from>
                  <to>
                    <xdr:col>6</xdr:col>
                    <xdr:colOff>257175</xdr:colOff>
                    <xdr:row>43</xdr:row>
                    <xdr:rowOff>171450</xdr:rowOff>
                  </to>
                </anchor>
              </controlPr>
            </control>
          </mc:Choice>
        </mc:AlternateContent>
        <mc:AlternateContent xmlns:mc="http://schemas.openxmlformats.org/markup-compatibility/2006">
          <mc:Choice Requires="x14">
            <control shapeId="66599" r:id="rId42" name="Check Box 39">
              <controlPr defaultSize="0" autoFill="0" autoLine="0" autoPict="0">
                <anchor moveWithCells="1">
                  <from>
                    <xdr:col>0</xdr:col>
                    <xdr:colOff>0</xdr:colOff>
                    <xdr:row>44</xdr:row>
                    <xdr:rowOff>9525</xdr:rowOff>
                  </from>
                  <to>
                    <xdr:col>6</xdr:col>
                    <xdr:colOff>257175</xdr:colOff>
                    <xdr:row>44</xdr:row>
                    <xdr:rowOff>171450</xdr:rowOff>
                  </to>
                </anchor>
              </controlPr>
            </control>
          </mc:Choice>
        </mc:AlternateContent>
        <mc:AlternateContent xmlns:mc="http://schemas.openxmlformats.org/markup-compatibility/2006">
          <mc:Choice Requires="x14">
            <control shapeId="66600" r:id="rId43" name="Check Box 40">
              <controlPr defaultSize="0" autoFill="0" autoLine="0" autoPict="0">
                <anchor moveWithCells="1">
                  <from>
                    <xdr:col>0</xdr:col>
                    <xdr:colOff>0</xdr:colOff>
                    <xdr:row>45</xdr:row>
                    <xdr:rowOff>19050</xdr:rowOff>
                  </from>
                  <to>
                    <xdr:col>6</xdr:col>
                    <xdr:colOff>257175</xdr:colOff>
                    <xdr:row>45</xdr:row>
                    <xdr:rowOff>171450</xdr:rowOff>
                  </to>
                </anchor>
              </controlPr>
            </control>
          </mc:Choice>
        </mc:AlternateContent>
        <mc:AlternateContent xmlns:mc="http://schemas.openxmlformats.org/markup-compatibility/2006">
          <mc:Choice Requires="x14">
            <control shapeId="66601" r:id="rId44" name="Check Box 41">
              <controlPr defaultSize="0" autoFill="0" autoLine="0" autoPict="0">
                <anchor moveWithCells="1">
                  <from>
                    <xdr:col>0</xdr:col>
                    <xdr:colOff>0</xdr:colOff>
                    <xdr:row>46</xdr:row>
                    <xdr:rowOff>9525</xdr:rowOff>
                  </from>
                  <to>
                    <xdr:col>6</xdr:col>
                    <xdr:colOff>257175</xdr:colOff>
                    <xdr:row>46</xdr:row>
                    <xdr:rowOff>161925</xdr:rowOff>
                  </to>
                </anchor>
              </controlPr>
            </control>
          </mc:Choice>
        </mc:AlternateContent>
        <mc:AlternateContent xmlns:mc="http://schemas.openxmlformats.org/markup-compatibility/2006">
          <mc:Choice Requires="x14">
            <control shapeId="66602" r:id="rId45" name="Check Box 42">
              <controlPr defaultSize="0" autoFill="0" autoLine="0" autoPict="0">
                <anchor moveWithCells="1">
                  <from>
                    <xdr:col>0</xdr:col>
                    <xdr:colOff>0</xdr:colOff>
                    <xdr:row>47</xdr:row>
                    <xdr:rowOff>9525</xdr:rowOff>
                  </from>
                  <to>
                    <xdr:col>6</xdr:col>
                    <xdr:colOff>257175</xdr:colOff>
                    <xdr:row>47</xdr:row>
                    <xdr:rowOff>161925</xdr:rowOff>
                  </to>
                </anchor>
              </controlPr>
            </control>
          </mc:Choice>
        </mc:AlternateContent>
        <mc:AlternateContent xmlns:mc="http://schemas.openxmlformats.org/markup-compatibility/2006">
          <mc:Choice Requires="x14">
            <control shapeId="66603" r:id="rId46" name="Check Box 43">
              <controlPr defaultSize="0" autoFill="0" autoLine="0" autoPict="0">
                <anchor moveWithCells="1">
                  <from>
                    <xdr:col>0</xdr:col>
                    <xdr:colOff>0</xdr:colOff>
                    <xdr:row>48</xdr:row>
                    <xdr:rowOff>0</xdr:rowOff>
                  </from>
                  <to>
                    <xdr:col>6</xdr:col>
                    <xdr:colOff>257175</xdr:colOff>
                    <xdr:row>48</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1000000}">
          <x14:formula1>
            <xm:f>Validation!$Q$33:$Q$36</xm:f>
          </x14:formula1>
          <xm:sqref>AV2</xm:sqref>
        </x14:dataValidation>
        <x14:dataValidation type="list" allowBlank="1" showInputMessage="1" showErrorMessage="1" xr:uid="{00000000-0002-0000-0400-000002000000}">
          <x14:formula1>
            <xm:f>Validation!$C$40</xm:f>
          </x14:formula1>
          <xm:sqref>BF2</xm:sqref>
        </x14:dataValidation>
        <x14:dataValidation type="list" allowBlank="1" showInputMessage="1" showErrorMessage="1" xr:uid="{00000000-0002-0000-0400-000003000000}">
          <x14:formula1>
            <xm:f>Validation!$Q$5:$Q$12</xm:f>
          </x14:formula1>
          <xm:sqref>I2 AG2:AJ2 V2</xm:sqref>
        </x14:dataValidation>
        <x14:dataValidation type="list" allowBlank="1" showInputMessage="1" showErrorMessage="1" xr:uid="{00000000-0002-0000-0400-000004000000}">
          <x14:formula1>
            <xm:f>Validation!$Q$28:$Q$29</xm:f>
          </x14:formula1>
          <xm:sqref>AL2 AQ2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A1:BJ60"/>
  <sheetViews>
    <sheetView showGridLines="0" zoomScale="85" zoomScaleNormal="85" workbookViewId="0">
      <pane xSplit="7" ySplit="6" topLeftCell="L7" activePane="bottomRight" state="frozen"/>
      <selection pane="topRight" activeCell="F1" sqref="F1"/>
      <selection pane="bottomLeft" activeCell="A7" sqref="A7"/>
      <selection pane="bottomRight" activeCell="G17" sqref="G17"/>
    </sheetView>
  </sheetViews>
  <sheetFormatPr defaultColWidth="0" defaultRowHeight="14.25" customHeight="1" outlineLevelCol="1" x14ac:dyDescent="0.2"/>
  <cols>
    <col min="1" max="1" width="2.09765625" customWidth="1" outlineLevel="1"/>
    <col min="2" max="2" width="17" style="229" customWidth="1" outlineLevel="1"/>
    <col min="3" max="3" width="8.09765625" style="229" customWidth="1" outlineLevel="1"/>
    <col min="4" max="4" width="7.796875" customWidth="1" outlineLevel="1"/>
    <col min="5" max="5" width="6.8984375" customWidth="1" outlineLevel="1"/>
    <col min="6" max="6" width="0.796875" customWidth="1"/>
    <col min="7" max="7" width="37.796875" bestFit="1" customWidth="1"/>
    <col min="8" max="8" width="1.19921875" customWidth="1"/>
    <col min="9" max="9" width="7.59765625" customWidth="1" outlineLevel="1"/>
    <col min="10" max="10" width="6.3984375" customWidth="1" outlineLevel="1"/>
    <col min="11" max="11" width="7.59765625" customWidth="1" outlineLevel="1"/>
    <col min="12" max="12" width="6.3984375" customWidth="1" outlineLevel="1"/>
    <col min="13" max="13" width="8.8984375" customWidth="1" outlineLevel="1"/>
    <col min="14" max="14" width="6.3984375" customWidth="1" outlineLevel="1"/>
    <col min="15" max="15" width="8.69921875" customWidth="1" outlineLevel="1"/>
    <col min="16" max="16" width="7.5" customWidth="1" outlineLevel="1"/>
    <col min="17" max="17" width="8.69921875" style="130" customWidth="1" outlineLevel="1"/>
    <col min="18" max="18" width="6.3984375" customWidth="1" outlineLevel="1"/>
    <col min="19" max="19" width="8.69921875" style="130" customWidth="1" outlineLevel="1"/>
    <col min="20" max="20" width="6.3984375" customWidth="1" outlineLevel="1"/>
    <col min="21" max="21" width="1.69921875" customWidth="1"/>
    <col min="22" max="22" width="7.59765625" hidden="1" customWidth="1" outlineLevel="1"/>
    <col min="23" max="23" width="6.3984375" hidden="1" customWidth="1" outlineLevel="1"/>
    <col min="24" max="24" width="7.59765625" hidden="1" customWidth="1" outlineLevel="1"/>
    <col min="25" max="25" width="6.3984375" hidden="1" customWidth="1" outlineLevel="1"/>
    <col min="26" max="26" width="7.59765625" hidden="1" customWidth="1" outlineLevel="1"/>
    <col min="27" max="27" width="6.3984375" hidden="1" customWidth="1" outlineLevel="1"/>
    <col min="28" max="28" width="8.69921875" customWidth="1" outlineLevel="1"/>
    <col min="29" max="29" width="6.3984375" customWidth="1" outlineLevel="1"/>
    <col min="30" max="30" width="8.69921875" customWidth="1" outlineLevel="1"/>
    <col min="31" max="31" width="6.3984375" customWidth="1" outlineLevel="1"/>
    <col min="32" max="32" width="1.69921875" customWidth="1"/>
    <col min="33" max="33" width="8.69921875" style="130" hidden="1" customWidth="1" outlineLevel="1"/>
    <col min="34" max="34" width="6.3984375" hidden="1" customWidth="1" outlineLevel="1"/>
    <col min="35" max="35" width="10.3984375" style="130" hidden="1" customWidth="1" outlineLevel="1"/>
    <col min="36" max="36" width="6.3984375" hidden="1" customWidth="1" outlineLevel="1"/>
    <col min="37" max="37" width="1.69921875" customWidth="1" collapsed="1"/>
    <col min="38" max="38" width="8.69921875" customWidth="1" outlineLevel="1"/>
    <col min="39" max="39" width="6.3984375" customWidth="1" outlineLevel="1"/>
    <col min="40" max="40" width="8.69921875" customWidth="1" outlineLevel="1"/>
    <col min="41" max="41" width="6.3984375" customWidth="1" outlineLevel="1"/>
    <col min="42" max="42" width="1.69921875" customWidth="1"/>
    <col min="43" max="43" width="8.69921875" hidden="1" customWidth="1" outlineLevel="1"/>
    <col min="44" max="44" width="6.3984375" hidden="1" customWidth="1" outlineLevel="1"/>
    <col min="45" max="45" width="10.3984375" hidden="1" customWidth="1" outlineLevel="1"/>
    <col min="46" max="46" width="6.3984375" hidden="1" customWidth="1" outlineLevel="1"/>
    <col min="47" max="47" width="1.69921875" customWidth="1" collapsed="1"/>
    <col min="48" max="48" width="8.69921875" hidden="1" customWidth="1" outlineLevel="1"/>
    <col min="49" max="49" width="6.3984375" hidden="1" customWidth="1" outlineLevel="1"/>
    <col min="50" max="50" width="8.69921875" hidden="1" customWidth="1" outlineLevel="1"/>
    <col min="51" max="51" width="6.3984375" hidden="1" customWidth="1" outlineLevel="1"/>
    <col min="52" max="52" width="1.69921875" customWidth="1" collapsed="1"/>
    <col min="53" max="53" width="8.69921875" hidden="1" customWidth="1" outlineLevel="1"/>
    <col min="54" max="54" width="6.3984375" hidden="1" customWidth="1" outlineLevel="1"/>
    <col min="55" max="55" width="10.3984375" hidden="1" customWidth="1" outlineLevel="1"/>
    <col min="56" max="56" width="6.3984375" hidden="1" customWidth="1" outlineLevel="1"/>
    <col min="57" max="57" width="1.69921875" customWidth="1" collapsed="1"/>
    <col min="58" max="58" width="10.3984375" hidden="1" customWidth="1" outlineLevel="1"/>
    <col min="59" max="59" width="6.3984375" hidden="1" customWidth="1" outlineLevel="1"/>
    <col min="60" max="60" width="1.69921875" customWidth="1" collapsed="1"/>
    <col min="61" max="61" width="1.69921875" customWidth="1"/>
    <col min="62" max="62" width="0" hidden="1" customWidth="1"/>
    <col min="63" max="16384" width="8.796875" hidden="1"/>
  </cols>
  <sheetData>
    <row r="1" spans="1:61" ht="45" customHeight="1" thickBot="1" x14ac:dyDescent="0.25">
      <c r="A1" s="84"/>
      <c r="B1" s="226"/>
      <c r="C1" s="226"/>
      <c r="D1" s="84"/>
      <c r="E1" s="84"/>
      <c r="F1" s="84"/>
      <c r="G1" s="292" t="s">
        <v>398</v>
      </c>
      <c r="H1" s="84"/>
      <c r="I1" s="96"/>
      <c r="J1" s="97"/>
      <c r="K1" s="96"/>
      <c r="L1" s="97"/>
      <c r="M1" s="96"/>
      <c r="N1" s="97"/>
      <c r="O1" s="96"/>
      <c r="P1" s="97"/>
      <c r="Q1" s="96"/>
      <c r="R1" s="97"/>
      <c r="S1" s="96"/>
      <c r="T1" s="97"/>
      <c r="U1" s="288" t="s">
        <v>378</v>
      </c>
      <c r="V1" s="84"/>
      <c r="W1" s="84"/>
      <c r="X1" s="84"/>
      <c r="Y1" s="131"/>
      <c r="Z1" s="84"/>
      <c r="AA1" s="131"/>
      <c r="AB1" s="84"/>
      <c r="AC1" s="131"/>
      <c r="AD1" s="84"/>
      <c r="AE1" s="131"/>
      <c r="AF1" s="288" t="s">
        <v>379</v>
      </c>
      <c r="AG1" s="131"/>
      <c r="AH1" s="84"/>
      <c r="AI1" s="131"/>
      <c r="AJ1" s="84"/>
      <c r="AK1" s="288" t="s">
        <v>380</v>
      </c>
      <c r="AL1" s="299">
        <v>128.5</v>
      </c>
      <c r="AM1" s="300">
        <f>(AL6-AL1)/AL1</f>
        <v>0</v>
      </c>
      <c r="AN1" s="299">
        <v>236.17</v>
      </c>
      <c r="AO1" s="300">
        <f>(AN6-AN1)/AN1</f>
        <v>0</v>
      </c>
      <c r="AP1" s="288" t="s">
        <v>382</v>
      </c>
      <c r="AQ1" s="299">
        <v>535.95000000000005</v>
      </c>
      <c r="AR1" s="300">
        <f>(AQ6-AQ1)/AQ1</f>
        <v>0</v>
      </c>
      <c r="AS1" s="84"/>
      <c r="AT1" s="84"/>
      <c r="AU1" s="293" t="s">
        <v>383</v>
      </c>
      <c r="AV1" s="295"/>
      <c r="AW1" s="294"/>
      <c r="AX1" s="295"/>
      <c r="AY1" s="84"/>
      <c r="AZ1" s="288" t="s">
        <v>384</v>
      </c>
      <c r="BA1" s="84"/>
      <c r="BB1" s="84"/>
      <c r="BC1" s="84"/>
      <c r="BD1" s="84"/>
      <c r="BE1" s="288" t="s">
        <v>385</v>
      </c>
      <c r="BF1" s="84"/>
      <c r="BG1" s="84"/>
      <c r="BH1" s="288" t="s">
        <v>386</v>
      </c>
      <c r="BI1" s="84"/>
    </row>
    <row r="2" spans="1:61" ht="15" customHeight="1" x14ac:dyDescent="0.2">
      <c r="A2" s="84"/>
      <c r="B2" s="391" t="s">
        <v>16</v>
      </c>
      <c r="C2" s="391"/>
      <c r="D2" s="392"/>
      <c r="E2" s="84"/>
      <c r="F2" s="84"/>
      <c r="G2" s="397" t="s">
        <v>17</v>
      </c>
      <c r="H2" s="84"/>
      <c r="I2" s="400" t="s">
        <v>259</v>
      </c>
      <c r="J2" s="400"/>
      <c r="K2" s="400"/>
      <c r="L2" s="400"/>
      <c r="M2" s="400"/>
      <c r="N2" s="400"/>
      <c r="O2" s="400"/>
      <c r="P2" s="400"/>
      <c r="Q2" s="400"/>
      <c r="R2" s="400"/>
      <c r="S2" s="400"/>
      <c r="T2" s="400"/>
      <c r="U2" s="84"/>
      <c r="V2" s="400" t="s">
        <v>259</v>
      </c>
      <c r="W2" s="400"/>
      <c r="X2" s="400"/>
      <c r="Y2" s="400"/>
      <c r="Z2" s="400"/>
      <c r="AA2" s="400"/>
      <c r="AB2" s="400"/>
      <c r="AC2" s="400"/>
      <c r="AD2" s="400"/>
      <c r="AE2" s="400"/>
      <c r="AF2" s="131"/>
      <c r="AG2" s="400" t="s">
        <v>259</v>
      </c>
      <c r="AH2" s="400"/>
      <c r="AI2" s="400"/>
      <c r="AJ2" s="400"/>
      <c r="AK2" s="131"/>
      <c r="AL2" s="400" t="s">
        <v>261</v>
      </c>
      <c r="AM2" s="400"/>
      <c r="AN2" s="400"/>
      <c r="AO2" s="400"/>
      <c r="AP2" s="84"/>
      <c r="AQ2" s="400" t="s">
        <v>263</v>
      </c>
      <c r="AR2" s="400"/>
      <c r="AS2" s="400"/>
      <c r="AT2" s="400"/>
      <c r="AU2" s="84"/>
      <c r="AV2" s="400" t="s">
        <v>267</v>
      </c>
      <c r="AW2" s="400"/>
      <c r="AX2" s="400"/>
      <c r="AY2" s="400"/>
      <c r="AZ2" s="84"/>
      <c r="BA2" s="400" t="s">
        <v>267</v>
      </c>
      <c r="BB2" s="400"/>
      <c r="BC2" s="400"/>
      <c r="BD2" s="400"/>
      <c r="BE2" s="84"/>
      <c r="BF2" s="401" t="s">
        <v>269</v>
      </c>
      <c r="BG2" s="500"/>
      <c r="BH2" s="84"/>
      <c r="BI2" s="84"/>
    </row>
    <row r="3" spans="1:61" ht="15" customHeight="1" x14ac:dyDescent="0.2">
      <c r="A3" s="84"/>
      <c r="B3" s="393"/>
      <c r="C3" s="393"/>
      <c r="D3" s="394"/>
      <c r="E3" s="84"/>
      <c r="F3" s="84"/>
      <c r="G3" s="398"/>
      <c r="H3" s="84"/>
      <c r="I3" s="496" t="s">
        <v>387</v>
      </c>
      <c r="J3" s="496"/>
      <c r="K3" s="496"/>
      <c r="L3" s="496"/>
      <c r="M3" s="496"/>
      <c r="N3" s="496"/>
      <c r="O3" s="496"/>
      <c r="P3" s="496"/>
      <c r="Q3" s="496"/>
      <c r="R3" s="496"/>
      <c r="S3" s="496"/>
      <c r="T3" s="496"/>
      <c r="U3" s="84"/>
      <c r="V3" s="496" t="s">
        <v>388</v>
      </c>
      <c r="W3" s="496"/>
      <c r="X3" s="496"/>
      <c r="Y3" s="496"/>
      <c r="Z3" s="496"/>
      <c r="AA3" s="496"/>
      <c r="AB3" s="496"/>
      <c r="AC3" s="496"/>
      <c r="AD3" s="496"/>
      <c r="AE3" s="496"/>
      <c r="AF3" s="131"/>
      <c r="AG3" s="496" t="s">
        <v>46</v>
      </c>
      <c r="AH3" s="496"/>
      <c r="AI3" s="496"/>
      <c r="AJ3" s="496"/>
      <c r="AK3" s="131"/>
      <c r="AL3" s="497" t="s">
        <v>260</v>
      </c>
      <c r="AM3" s="497"/>
      <c r="AN3" s="497"/>
      <c r="AO3" s="497"/>
      <c r="AP3" s="84"/>
      <c r="AQ3" s="497" t="s">
        <v>151</v>
      </c>
      <c r="AR3" s="497"/>
      <c r="AS3" s="497"/>
      <c r="AT3" s="497"/>
      <c r="AU3" s="84"/>
      <c r="AV3" s="498" t="s">
        <v>88</v>
      </c>
      <c r="AW3" s="498"/>
      <c r="AX3" s="498"/>
      <c r="AY3" s="498"/>
      <c r="AZ3" s="84"/>
      <c r="BA3" s="498" t="s">
        <v>88</v>
      </c>
      <c r="BB3" s="498"/>
      <c r="BC3" s="498"/>
      <c r="BD3" s="498"/>
      <c r="BE3" s="84"/>
      <c r="BF3" s="499" t="s">
        <v>389</v>
      </c>
      <c r="BG3" s="499"/>
      <c r="BH3" s="84"/>
      <c r="BI3" s="84"/>
    </row>
    <row r="4" spans="1:61" ht="15" customHeight="1" thickBot="1" x14ac:dyDescent="0.25">
      <c r="A4" s="84"/>
      <c r="B4" s="393"/>
      <c r="C4" s="393"/>
      <c r="D4" s="394"/>
      <c r="E4" s="84"/>
      <c r="F4" s="84"/>
      <c r="G4" s="399"/>
      <c r="H4" s="84"/>
      <c r="I4" s="496"/>
      <c r="J4" s="496"/>
      <c r="K4" s="496"/>
      <c r="L4" s="496"/>
      <c r="M4" s="496"/>
      <c r="N4" s="496"/>
      <c r="O4" s="496"/>
      <c r="P4" s="496"/>
      <c r="Q4" s="496"/>
      <c r="R4" s="496"/>
      <c r="S4" s="496"/>
      <c r="T4" s="496"/>
      <c r="U4" s="84"/>
      <c r="V4" s="496"/>
      <c r="W4" s="496"/>
      <c r="X4" s="496"/>
      <c r="Y4" s="496"/>
      <c r="Z4" s="496"/>
      <c r="AA4" s="496"/>
      <c r="AB4" s="496"/>
      <c r="AC4" s="496"/>
      <c r="AD4" s="496"/>
      <c r="AE4" s="496"/>
      <c r="AF4" s="131"/>
      <c r="AG4" s="496"/>
      <c r="AH4" s="496"/>
      <c r="AI4" s="496"/>
      <c r="AJ4" s="496"/>
      <c r="AK4" s="131"/>
      <c r="AL4" s="497"/>
      <c r="AM4" s="497"/>
      <c r="AN4" s="497"/>
      <c r="AO4" s="497"/>
      <c r="AP4" s="84"/>
      <c r="AQ4" s="497"/>
      <c r="AR4" s="497"/>
      <c r="AS4" s="497"/>
      <c r="AT4" s="497"/>
      <c r="AU4" s="84"/>
      <c r="AV4" s="498"/>
      <c r="AW4" s="498"/>
      <c r="AX4" s="498"/>
      <c r="AY4" s="498"/>
      <c r="AZ4" s="84"/>
      <c r="BA4" s="498"/>
      <c r="BB4" s="498"/>
      <c r="BC4" s="498"/>
      <c r="BD4" s="498"/>
      <c r="BE4" s="84"/>
      <c r="BF4" s="499"/>
      <c r="BG4" s="499"/>
      <c r="BH4" s="84"/>
      <c r="BI4" s="84"/>
    </row>
    <row r="5" spans="1:61" s="83" customFormat="1" ht="15" thickBot="1" x14ac:dyDescent="0.25">
      <c r="A5" s="84"/>
      <c r="B5" s="395"/>
      <c r="C5" s="395"/>
      <c r="D5" s="396"/>
      <c r="E5" s="84"/>
      <c r="F5" s="84"/>
      <c r="G5" s="242" t="s">
        <v>26</v>
      </c>
      <c r="H5" s="84"/>
      <c r="I5" s="105" t="s">
        <v>27</v>
      </c>
      <c r="J5" s="106">
        <v>36</v>
      </c>
      <c r="K5" s="105" t="s">
        <v>28</v>
      </c>
      <c r="L5" s="106">
        <v>24</v>
      </c>
      <c r="M5" s="105" t="s">
        <v>29</v>
      </c>
      <c r="N5" s="106">
        <v>12</v>
      </c>
      <c r="O5" s="105" t="s">
        <v>390</v>
      </c>
      <c r="P5" s="106">
        <v>12</v>
      </c>
      <c r="Q5" s="202" t="s">
        <v>391</v>
      </c>
      <c r="R5" s="106">
        <v>6</v>
      </c>
      <c r="S5" s="202" t="s">
        <v>392</v>
      </c>
      <c r="T5" s="106">
        <v>6</v>
      </c>
      <c r="U5" s="84"/>
      <c r="V5" s="105" t="s">
        <v>393</v>
      </c>
      <c r="W5" s="106">
        <v>48</v>
      </c>
      <c r="X5" s="105" t="s">
        <v>394</v>
      </c>
      <c r="Y5" s="106">
        <v>36</v>
      </c>
      <c r="Z5" s="105" t="s">
        <v>28</v>
      </c>
      <c r="AA5" s="106">
        <v>24</v>
      </c>
      <c r="AB5" s="105" t="s">
        <v>30</v>
      </c>
      <c r="AC5" s="106">
        <v>12</v>
      </c>
      <c r="AD5" s="105" t="s">
        <v>395</v>
      </c>
      <c r="AE5" s="106">
        <v>6</v>
      </c>
      <c r="AF5" s="131"/>
      <c r="AG5" s="202" t="s">
        <v>396</v>
      </c>
      <c r="AH5" s="106">
        <v>4</v>
      </c>
      <c r="AI5" s="202" t="s">
        <v>249</v>
      </c>
      <c r="AJ5" s="106">
        <v>1</v>
      </c>
      <c r="AK5" s="131"/>
      <c r="AL5" s="105" t="s">
        <v>30</v>
      </c>
      <c r="AM5" s="106">
        <v>12</v>
      </c>
      <c r="AN5" s="105" t="s">
        <v>397</v>
      </c>
      <c r="AO5" s="106">
        <v>6</v>
      </c>
      <c r="AP5" s="84"/>
      <c r="AQ5" s="105" t="s">
        <v>396</v>
      </c>
      <c r="AR5" s="106">
        <v>4</v>
      </c>
      <c r="AS5" s="105" t="s">
        <v>249</v>
      </c>
      <c r="AT5" s="106">
        <v>1</v>
      </c>
      <c r="AU5" s="84"/>
      <c r="AV5" s="105" t="s">
        <v>30</v>
      </c>
      <c r="AW5" s="106">
        <v>12</v>
      </c>
      <c r="AX5" s="105" t="s">
        <v>397</v>
      </c>
      <c r="AY5" s="106">
        <v>6</v>
      </c>
      <c r="AZ5" s="84"/>
      <c r="BA5" s="105" t="s">
        <v>396</v>
      </c>
      <c r="BB5" s="106">
        <v>4</v>
      </c>
      <c r="BC5" s="105" t="s">
        <v>249</v>
      </c>
      <c r="BD5" s="106">
        <v>1</v>
      </c>
      <c r="BE5" s="84"/>
      <c r="BF5" s="105" t="s">
        <v>249</v>
      </c>
      <c r="BG5" s="106">
        <v>1</v>
      </c>
      <c r="BH5" s="84"/>
      <c r="BI5" s="84"/>
    </row>
    <row r="6" spans="1:61" x14ac:dyDescent="0.2">
      <c r="A6" s="84"/>
      <c r="B6" s="227" t="s">
        <v>22</v>
      </c>
      <c r="C6" s="227" t="s">
        <v>2</v>
      </c>
      <c r="D6" s="159" t="s">
        <v>32</v>
      </c>
      <c r="E6" s="159" t="s">
        <v>33</v>
      </c>
      <c r="F6" s="84"/>
      <c r="G6" s="243" t="s">
        <v>34</v>
      </c>
      <c r="H6" s="84"/>
      <c r="I6" s="96">
        <v>43.088601470432941</v>
      </c>
      <c r="J6" s="97">
        <f>I6/I6</f>
        <v>1</v>
      </c>
      <c r="K6" s="96">
        <v>60.455144957761348</v>
      </c>
      <c r="L6" s="97">
        <f>K6/K6</f>
        <v>1</v>
      </c>
      <c r="M6" s="96">
        <v>116.8602899155227</v>
      </c>
      <c r="N6" s="97">
        <f>M6/M6</f>
        <v>1</v>
      </c>
      <c r="O6" s="96">
        <v>116.8602899155227</v>
      </c>
      <c r="P6" s="97">
        <f>O6/O6</f>
        <v>1</v>
      </c>
      <c r="Q6" s="96">
        <v>226.2205798310454</v>
      </c>
      <c r="R6" s="97">
        <f>Q6/Q6</f>
        <v>1</v>
      </c>
      <c r="S6" s="96">
        <v>226.2205798310454</v>
      </c>
      <c r="T6" s="97">
        <f>S6/S6</f>
        <v>1</v>
      </c>
      <c r="U6" s="85">
        <f>AQ6/4</f>
        <v>133.98750000000001</v>
      </c>
      <c r="V6" s="96">
        <f>AB6*0.18+2</f>
        <v>22.448052184794086</v>
      </c>
      <c r="W6" s="97">
        <f>V6/V6</f>
        <v>1</v>
      </c>
      <c r="X6" s="96">
        <f>AB6*0.3+2</f>
        <v>36.080086974656808</v>
      </c>
      <c r="Y6" s="97">
        <f>X6/X6</f>
        <v>1</v>
      </c>
      <c r="Z6" s="96">
        <f>AB6*0.5+2</f>
        <v>58.800144957761354</v>
      </c>
      <c r="AA6" s="97">
        <f>Z6/Z6</f>
        <v>1</v>
      </c>
      <c r="AB6" s="96">
        <v>113.60028991552271</v>
      </c>
      <c r="AC6" s="97">
        <f>AB6/AB6</f>
        <v>1</v>
      </c>
      <c r="AD6" s="96">
        <v>222.51625128205166</v>
      </c>
      <c r="AE6" s="97">
        <f>AD6/AD6</f>
        <v>1</v>
      </c>
      <c r="AF6" s="131"/>
      <c r="AG6" s="96">
        <v>447.4411596620908</v>
      </c>
      <c r="AH6" s="97">
        <f>AG6/AG6</f>
        <v>1</v>
      </c>
      <c r="AI6" s="96">
        <v>1600</v>
      </c>
      <c r="AJ6" s="97">
        <f>AI6/AI6</f>
        <v>1</v>
      </c>
      <c r="AK6" s="131"/>
      <c r="AL6" s="96">
        <v>128.5</v>
      </c>
      <c r="AM6" s="97">
        <f>AL6/AL6</f>
        <v>1</v>
      </c>
      <c r="AN6" s="96">
        <v>236.17</v>
      </c>
      <c r="AO6" s="97">
        <f>AN6/AN6</f>
        <v>1</v>
      </c>
      <c r="AP6" s="84"/>
      <c r="AQ6" s="96">
        <v>535.95000000000005</v>
      </c>
      <c r="AR6" s="97">
        <f>AQ6/AQ6</f>
        <v>1</v>
      </c>
      <c r="AS6" s="96">
        <v>1977.79</v>
      </c>
      <c r="AT6" s="97">
        <f>AS6/AS6</f>
        <v>1</v>
      </c>
      <c r="AU6" s="84"/>
      <c r="AV6" s="96">
        <v>144.608</v>
      </c>
      <c r="AW6" s="97">
        <f>AV6/AV6</f>
        <v>1</v>
      </c>
      <c r="AX6" s="96">
        <v>278.21600000000001</v>
      </c>
      <c r="AY6" s="97">
        <f>AX6/AX6</f>
        <v>1</v>
      </c>
      <c r="AZ6" s="84"/>
      <c r="BA6" s="96">
        <v>551.43200000000002</v>
      </c>
      <c r="BB6" s="97">
        <f>BA6/BA6</f>
        <v>1</v>
      </c>
      <c r="BC6" s="96">
        <v>2150</v>
      </c>
      <c r="BD6" s="97">
        <f>BC6/BC6</f>
        <v>1</v>
      </c>
      <c r="BE6" s="84"/>
      <c r="BF6" s="96">
        <v>1900</v>
      </c>
      <c r="BG6" s="97">
        <f>BF6/BF6</f>
        <v>1</v>
      </c>
      <c r="BH6" s="84"/>
      <c r="BI6" s="84"/>
    </row>
    <row r="7" spans="1:61" x14ac:dyDescent="0.2">
      <c r="A7" s="84"/>
      <c r="B7" s="287" t="str">
        <f>'Pricing Trends'!R13</f>
        <v>RBD SOYA BEAN OIL</v>
      </c>
      <c r="C7" s="249">
        <f>'Pricing Trends'!S13</f>
        <v>45314</v>
      </c>
      <c r="D7" s="223">
        <f>'Pricing Trends'!U13</f>
        <v>69.078871899999996</v>
      </c>
      <c r="E7" s="220" t="b">
        <v>1</v>
      </c>
      <c r="F7" s="84"/>
      <c r="G7" s="245" t="s">
        <v>45</v>
      </c>
      <c r="H7" s="84"/>
      <c r="I7" s="265">
        <f>IFERROR(VLOOKUP($I$2&amp;$G7,Validation!$E:$O,4,FALSE),0)</f>
        <v>0</v>
      </c>
      <c r="J7" s="99">
        <f t="shared" ref="J7:J16" si="0">I7/I$6</f>
        <v>0</v>
      </c>
      <c r="K7" s="265">
        <f>IFERROR(VLOOKUP($I$2&amp;$G7,Validation!$E:$O,5,FALSE),0)</f>
        <v>0</v>
      </c>
      <c r="L7" s="99">
        <f t="shared" ref="L7:L16" si="1">K7/K$6</f>
        <v>0</v>
      </c>
      <c r="M7" s="265">
        <f>IFERROR(VLOOKUP($I$2&amp;$G7,Validation!$E:$O,6,FALSE),0)</f>
        <v>0</v>
      </c>
      <c r="N7" s="99">
        <f t="shared" ref="N7:N16" si="2">M7/M$6</f>
        <v>0</v>
      </c>
      <c r="O7" s="265">
        <f>IFERROR(VLOOKUP($I$2&amp;$G7,Validation!$E:$O,6,FALSE),0)</f>
        <v>0</v>
      </c>
      <c r="P7" s="99">
        <f t="shared" ref="P7:P16" si="3">O7/O$6</f>
        <v>0</v>
      </c>
      <c r="Q7" s="266">
        <f>IFERROR(VLOOKUP($I$2&amp;$G7,Validation!$E:$O,7,FALSE),0)</f>
        <v>0</v>
      </c>
      <c r="R7" s="99">
        <f t="shared" ref="R7:R16" si="4">Q7/Q$6</f>
        <v>0</v>
      </c>
      <c r="S7" s="266">
        <f>IFERROR(VLOOKUP($I$2&amp;$G7,Validation!$E:$O,7,FALSE),0)</f>
        <v>0</v>
      </c>
      <c r="T7" s="99">
        <f t="shared" ref="T7:T16" si="5">S7/S$6</f>
        <v>0</v>
      </c>
      <c r="U7" s="84"/>
      <c r="V7" s="265">
        <f>IFERROR(VLOOKUP($V$2&amp;$G7,Validation!$E:$O,9,FALSE),0)</f>
        <v>0</v>
      </c>
      <c r="W7" s="99">
        <f t="shared" ref="W7:W16" si="6">V7/V$6</f>
        <v>0</v>
      </c>
      <c r="X7" s="265">
        <f>IFERROR(VLOOKUP($V$2&amp;$G7,Validation!$E:$O,10,FALSE),0)</f>
        <v>0</v>
      </c>
      <c r="Y7" s="99">
        <f t="shared" ref="Y7:Y16" si="7">X7/X$6</f>
        <v>0</v>
      </c>
      <c r="Z7" s="265">
        <f>IFERROR(VLOOKUP($V$2&amp;$G7,Validation!$E:$O,5,FALSE),0)</f>
        <v>0</v>
      </c>
      <c r="AA7" s="99">
        <f t="shared" ref="AA7:AA16" si="8">Z7/Z$6</f>
        <v>0</v>
      </c>
      <c r="AB7" s="265">
        <f>IFERROR(VLOOKUP($V$2&amp;$G7,Validation!$E:$O,6,FALSE),0)</f>
        <v>0</v>
      </c>
      <c r="AC7" s="99">
        <f t="shared" ref="AC7:AC16" si="9">AB7/AB$6</f>
        <v>0</v>
      </c>
      <c r="AD7" s="265">
        <f>IFERROR(VLOOKUP($V$2&amp;$G7,Validation!$E:$O,7,FALSE),0)</f>
        <v>0</v>
      </c>
      <c r="AE7" s="99">
        <f t="shared" ref="AE7:AE16" si="10">AD7/AD$6</f>
        <v>0</v>
      </c>
      <c r="AF7" s="131"/>
      <c r="AG7" s="266">
        <f>IFERROR(VLOOKUP($AG$2&amp;$G7,Validation!E:O,8,FALSE),0)</f>
        <v>0</v>
      </c>
      <c r="AH7" s="99">
        <f t="shared" ref="AH7:AH16" si="11">AG7/AG$6</f>
        <v>0</v>
      </c>
      <c r="AI7" s="266">
        <f>IFERROR(VLOOKUP($AG$2&amp;$G7,Validation!E:O,11,FALSE),0)</f>
        <v>0</v>
      </c>
      <c r="AJ7" s="99">
        <f t="shared" ref="AJ7:AJ16" si="12">AI7/AI$6</f>
        <v>0</v>
      </c>
      <c r="AK7" s="131"/>
      <c r="AL7" s="265">
        <f>IFERROR(VLOOKUP($AL$2&amp;$G7,Validation!$E:$O,6,FALSE),0)</f>
        <v>0</v>
      </c>
      <c r="AM7" s="99">
        <f t="shared" ref="AM7:AM16" si="13">AL7/AL$6</f>
        <v>0</v>
      </c>
      <c r="AN7" s="265">
        <f>IFERROR(VLOOKUP($AL$2&amp;$G7,Validation!$E:$O,7,FALSE),0)</f>
        <v>0</v>
      </c>
      <c r="AO7" s="99">
        <f t="shared" ref="AO7:AO16" si="14">AN7/AN$6</f>
        <v>0</v>
      </c>
      <c r="AP7" s="84"/>
      <c r="AQ7" s="265">
        <f>IFERROR(VLOOKUP($AQ$2&amp;$G7,Validation!$E:$O,8,FALSE),0)</f>
        <v>0</v>
      </c>
      <c r="AR7" s="99">
        <f t="shared" ref="AR7:AR16" si="15">AQ7/AQ$6</f>
        <v>0</v>
      </c>
      <c r="AS7" s="265">
        <f>IFERROR(VLOOKUP($AQ$2&amp;$G7,Validation!$E:$O,11,FALSE),0)</f>
        <v>0</v>
      </c>
      <c r="AT7" s="99">
        <f t="shared" ref="AT7:AT16" si="16">AS7/AS$6</f>
        <v>0</v>
      </c>
      <c r="AU7" s="84"/>
      <c r="AV7" s="265">
        <f>IFERROR(VLOOKUP($AV$2&amp;$G7,Validation!$E:$O,6,FALSE),0)</f>
        <v>69.078871899999996</v>
      </c>
      <c r="AW7" s="99">
        <f t="shared" ref="AW7:AW16" si="17">AV7/AV$6</f>
        <v>0.47769744343328163</v>
      </c>
      <c r="AX7" s="265">
        <f>IFERROR(VLOOKUP($AV$2&amp;$G7,Validation!$E:$O,7,FALSE),0)</f>
        <v>138.15774379999999</v>
      </c>
      <c r="AY7" s="99">
        <f t="shared" ref="AY7:AY16" si="18">AX7/AX$6</f>
        <v>0.49658446602639672</v>
      </c>
      <c r="AZ7" s="84"/>
      <c r="BA7" s="265">
        <f>IFERROR(VLOOKUP($BA$2&amp;$G7,Validation!$E:$L,8,FALSE),0)</f>
        <v>276.31548759999998</v>
      </c>
      <c r="BB7" s="99">
        <f t="shared" ref="BB7:BB16" si="19">BA7/BA$6</f>
        <v>0.50108714691929368</v>
      </c>
      <c r="BC7" s="265">
        <f>IFERROR(VLOOKUP($BA$2&amp;$G7,Validation!$E:$O,11,FALSE),0)</f>
        <v>1229.3292622253257</v>
      </c>
      <c r="BD7" s="99">
        <f t="shared" ref="BD7:BD16" si="20">BC7/BC$6</f>
        <v>0.57178105219782593</v>
      </c>
      <c r="BE7" s="84"/>
      <c r="BF7" s="265">
        <f>IFERROR(VLOOKUP($BF$2&amp;$G7,Validation!E:O,11,FALSE),0)</f>
        <v>0</v>
      </c>
      <c r="BG7" s="99">
        <f t="shared" ref="BG7:BG16" si="21">BF7/BF$6</f>
        <v>0</v>
      </c>
      <c r="BH7" s="84"/>
      <c r="BI7" s="84"/>
    </row>
    <row r="8" spans="1:61" x14ac:dyDescent="0.2">
      <c r="A8" s="84"/>
      <c r="B8" s="287" t="str">
        <f>'Pricing Trends'!R14</f>
        <v>RBD SOYA BEAN OIL</v>
      </c>
      <c r="C8" s="249">
        <f>'Pricing Trends'!S14</f>
        <v>45256</v>
      </c>
      <c r="D8" s="223">
        <f>'Pricing Trends'!U14</f>
        <v>68.754339999999999</v>
      </c>
      <c r="E8" s="220" t="b">
        <v>0</v>
      </c>
      <c r="F8" s="84"/>
      <c r="G8" s="245" t="s">
        <v>54</v>
      </c>
      <c r="H8" s="84"/>
      <c r="I8" s="265">
        <f>IFERROR(VLOOKUP($I$2&amp;$G8,Validation!$E:$O,4,FALSE),0)</f>
        <v>0</v>
      </c>
      <c r="J8" s="99">
        <f t="shared" si="0"/>
        <v>0</v>
      </c>
      <c r="K8" s="265">
        <f>IFERROR(VLOOKUP($I$2&amp;$G8,Validation!$E:$O,5,FALSE),0)</f>
        <v>0</v>
      </c>
      <c r="L8" s="99">
        <f t="shared" si="1"/>
        <v>0</v>
      </c>
      <c r="M8" s="265">
        <f>IFERROR(VLOOKUP($I$2&amp;$G8,Validation!$E:$O,6,FALSE),0)</f>
        <v>0</v>
      </c>
      <c r="N8" s="99">
        <f t="shared" si="2"/>
        <v>0</v>
      </c>
      <c r="O8" s="265">
        <f>IFERROR(VLOOKUP($I$2&amp;$G8,Validation!$E:$O,6,FALSE),0)</f>
        <v>0</v>
      </c>
      <c r="P8" s="99">
        <f t="shared" si="3"/>
        <v>0</v>
      </c>
      <c r="Q8" s="266">
        <f>IFERROR(VLOOKUP($I$2&amp;$G8,Validation!$E:$O,7,FALSE),0)</f>
        <v>0</v>
      </c>
      <c r="R8" s="99">
        <f t="shared" si="4"/>
        <v>0</v>
      </c>
      <c r="S8" s="266">
        <f>IFERROR(VLOOKUP($I$2&amp;$G8,Validation!$E:$O,7,FALSE),0)</f>
        <v>0</v>
      </c>
      <c r="T8" s="99">
        <f t="shared" si="5"/>
        <v>0</v>
      </c>
      <c r="U8" s="84"/>
      <c r="V8" s="265">
        <f>IFERROR(VLOOKUP($V$2&amp;$G8,Validation!$E:$O,9,FALSE),0)</f>
        <v>0</v>
      </c>
      <c r="W8" s="99">
        <f t="shared" si="6"/>
        <v>0</v>
      </c>
      <c r="X8" s="265">
        <f>IFERROR(VLOOKUP($V$2&amp;$G8,Validation!$E:$O,10,FALSE),0)</f>
        <v>0</v>
      </c>
      <c r="Y8" s="99">
        <f t="shared" si="7"/>
        <v>0</v>
      </c>
      <c r="Z8" s="265">
        <f>IFERROR(VLOOKUP($V$2&amp;$G8,Validation!$E:$O,5,FALSE),0)</f>
        <v>0</v>
      </c>
      <c r="AA8" s="99">
        <f t="shared" si="8"/>
        <v>0</v>
      </c>
      <c r="AB8" s="265">
        <f>IFERROR(VLOOKUP($V$2&amp;$G8,Validation!$E:$O,6,FALSE),0)</f>
        <v>0</v>
      </c>
      <c r="AC8" s="99">
        <f t="shared" si="9"/>
        <v>0</v>
      </c>
      <c r="AD8" s="265">
        <f>IFERROR(VLOOKUP($V$2&amp;$G8,Validation!$E:$O,7,FALSE),0)</f>
        <v>0</v>
      </c>
      <c r="AE8" s="99">
        <f t="shared" si="10"/>
        <v>0</v>
      </c>
      <c r="AF8" s="131"/>
      <c r="AG8" s="266">
        <f>IFERROR(VLOOKUP($AG$2&amp;$G8,Validation!E:O,8,FALSE),0)</f>
        <v>0</v>
      </c>
      <c r="AH8" s="99">
        <f t="shared" si="11"/>
        <v>0</v>
      </c>
      <c r="AI8" s="266">
        <f>IFERROR(VLOOKUP($AG$2&amp;$G8,Validation!E:O,11,FALSE),0)</f>
        <v>0</v>
      </c>
      <c r="AJ8" s="99">
        <f t="shared" si="12"/>
        <v>0</v>
      </c>
      <c r="AK8" s="131"/>
      <c r="AL8" s="265">
        <f>IFERROR(VLOOKUP($AL$2&amp;$G8,Validation!$E:$O,6,FALSE),0)</f>
        <v>0</v>
      </c>
      <c r="AM8" s="99">
        <f t="shared" si="13"/>
        <v>0</v>
      </c>
      <c r="AN8" s="265">
        <f>IFERROR(VLOOKUP($AL$2&amp;$G8,Validation!$E:$O,7,FALSE),0)</f>
        <v>0</v>
      </c>
      <c r="AO8" s="99">
        <f t="shared" si="14"/>
        <v>0</v>
      </c>
      <c r="AP8" s="84"/>
      <c r="AQ8" s="265">
        <f>IFERROR(VLOOKUP($AQ$2&amp;$G8,Validation!$E:$O,8,FALSE),0)</f>
        <v>0</v>
      </c>
      <c r="AR8" s="99">
        <f t="shared" si="15"/>
        <v>0</v>
      </c>
      <c r="AS8" s="265">
        <f>IFERROR(VLOOKUP($AQ$2&amp;$G8,Validation!$E:$O,11,FALSE),0)</f>
        <v>0</v>
      </c>
      <c r="AT8" s="99">
        <f t="shared" si="16"/>
        <v>0</v>
      </c>
      <c r="AU8" s="84"/>
      <c r="AV8" s="265">
        <f>IFERROR(VLOOKUP($AV$2&amp;$G8,Validation!$E:$O,6,FALSE),0)</f>
        <v>0</v>
      </c>
      <c r="AW8" s="99">
        <f t="shared" si="17"/>
        <v>0</v>
      </c>
      <c r="AX8" s="265">
        <f>IFERROR(VLOOKUP($AV$2&amp;$G8,Validation!$E:$O,7,FALSE),0)</f>
        <v>0</v>
      </c>
      <c r="AY8" s="99">
        <f t="shared" si="18"/>
        <v>0</v>
      </c>
      <c r="AZ8" s="84"/>
      <c r="BA8" s="265">
        <f>IFERROR(VLOOKUP($BA$2&amp;$G8,Validation!$E:$L,8,FALSE),0)</f>
        <v>0</v>
      </c>
      <c r="BB8" s="99">
        <f t="shared" si="19"/>
        <v>0</v>
      </c>
      <c r="BC8" s="265">
        <f>IFERROR(VLOOKUP($BA$2&amp;$G8,Validation!$E:$O,11,FALSE),0)</f>
        <v>0</v>
      </c>
      <c r="BD8" s="99">
        <f t="shared" si="20"/>
        <v>0</v>
      </c>
      <c r="BE8" s="84"/>
      <c r="BF8" s="265">
        <f>IFERROR(VLOOKUP($BF$2&amp;$G8,Validation!E:O,11,FALSE),0)</f>
        <v>0</v>
      </c>
      <c r="BG8" s="99">
        <f t="shared" si="21"/>
        <v>0</v>
      </c>
      <c r="BH8" s="84"/>
      <c r="BI8" s="84"/>
    </row>
    <row r="9" spans="1:61" x14ac:dyDescent="0.2">
      <c r="A9" s="84"/>
      <c r="B9" s="287" t="str">
        <f>'Pricing Trends'!R15</f>
        <v>RBD SOYA BEAN OIL</v>
      </c>
      <c r="C9" s="249">
        <f>'Pricing Trends'!S15</f>
        <v>45132</v>
      </c>
      <c r="D9" s="223">
        <f>'Pricing Trends'!U15</f>
        <v>64.592929999999996</v>
      </c>
      <c r="E9" s="220" t="b">
        <v>0</v>
      </c>
      <c r="F9" s="84"/>
      <c r="G9" s="245" t="s">
        <v>58</v>
      </c>
      <c r="H9" s="84"/>
      <c r="I9" s="265">
        <f>IFERROR(VLOOKUP($I$2&amp;$G9,Validation!$E:$O,4,FALSE),0)</f>
        <v>21.228605999999999</v>
      </c>
      <c r="J9" s="99">
        <f t="shared" si="0"/>
        <v>0.49267335851145927</v>
      </c>
      <c r="K9" s="265">
        <f>IFERROR(VLOOKUP($I$2&amp;$G9,Validation!$E:$O,5,FALSE),0)</f>
        <v>30.32658</v>
      </c>
      <c r="L9" s="99">
        <f t="shared" si="1"/>
        <v>0.50163770215402681</v>
      </c>
      <c r="M9" s="265">
        <f>IFERROR(VLOOKUP($I$2&amp;$G9,Validation!$E:$O,6,FALSE),0)</f>
        <v>60.65316</v>
      </c>
      <c r="N9" s="99">
        <f t="shared" si="2"/>
        <v>0.51902284380644315</v>
      </c>
      <c r="O9" s="265">
        <f>IFERROR(VLOOKUP($I$2&amp;$G9,Validation!$E:$O,6,FALSE),0)</f>
        <v>60.65316</v>
      </c>
      <c r="P9" s="99">
        <f t="shared" si="3"/>
        <v>0.51902284380644315</v>
      </c>
      <c r="Q9" s="266">
        <f>IFERROR(VLOOKUP($I$2&amp;$G9,Validation!$E:$O,7,FALSE),0)</f>
        <v>121.30632</v>
      </c>
      <c r="R9" s="99">
        <f t="shared" si="4"/>
        <v>0.53623025849636918</v>
      </c>
      <c r="S9" s="266">
        <f>IFERROR(VLOOKUP($I$2&amp;$G9,Validation!$E:$O,7,FALSE),0)</f>
        <v>121.30632</v>
      </c>
      <c r="T9" s="99">
        <f t="shared" si="5"/>
        <v>0.53623025849636918</v>
      </c>
      <c r="U9" s="84"/>
      <c r="V9" s="265">
        <f>IFERROR(VLOOKUP($V$2&amp;$G9,Validation!$E:$O,9,FALSE),0)</f>
        <v>10.9175688</v>
      </c>
      <c r="W9" s="99">
        <f t="shared" si="6"/>
        <v>0.48634815662961473</v>
      </c>
      <c r="X9" s="265">
        <f>IFERROR(VLOOKUP($V$2&amp;$G9,Validation!$E:$O,10,FALSE),0)</f>
        <v>18.195947999999998</v>
      </c>
      <c r="Y9" s="99">
        <f t="shared" si="7"/>
        <v>0.50432106809446176</v>
      </c>
      <c r="Z9" s="265">
        <f>IFERROR(VLOOKUP($V$2&amp;$G9,Validation!$E:$O,5,FALSE),0)</f>
        <v>30.32658</v>
      </c>
      <c r="AA9" s="99">
        <f t="shared" si="8"/>
        <v>0.51575689178631912</v>
      </c>
      <c r="AB9" s="265">
        <f>IFERROR(VLOOKUP($V$2&amp;$G9,Validation!$E:$O,6,FALSE),0)</f>
        <v>60.65316</v>
      </c>
      <c r="AC9" s="99">
        <f t="shared" si="9"/>
        <v>0.53391729937576649</v>
      </c>
      <c r="AD9" s="265">
        <f>IFERROR(VLOOKUP($V$2&amp;$G9,Validation!$E:$O,7,FALSE),0)</f>
        <v>121.30632</v>
      </c>
      <c r="AE9" s="99">
        <f t="shared" si="10"/>
        <v>0.54515712583274434</v>
      </c>
      <c r="AF9" s="131"/>
      <c r="AG9" s="266">
        <f>IFERROR(VLOOKUP($AG$2&amp;$G9,Validation!E:O,8,FALSE),0)</f>
        <v>242.61264</v>
      </c>
      <c r="AH9" s="99">
        <f t="shared" si="11"/>
        <v>0.54222244592612345</v>
      </c>
      <c r="AI9" s="266">
        <f>IFERROR(VLOOKUP($AG$2&amp;$G9,Validation!E:O,11,FALSE),0)</f>
        <v>1079.3850910358401</v>
      </c>
      <c r="AJ9" s="99">
        <f t="shared" si="12"/>
        <v>0.67461568189740007</v>
      </c>
      <c r="AK9" s="131"/>
      <c r="AL9" s="265">
        <f>IFERROR(VLOOKUP($AL$2&amp;$G9,Validation!$E:$O,6,FALSE),0)</f>
        <v>12.130632</v>
      </c>
      <c r="AM9" s="99">
        <f t="shared" si="13"/>
        <v>9.4401805447470816E-2</v>
      </c>
      <c r="AN9" s="265">
        <f>IFERROR(VLOOKUP($AL$2&amp;$G9,Validation!$E:$O,7,FALSE),0)</f>
        <v>24.261264000000001</v>
      </c>
      <c r="AO9" s="99">
        <f t="shared" si="14"/>
        <v>0.10272796714231275</v>
      </c>
      <c r="AP9" s="84"/>
      <c r="AQ9" s="265">
        <f>IFERROR(VLOOKUP($AQ$2&amp;$G9,Validation!$E:$O,8,FALSE),0)</f>
        <v>0</v>
      </c>
      <c r="AR9" s="99">
        <f t="shared" si="15"/>
        <v>0</v>
      </c>
      <c r="AS9" s="265">
        <f>IFERROR(VLOOKUP($AQ$2&amp;$G9,Validation!$E:$O,11,FALSE),0)</f>
        <v>0</v>
      </c>
      <c r="AT9" s="99">
        <f t="shared" si="16"/>
        <v>0</v>
      </c>
      <c r="AU9" s="84"/>
      <c r="AV9" s="265">
        <f>IFERROR(VLOOKUP($AV$2&amp;$G9,Validation!$E:$O,6,FALSE),0)</f>
        <v>0</v>
      </c>
      <c r="AW9" s="99">
        <f t="shared" si="17"/>
        <v>0</v>
      </c>
      <c r="AX9" s="265">
        <f>IFERROR(VLOOKUP($AV$2&amp;$G9,Validation!$E:$O,7,FALSE),0)</f>
        <v>0</v>
      </c>
      <c r="AY9" s="99">
        <f t="shared" si="18"/>
        <v>0</v>
      </c>
      <c r="AZ9" s="84"/>
      <c r="BA9" s="265">
        <f>IFERROR(VLOOKUP($BA$2&amp;$G9,Validation!$E:$L,8,FALSE),0)</f>
        <v>0</v>
      </c>
      <c r="BB9" s="99">
        <f t="shared" si="19"/>
        <v>0</v>
      </c>
      <c r="BC9" s="265">
        <f>IFERROR(VLOOKUP($BA$2&amp;$G9,Validation!$E:$O,11,FALSE),0)</f>
        <v>0</v>
      </c>
      <c r="BD9" s="99">
        <f t="shared" si="20"/>
        <v>0</v>
      </c>
      <c r="BE9" s="84"/>
      <c r="BF9" s="265">
        <f>IFERROR(VLOOKUP($BF$2&amp;$G9,Validation!E:O,11,FALSE),0)</f>
        <v>0</v>
      </c>
      <c r="BG9" s="99">
        <f t="shared" si="21"/>
        <v>0</v>
      </c>
      <c r="BH9" s="84"/>
      <c r="BI9" s="84"/>
    </row>
    <row r="10" spans="1:61" x14ac:dyDescent="0.2">
      <c r="A10" s="84"/>
      <c r="B10" s="287" t="str">
        <f>'Pricing Trends'!R16</f>
        <v>RBD SOYA BEAN OIL</v>
      </c>
      <c r="C10" s="249">
        <f>'Pricing Trends'!S16</f>
        <v>44961</v>
      </c>
      <c r="D10" s="223">
        <f>'Pricing Trends'!U16</f>
        <v>81.901482099999996</v>
      </c>
      <c r="E10" s="220" t="b">
        <v>0</v>
      </c>
      <c r="F10" s="84"/>
      <c r="G10" s="245" t="s">
        <v>62</v>
      </c>
      <c r="H10" s="84"/>
      <c r="I10" s="265">
        <f>IFERROR(VLOOKUP($I$2&amp;$G10,Validation!$E:$O,4,FALSE),0)</f>
        <v>0</v>
      </c>
      <c r="J10" s="99">
        <f t="shared" si="0"/>
        <v>0</v>
      </c>
      <c r="K10" s="265">
        <f>IFERROR(VLOOKUP($I$2&amp;$G10,Validation!$E:$O,5,FALSE),0)</f>
        <v>0</v>
      </c>
      <c r="L10" s="99">
        <f t="shared" si="1"/>
        <v>0</v>
      </c>
      <c r="M10" s="265">
        <f>IFERROR(VLOOKUP($I$2&amp;$G10,Validation!$E:$O,6,FALSE),0)</f>
        <v>0</v>
      </c>
      <c r="N10" s="99">
        <f t="shared" si="2"/>
        <v>0</v>
      </c>
      <c r="O10" s="265">
        <f>IFERROR(VLOOKUP($I$2&amp;$G10,Validation!$E:$O,6,FALSE),0)</f>
        <v>0</v>
      </c>
      <c r="P10" s="99">
        <f t="shared" si="3"/>
        <v>0</v>
      </c>
      <c r="Q10" s="266">
        <f>IFERROR(VLOOKUP($I$2&amp;$G10,Validation!$E:$O,7,FALSE),0)</f>
        <v>0</v>
      </c>
      <c r="R10" s="99">
        <f t="shared" si="4"/>
        <v>0</v>
      </c>
      <c r="S10" s="266">
        <f>IFERROR(VLOOKUP($I$2&amp;$G10,Validation!$E:$O,7,FALSE),0)</f>
        <v>0</v>
      </c>
      <c r="T10" s="99">
        <f t="shared" si="5"/>
        <v>0</v>
      </c>
      <c r="U10" s="84"/>
      <c r="V10" s="265">
        <f>IFERROR(VLOOKUP($V$2&amp;$G10,Validation!$E:$O,9,FALSE),0)</f>
        <v>0</v>
      </c>
      <c r="W10" s="99">
        <f t="shared" si="6"/>
        <v>0</v>
      </c>
      <c r="X10" s="265">
        <f>IFERROR(VLOOKUP($V$2&amp;$G10,Validation!$E:$O,10,FALSE),0)</f>
        <v>0</v>
      </c>
      <c r="Y10" s="99">
        <f t="shared" si="7"/>
        <v>0</v>
      </c>
      <c r="Z10" s="265">
        <f>IFERROR(VLOOKUP($V$2&amp;$G10,Validation!$E:$O,5,FALSE),0)</f>
        <v>0</v>
      </c>
      <c r="AA10" s="99">
        <f t="shared" si="8"/>
        <v>0</v>
      </c>
      <c r="AB10" s="265">
        <f>IFERROR(VLOOKUP($V$2&amp;$G10,Validation!$E:$O,6,FALSE),0)</f>
        <v>0</v>
      </c>
      <c r="AC10" s="99">
        <f t="shared" si="9"/>
        <v>0</v>
      </c>
      <c r="AD10" s="265">
        <f>IFERROR(VLOOKUP($V$2&amp;$G10,Validation!$E:$O,7,FALSE),0)</f>
        <v>0</v>
      </c>
      <c r="AE10" s="99">
        <f t="shared" si="10"/>
        <v>0</v>
      </c>
      <c r="AF10" s="131"/>
      <c r="AG10" s="266">
        <f>IFERROR(VLOOKUP($AG$2&amp;$G10,Validation!E:O,8,FALSE),0)</f>
        <v>0</v>
      </c>
      <c r="AH10" s="99">
        <f t="shared" si="11"/>
        <v>0</v>
      </c>
      <c r="AI10" s="266">
        <f>IFERROR(VLOOKUP($AG$2&amp;$G10,Validation!E:O,11,FALSE),0)</f>
        <v>0</v>
      </c>
      <c r="AJ10" s="99">
        <f t="shared" si="12"/>
        <v>0</v>
      </c>
      <c r="AK10" s="131"/>
      <c r="AL10" s="265">
        <f>IFERROR(VLOOKUP($AL$2&amp;$G10,Validation!$E:$O,6,FALSE),0)</f>
        <v>66.576033005083374</v>
      </c>
      <c r="AM10" s="99">
        <f t="shared" si="13"/>
        <v>0.5181014241640729</v>
      </c>
      <c r="AN10" s="265">
        <f>IFERROR(VLOOKUP($AL$2&amp;$G10,Validation!$E:$O,7,FALSE),0)</f>
        <v>133.15206601016675</v>
      </c>
      <c r="AO10" s="99">
        <f t="shared" si="14"/>
        <v>0.56379754418498007</v>
      </c>
      <c r="AP10" s="84"/>
      <c r="AQ10" s="265">
        <f>IFERROR(VLOOKUP($AQ$2&amp;$G10,Validation!$E:$O,8,FALSE),0)</f>
        <v>332.88016502541683</v>
      </c>
      <c r="AR10" s="99">
        <f t="shared" si="15"/>
        <v>0.62110302271744899</v>
      </c>
      <c r="AS10" s="265">
        <f>IFERROR(VLOOKUP($AQ$2&amp;$G10,Validation!$E:$O,11,FALSE),0)</f>
        <v>1480.9858514790699</v>
      </c>
      <c r="AT10" s="99">
        <f t="shared" si="16"/>
        <v>0.74880844350465414</v>
      </c>
      <c r="AU10" s="84"/>
      <c r="AV10" s="265">
        <f>IFERROR(VLOOKUP($AV$2&amp;$G10,Validation!$E:$O,6,FALSE),0)</f>
        <v>0</v>
      </c>
      <c r="AW10" s="99">
        <f t="shared" si="17"/>
        <v>0</v>
      </c>
      <c r="AX10" s="265">
        <f>IFERROR(VLOOKUP($AV$2&amp;$G10,Validation!$E:$O,7,FALSE),0)</f>
        <v>0</v>
      </c>
      <c r="AY10" s="99">
        <f t="shared" si="18"/>
        <v>0</v>
      </c>
      <c r="AZ10" s="84"/>
      <c r="BA10" s="265">
        <f>IFERROR(VLOOKUP($BA$2&amp;$G10,Validation!$E:$L,8,FALSE),0)</f>
        <v>0</v>
      </c>
      <c r="BB10" s="99">
        <f t="shared" si="19"/>
        <v>0</v>
      </c>
      <c r="BC10" s="265">
        <f>IFERROR(VLOOKUP($BA$2&amp;$G10,Validation!$E:$O,11,FALSE),0)</f>
        <v>0</v>
      </c>
      <c r="BD10" s="99">
        <f t="shared" si="20"/>
        <v>0</v>
      </c>
      <c r="BE10" s="84"/>
      <c r="BF10" s="265">
        <f>IFERROR(VLOOKUP($BF$2&amp;$G10,Validation!E:O,11,FALSE),0)</f>
        <v>0</v>
      </c>
      <c r="BG10" s="99">
        <f t="shared" si="21"/>
        <v>0</v>
      </c>
      <c r="BH10" s="84"/>
      <c r="BI10" s="84"/>
    </row>
    <row r="11" spans="1:61" x14ac:dyDescent="0.2">
      <c r="A11" s="84"/>
      <c r="B11" s="287">
        <f>'Pricing Trends'!R17</f>
        <v>0</v>
      </c>
      <c r="C11" s="249">
        <f>'Pricing Trends'!S17</f>
        <v>0</v>
      </c>
      <c r="D11" s="223">
        <f>'Pricing Trends'!U17</f>
        <v>0</v>
      </c>
      <c r="E11" s="220" t="b">
        <v>0</v>
      </c>
      <c r="F11" s="84"/>
      <c r="G11" s="245" t="s">
        <v>67</v>
      </c>
      <c r="H11" s="84"/>
      <c r="I11" s="265">
        <f>IFERROR(VLOOKUP($I$2&amp;$G11,Validation!$E:$O,4,FALSE),0)</f>
        <v>0</v>
      </c>
      <c r="J11" s="99">
        <f t="shared" si="0"/>
        <v>0</v>
      </c>
      <c r="K11" s="265">
        <f>IFERROR(VLOOKUP($I$2&amp;$G11,Validation!$E:$O,5,FALSE),0)</f>
        <v>0</v>
      </c>
      <c r="L11" s="99">
        <f t="shared" si="1"/>
        <v>0</v>
      </c>
      <c r="M11" s="265">
        <f>IFERROR(VLOOKUP($I$2&amp;$G11,Validation!$E:$O,6,FALSE),0)</f>
        <v>0</v>
      </c>
      <c r="N11" s="99">
        <f t="shared" si="2"/>
        <v>0</v>
      </c>
      <c r="O11" s="265">
        <f>IFERROR(VLOOKUP($I$2&amp;$G11,Validation!$E:$O,6,FALSE),0)</f>
        <v>0</v>
      </c>
      <c r="P11" s="99">
        <f t="shared" si="3"/>
        <v>0</v>
      </c>
      <c r="Q11" s="266">
        <f>IFERROR(VLOOKUP($I$2&amp;$G11,Validation!$E:$O,7,FALSE),0)</f>
        <v>0</v>
      </c>
      <c r="R11" s="99">
        <f t="shared" si="4"/>
        <v>0</v>
      </c>
      <c r="S11" s="266">
        <f>IFERROR(VLOOKUP($I$2&amp;$G11,Validation!$E:$O,7,FALSE),0)</f>
        <v>0</v>
      </c>
      <c r="T11" s="99">
        <f t="shared" si="5"/>
        <v>0</v>
      </c>
      <c r="U11" s="84"/>
      <c r="V11" s="265">
        <f>IFERROR(VLOOKUP($V$2&amp;$G11,Validation!$E:$O,9,FALSE),0)</f>
        <v>0</v>
      </c>
      <c r="W11" s="99">
        <f t="shared" si="6"/>
        <v>0</v>
      </c>
      <c r="X11" s="265">
        <f>IFERROR(VLOOKUP($V$2&amp;$G11,Validation!$E:$O,10,FALSE),0)</f>
        <v>0</v>
      </c>
      <c r="Y11" s="99">
        <f t="shared" si="7"/>
        <v>0</v>
      </c>
      <c r="Z11" s="265">
        <f>IFERROR(VLOOKUP($V$2&amp;$G11,Validation!$E:$O,5,FALSE),0)</f>
        <v>0</v>
      </c>
      <c r="AA11" s="99">
        <f t="shared" si="8"/>
        <v>0</v>
      </c>
      <c r="AB11" s="265">
        <f>IFERROR(VLOOKUP($V$2&amp;$G11,Validation!$E:$O,6,FALSE),0)</f>
        <v>0</v>
      </c>
      <c r="AC11" s="99">
        <f t="shared" si="9"/>
        <v>0</v>
      </c>
      <c r="AD11" s="265">
        <f>IFERROR(VLOOKUP($V$2&amp;$G11,Validation!$E:$O,7,FALSE),0)</f>
        <v>0</v>
      </c>
      <c r="AE11" s="99">
        <f t="shared" si="10"/>
        <v>0</v>
      </c>
      <c r="AF11" s="131"/>
      <c r="AG11" s="266">
        <f>IFERROR(VLOOKUP($AG$2&amp;$G11,Validation!E:O,8,FALSE),0)</f>
        <v>0</v>
      </c>
      <c r="AH11" s="99">
        <f t="shared" si="11"/>
        <v>0</v>
      </c>
      <c r="AI11" s="266">
        <f>IFERROR(VLOOKUP($AG$2&amp;$G11,Validation!E:O,11,FALSE),0)</f>
        <v>0</v>
      </c>
      <c r="AJ11" s="99">
        <f t="shared" si="12"/>
        <v>0</v>
      </c>
      <c r="AK11" s="131"/>
      <c r="AL11" s="265">
        <f>IFERROR(VLOOKUP($AL$2&amp;$G11,Validation!$E:$O,6,FALSE),0)</f>
        <v>0</v>
      </c>
      <c r="AM11" s="99">
        <f t="shared" si="13"/>
        <v>0</v>
      </c>
      <c r="AN11" s="265">
        <f>IFERROR(VLOOKUP($AL$2&amp;$G11,Validation!$E:$O,7,FALSE),0)</f>
        <v>0</v>
      </c>
      <c r="AO11" s="99">
        <f t="shared" si="14"/>
        <v>0</v>
      </c>
      <c r="AP11" s="84"/>
      <c r="AQ11" s="265">
        <f>IFERROR(VLOOKUP($AQ$2&amp;$G11,Validation!$E:$O,8,FALSE),0)</f>
        <v>0</v>
      </c>
      <c r="AR11" s="99">
        <f t="shared" si="15"/>
        <v>0</v>
      </c>
      <c r="AS11" s="265">
        <f>IFERROR(VLOOKUP($AQ$2&amp;$G11,Validation!$E:$O,11,FALSE),0)</f>
        <v>0</v>
      </c>
      <c r="AT11" s="99">
        <f t="shared" si="16"/>
        <v>0</v>
      </c>
      <c r="AU11" s="84"/>
      <c r="AV11" s="265">
        <f>IFERROR(VLOOKUP($AV$2&amp;$G11,Validation!$E:$O,6,FALSE),0)</f>
        <v>0</v>
      </c>
      <c r="AW11" s="99">
        <f t="shared" si="17"/>
        <v>0</v>
      </c>
      <c r="AX11" s="265">
        <f>IFERROR(VLOOKUP($AV$2&amp;$G11,Validation!$E:$O,7,FALSE),0)</f>
        <v>0</v>
      </c>
      <c r="AY11" s="99">
        <f t="shared" si="18"/>
        <v>0</v>
      </c>
      <c r="AZ11" s="84"/>
      <c r="BA11" s="265">
        <f>IFERROR(VLOOKUP($I$2&amp;$G11,Validation!$E:$K,4,FALSE),0)</f>
        <v>0</v>
      </c>
      <c r="BB11" s="99">
        <f t="shared" si="19"/>
        <v>0</v>
      </c>
      <c r="BC11" s="265">
        <f>IFERROR(VLOOKUP($BA$2&amp;$G11,Validation!$E:$O,11,FALSE),0)</f>
        <v>0</v>
      </c>
      <c r="BD11" s="99">
        <f t="shared" si="20"/>
        <v>0</v>
      </c>
      <c r="BE11" s="84"/>
      <c r="BF11" s="265">
        <f>IFERROR(VLOOKUP($BF$2&amp;$G11,Validation!E:O,11,FALSE),0)</f>
        <v>1519.02</v>
      </c>
      <c r="BG11" s="99">
        <f t="shared" si="21"/>
        <v>0.7994842105263158</v>
      </c>
      <c r="BH11" s="84"/>
      <c r="BI11" s="84"/>
    </row>
    <row r="12" spans="1:61" x14ac:dyDescent="0.2">
      <c r="A12" s="84"/>
      <c r="B12" s="287" t="str">
        <f>'Pricing Trends'!R18</f>
        <v>RBD COCONUT OIL</v>
      </c>
      <c r="C12" s="249">
        <f>'Pricing Trends'!S18</f>
        <v>45468</v>
      </c>
      <c r="D12" s="223">
        <f>'Pricing Trends'!U18</f>
        <v>64.678485570000007</v>
      </c>
      <c r="E12" s="220" t="b">
        <v>0</v>
      </c>
      <c r="F12" s="84"/>
      <c r="G12" s="245" t="s">
        <v>73</v>
      </c>
      <c r="H12" s="84"/>
      <c r="I12" s="98">
        <f>IFERROR(VLOOKUP("350ML LABEL PALM",'Pricing Trends'!$K:$N,4,FALSE),0)</f>
        <v>0.3</v>
      </c>
      <c r="J12" s="99">
        <f t="shared" si="0"/>
        <v>6.9623981694058373E-3</v>
      </c>
      <c r="K12" s="98">
        <f>IFERROR(VLOOKUP("500ML LABEL PALM",'Pricing Trends'!$K:$N,4,FALSE),0)</f>
        <v>0.45</v>
      </c>
      <c r="L12" s="99">
        <f t="shared" si="1"/>
        <v>7.4435352080357243E-3</v>
      </c>
      <c r="M12" s="98">
        <f>IFERROR(VLOOKUP("1LITER LABEL PALM",'Pricing Trends'!$K:$N,4,FALSE),0)</f>
        <v>0.55000000000000004</v>
      </c>
      <c r="N12" s="99">
        <f t="shared" si="2"/>
        <v>4.7064747177812949E-3</v>
      </c>
      <c r="O12" s="98">
        <f>IFERROR(VLOOKUP("1LITER LABEL PALM MZL",'Pricing Trends'!$K:$N,4,FALSE),0)</f>
        <v>0.7</v>
      </c>
      <c r="P12" s="99">
        <f t="shared" si="3"/>
        <v>5.990058731721648E-3</v>
      </c>
      <c r="Q12" s="94">
        <f>IFERROR(VLOOKUP("2LITERS LABEL PALM",'Pricing Trends'!$K:$N,4,FALSE),0)</f>
        <v>1.02</v>
      </c>
      <c r="R12" s="99">
        <f t="shared" si="4"/>
        <v>4.5088735992180502E-3</v>
      </c>
      <c r="S12" s="94">
        <f>IFERROR(VLOOKUP("2LITERS LABEL PALM",'Pricing Trends'!$K:$N,4,FALSE),0)</f>
        <v>1.02</v>
      </c>
      <c r="T12" s="99">
        <f t="shared" si="5"/>
        <v>4.5088735992180502E-3</v>
      </c>
      <c r="U12" s="84"/>
      <c r="V12" s="252"/>
      <c r="W12" s="99">
        <f t="shared" si="6"/>
        <v>0</v>
      </c>
      <c r="X12" s="252"/>
      <c r="Y12" s="99">
        <f t="shared" si="7"/>
        <v>0</v>
      </c>
      <c r="Z12" s="252"/>
      <c r="AA12" s="99">
        <f t="shared" si="8"/>
        <v>0</v>
      </c>
      <c r="AB12" s="252"/>
      <c r="AC12" s="99">
        <f t="shared" si="9"/>
        <v>0</v>
      </c>
      <c r="AD12" s="252"/>
      <c r="AE12" s="99">
        <f t="shared" si="10"/>
        <v>0</v>
      </c>
      <c r="AF12" s="131"/>
      <c r="AG12" s="94">
        <f>IFERROR(VLOOKUP("4LITERS LABEL PALM",'Pricing Trends'!$K:$N,4,FALSE),0)</f>
        <v>7</v>
      </c>
      <c r="AH12" s="99">
        <f t="shared" si="11"/>
        <v>1.5644515147614998E-2</v>
      </c>
      <c r="AI12" s="251"/>
      <c r="AJ12" s="99">
        <f t="shared" si="12"/>
        <v>0</v>
      </c>
      <c r="AK12" s="131"/>
      <c r="AL12" s="98">
        <f>IFERROR(VLOOKUP("1LITER LABEL CANOLEIN",'Pricing Trends'!$K:$N,4,FALSE),0)</f>
        <v>0.72</v>
      </c>
      <c r="AM12" s="99">
        <f t="shared" si="13"/>
        <v>5.6031128404669256E-3</v>
      </c>
      <c r="AN12" s="98">
        <f>IFERROR(VLOOKUP("2LITERS LABEL CANOLEIN",'Pricing Trends'!$K:$N,4,FALSE),0)</f>
        <v>1.05</v>
      </c>
      <c r="AO12" s="99">
        <f t="shared" si="14"/>
        <v>4.4459499513062632E-3</v>
      </c>
      <c r="AP12" s="84"/>
      <c r="AQ12" s="98">
        <f>IFERROR(VLOOKUP("4LITERS LABEL CANOLA",'Pricing Trends'!$K:$N,4,FALSE),0)</f>
        <v>7</v>
      </c>
      <c r="AR12" s="99">
        <f t="shared" si="15"/>
        <v>1.3060919861927417E-2</v>
      </c>
      <c r="AS12" s="252"/>
      <c r="AT12" s="99">
        <f t="shared" si="16"/>
        <v>0</v>
      </c>
      <c r="AU12" s="84"/>
      <c r="AV12" s="98">
        <f>IFERROR(VLOOKUP("1LITER LABEL SOYA",'Pricing Trends'!$K:$N,4,FALSE),0)</f>
        <v>0.72</v>
      </c>
      <c r="AW12" s="99">
        <f t="shared" si="17"/>
        <v>4.9789776499225488E-3</v>
      </c>
      <c r="AX12" s="98">
        <f>IFERROR(VLOOKUP("2LITERS LABEL SOYA",'Pricing Trends'!$K:$N,4,FALSE),0)</f>
        <v>1.05</v>
      </c>
      <c r="AY12" s="99">
        <f t="shared" si="18"/>
        <v>3.7740460649279698E-3</v>
      </c>
      <c r="AZ12" s="84"/>
      <c r="BA12" s="98">
        <f>IFERROR(VLOOKUP("4LITERS LABEL SOYA",'Pricing Trends'!$K:$N,4,FALSE),0)</f>
        <v>7</v>
      </c>
      <c r="BB12" s="99">
        <f t="shared" si="19"/>
        <v>1.269422159033208E-2</v>
      </c>
      <c r="BC12" s="252"/>
      <c r="BD12" s="99">
        <f t="shared" si="20"/>
        <v>0</v>
      </c>
      <c r="BE12" s="84"/>
      <c r="BF12" s="252"/>
      <c r="BG12" s="99">
        <f t="shared" si="21"/>
        <v>0</v>
      </c>
      <c r="BH12" s="84"/>
      <c r="BI12" s="84"/>
    </row>
    <row r="13" spans="1:61" x14ac:dyDescent="0.2">
      <c r="A13" s="84"/>
      <c r="B13" s="287" t="str">
        <f>'Pricing Trends'!R19</f>
        <v>RBD COCONUT OIL</v>
      </c>
      <c r="C13" s="249">
        <f>'Pricing Trends'!S19</f>
        <v>45222</v>
      </c>
      <c r="D13" s="223">
        <f>'Pricing Trends'!U19</f>
        <v>51.478299999999997</v>
      </c>
      <c r="E13" s="220" t="b">
        <v>0</v>
      </c>
      <c r="F13" s="84"/>
      <c r="G13" s="245" t="s">
        <v>77</v>
      </c>
      <c r="H13" s="84"/>
      <c r="I13" s="98">
        <f>IFERROR(VLOOKUP("350ML BOTTLE PALM [SWAK]",'Pricing Trends'!$A:$D,4,FALSE),0)</f>
        <v>3.35</v>
      </c>
      <c r="J13" s="99">
        <f t="shared" si="0"/>
        <v>7.7746779558365189E-2</v>
      </c>
      <c r="K13" s="98">
        <f>IFERROR(VLOOKUP("500ML BOTTLE PALM [SWAK]",'Pricing Trends'!$A:$D,4,FALSE),0)</f>
        <v>3.65</v>
      </c>
      <c r="L13" s="99">
        <f t="shared" si="1"/>
        <v>6.0375341131845318E-2</v>
      </c>
      <c r="M13" s="98">
        <f>IFERROR(VLOOKUP("1LITER BOTTLE PALM [SWAK]",'Pricing Trends'!$A:$D,4,FALSE),0)</f>
        <v>6.55</v>
      </c>
      <c r="N13" s="99">
        <f t="shared" si="2"/>
        <v>5.6049835275395421E-2</v>
      </c>
      <c r="O13" s="98">
        <f>IFERROR(VLOOKUP("900ML BOTTLE PALM MAZOLA",'Pricing Trends'!$A:$D,4,FALSE),0)</f>
        <v>6.9</v>
      </c>
      <c r="P13" s="99">
        <f t="shared" si="3"/>
        <v>5.9044864641256245E-2</v>
      </c>
      <c r="Q13" s="94">
        <f>IFERROR(VLOOKUP("2LITERS BOTTLE PALM [NUTRI]",'Pricing Trends'!$A:$D,4,FALSE),0)</f>
        <v>15.75</v>
      </c>
      <c r="R13" s="99">
        <f t="shared" si="4"/>
        <v>6.9622312929102245E-2</v>
      </c>
      <c r="S13" s="94">
        <f>IFERROR(VLOOKUP("2LITERS BOTTLE PALM MAZOLA",'Pricing Trends'!$A:$D,4,FALSE),0)</f>
        <v>21.95</v>
      </c>
      <c r="T13" s="99">
        <f t="shared" si="5"/>
        <v>9.7029191669447262E-2</v>
      </c>
      <c r="U13" s="84"/>
      <c r="V13" s="98">
        <f>IFERROR(VLOOKUP("180ML POUCH PALM [SUP]",'Pricing Trends'!$A:$D,4,FALSE),0)</f>
        <v>2.1</v>
      </c>
      <c r="W13" s="99">
        <f t="shared" si="6"/>
        <v>9.354931923325191E-2</v>
      </c>
      <c r="X13" s="98">
        <f>IFERROR(VLOOKUP("300ML POUCH PALM [SUP]",'Pricing Trends'!$A:$D,4,FALSE),0)</f>
        <v>2.6</v>
      </c>
      <c r="Y13" s="99">
        <f t="shared" si="7"/>
        <v>7.2061910544347602E-2</v>
      </c>
      <c r="Z13" s="98">
        <f>IFERROR(VLOOKUP("500ML POUCH PALM [SUP]",'Pricing Trends'!$A:$D,4,FALSE),0)</f>
        <v>0</v>
      </c>
      <c r="AA13" s="99">
        <f t="shared" si="8"/>
        <v>0</v>
      </c>
      <c r="AB13" s="98">
        <f>IFERROR(VLOOKUP("1LITER POUCH PALM [SUP]",'Pricing Trends'!$A:$D,4,FALSE),0)</f>
        <v>4.7</v>
      </c>
      <c r="AC13" s="99">
        <f t="shared" si="9"/>
        <v>4.1373133849351006E-2</v>
      </c>
      <c r="AD13" s="98">
        <f>IFERROR(VLOOKUP("2LITERS POUCH PALM [SUP]",'Pricing Trends'!$A:$D,4,FALSE),0)</f>
        <v>6.17</v>
      </c>
      <c r="AE13" s="99">
        <f t="shared" si="10"/>
        <v>2.7728311817455453E-2</v>
      </c>
      <c r="AF13" s="131"/>
      <c r="AG13" s="94">
        <f>IFERROR(VLOOKUP("4LITERS BOTTLE GODZILLA",'Pricing Trends'!$A:$D,4,FALSE),0)</f>
        <v>32.479999999999997</v>
      </c>
      <c r="AH13" s="99">
        <f t="shared" si="11"/>
        <v>7.259055028493358E-2</v>
      </c>
      <c r="AI13" s="251"/>
      <c r="AJ13" s="99">
        <f t="shared" si="12"/>
        <v>0</v>
      </c>
      <c r="AK13" s="131"/>
      <c r="AL13" s="98">
        <f>IFERROR(VLOOKUP("1LITER BOTTLE CANSOY [NUTRI]",'Pricing Trends'!$A:$D,4,FALSE),0)</f>
        <v>6.6</v>
      </c>
      <c r="AM13" s="99">
        <f t="shared" si="13"/>
        <v>5.1361867704280154E-2</v>
      </c>
      <c r="AN13" s="98">
        <f>IFERROR(VLOOKUP("2LITERS BOTTLE CANOLEIN [ROUND]",'Pricing Trends'!$A:$D,4,FALSE),0)</f>
        <v>18.100000000000001</v>
      </c>
      <c r="AO13" s="99">
        <f t="shared" si="14"/>
        <v>7.6639708684422242E-2</v>
      </c>
      <c r="AP13" s="84"/>
      <c r="AQ13" s="98">
        <f>IFERROR(VLOOKUP("4LITERS BOTTLE GODZILLA",'Pricing Trends'!$A:$D,4,FALSE),0)</f>
        <v>32.479999999999997</v>
      </c>
      <c r="AR13" s="99">
        <f t="shared" si="15"/>
        <v>6.0602668159343211E-2</v>
      </c>
      <c r="AS13" s="252"/>
      <c r="AT13" s="99">
        <f t="shared" si="16"/>
        <v>0</v>
      </c>
      <c r="AU13" s="84"/>
      <c r="AV13" s="98">
        <f>IFERROR(VLOOKUP("1LITER BOTTLE CANSOY [NUTRI]",'Pricing Trends'!$A:$D,4,FALSE),0)</f>
        <v>6.6</v>
      </c>
      <c r="AW13" s="99">
        <f t="shared" si="17"/>
        <v>4.5640628457623365E-2</v>
      </c>
      <c r="AX13" s="98">
        <f>IFERROR(VLOOKUP("2LITERS BOTTLE SOYA [ROUND]",'Pricing Trends'!$A:$D,4,FALSE),0)</f>
        <v>19</v>
      </c>
      <c r="AY13" s="99">
        <f t="shared" si="18"/>
        <v>6.8292262127268022E-2</v>
      </c>
      <c r="AZ13" s="84"/>
      <c r="BA13" s="98">
        <f>IFERROR(VLOOKUP("4LITERS BOTTLE GODZILLA",'Pricing Trends'!$A:$D,4,FALSE),0)</f>
        <v>32.479999999999997</v>
      </c>
      <c r="BB13" s="99">
        <f t="shared" si="19"/>
        <v>5.8901188179140848E-2</v>
      </c>
      <c r="BC13" s="252"/>
      <c r="BD13" s="99">
        <f t="shared" si="20"/>
        <v>0</v>
      </c>
      <c r="BE13" s="84"/>
      <c r="BF13" s="252"/>
      <c r="BG13" s="99">
        <f t="shared" si="21"/>
        <v>0</v>
      </c>
      <c r="BH13" s="84"/>
      <c r="BI13" s="84"/>
    </row>
    <row r="14" spans="1:61" x14ac:dyDescent="0.2">
      <c r="A14" s="84"/>
      <c r="B14" s="287" t="str">
        <f>'Pricing Trends'!R20</f>
        <v>RBD COCONUT OIL</v>
      </c>
      <c r="C14" s="249">
        <f>'Pricing Trends'!S20</f>
        <v>45133</v>
      </c>
      <c r="D14" s="223">
        <f>'Pricing Trends'!U20</f>
        <v>54.558999999999997</v>
      </c>
      <c r="E14" s="220" t="b">
        <v>0</v>
      </c>
      <c r="F14" s="84"/>
      <c r="G14" s="245" t="s">
        <v>80</v>
      </c>
      <c r="H14" s="84"/>
      <c r="I14" s="98">
        <f>IFERROR(VLOOKUP("350ML BOX PALM",'Pricing Trends'!$F:$I,4,FALSE),0)/J5</f>
        <v>0.80555555555555558</v>
      </c>
      <c r="J14" s="99">
        <f t="shared" si="0"/>
        <v>1.869532841784901E-2</v>
      </c>
      <c r="K14" s="98">
        <f>IFERROR(VLOOKUP("500ML BOX PALM",'Pricing Trends'!$F:$I,4,FALSE),0)/L5</f>
        <v>0.86249999999999993</v>
      </c>
      <c r="L14" s="99">
        <f t="shared" si="1"/>
        <v>1.4266775815401804E-2</v>
      </c>
      <c r="M14" s="98">
        <f>IFERROR(VLOOKUP("1LITER BOX PALM",'Pricing Trends'!$F:$I,4,FALSE),0)/N5</f>
        <v>2.5833333333333335</v>
      </c>
      <c r="N14" s="99">
        <f t="shared" si="2"/>
        <v>2.2106169128972751E-2</v>
      </c>
      <c r="O14" s="98">
        <f>IFERROR(VLOOKUP("1LITER BOX PALM MZL",'Pricing Trends'!$F:$I,4,FALSE),0)/P5</f>
        <v>1.375</v>
      </c>
      <c r="P14" s="99">
        <f t="shared" si="3"/>
        <v>1.1766186794453237E-2</v>
      </c>
      <c r="Q14" s="94">
        <f>IFERROR(VLOOKUP("2LITERS BOX PALM",'Pricing Trends'!$F:$I,4,FALSE),0)/R5</f>
        <v>4.5</v>
      </c>
      <c r="R14" s="99">
        <f t="shared" si="4"/>
        <v>1.9892089408314929E-2</v>
      </c>
      <c r="S14" s="94">
        <f>IFERROR(VLOOKUP("2LITERS BOX PALM MZL",'Pricing Trends'!$F:$I,4,FALSE),0)/T5</f>
        <v>2.8333333333333335</v>
      </c>
      <c r="T14" s="99">
        <f t="shared" si="5"/>
        <v>1.2524648886716807E-2</v>
      </c>
      <c r="U14" s="84"/>
      <c r="V14" s="98">
        <f>IFERROR(VLOOKUP("180ML BOX PALM SUP",'Pricing Trends'!$F:$I,4,FALSE),0)/W5</f>
        <v>0.52083333333333337</v>
      </c>
      <c r="W14" s="99">
        <f t="shared" si="6"/>
        <v>2.3201716079675576E-2</v>
      </c>
      <c r="X14" s="98">
        <f>IFERROR(VLOOKUP("300ML BOX PALM SUP",'Pricing Trends'!$F:$I,4,FALSE),0)/Y5</f>
        <v>0.69444444444444442</v>
      </c>
      <c r="Y14" s="99">
        <f t="shared" si="7"/>
        <v>1.9247305166759508E-2</v>
      </c>
      <c r="Z14" s="98">
        <f>IFERROR(VLOOKUP("500ML BOX PALM SUP",'Pricing Trends'!$F:$I,4,FALSE),0)/AA5</f>
        <v>0.91666666666666663</v>
      </c>
      <c r="AA14" s="99">
        <f t="shared" si="8"/>
        <v>1.5589530728625709E-2</v>
      </c>
      <c r="AB14" s="98">
        <f>IFERROR(VLOOKUP("1LITER BOX PALM SUP",'Pricing Trends'!$F:$I,4,FALSE),0)/AC5</f>
        <v>2.5833333333333335</v>
      </c>
      <c r="AC14" s="99">
        <f t="shared" si="9"/>
        <v>2.2740552293083E-2</v>
      </c>
      <c r="AD14" s="98">
        <f>IFERROR(VLOOKUP("2LITERS BOX PALM SUP",'Pricing Trends'!$F:$I,4,FALSE),0)/AE5</f>
        <v>4.5</v>
      </c>
      <c r="AE14" s="99">
        <f t="shared" si="10"/>
        <v>2.02232420062479E-2</v>
      </c>
      <c r="AF14" s="131"/>
      <c r="AG14" s="94">
        <f>IFERROR(VLOOKUP("4LITERS BOX CHECK",'Pricing Trends'!$F:$I,4,FALSE),0)/AH5</f>
        <v>4</v>
      </c>
      <c r="AH14" s="99">
        <f t="shared" si="11"/>
        <v>8.9397229414942842E-3</v>
      </c>
      <c r="AI14" s="251"/>
      <c r="AJ14" s="99">
        <f t="shared" si="12"/>
        <v>0</v>
      </c>
      <c r="AK14" s="131"/>
      <c r="AL14" s="98">
        <f>IFERROR(VLOOKUP("1LITER BOX CANOLEIN",'Pricing Trends'!$F:$I,4,FALSE),0)/AM5</f>
        <v>1.25</v>
      </c>
      <c r="AM14" s="99">
        <f t="shared" si="13"/>
        <v>9.727626459143969E-3</v>
      </c>
      <c r="AN14" s="98">
        <f>IFERROR(VLOOKUP("2LITERS BOX CANOLEIN",'Pricing Trends'!$F:$I,4,FALSE),0)/AO5</f>
        <v>2.7333333333333329</v>
      </c>
      <c r="AO14" s="99">
        <f t="shared" si="14"/>
        <v>1.1573584000225824E-2</v>
      </c>
      <c r="AP14" s="84"/>
      <c r="AQ14" s="98">
        <f>IFERROR(VLOOKUP("4LITERS BOX CHECK",'Pricing Trends'!$F:$I,4,FALSE),0)/AR5</f>
        <v>4</v>
      </c>
      <c r="AR14" s="99">
        <f t="shared" si="15"/>
        <v>7.4633827782442383E-3</v>
      </c>
      <c r="AS14" s="252"/>
      <c r="AT14" s="99">
        <f t="shared" si="16"/>
        <v>0</v>
      </c>
      <c r="AU14" s="84"/>
      <c r="AV14" s="98">
        <f>IFERROR(VLOOKUP("1LITER BOX SOYA",'Pricing Trends'!$F:$I,4,FALSE),0)/AW5</f>
        <v>1.25</v>
      </c>
      <c r="AW14" s="99">
        <f t="shared" si="17"/>
        <v>8.6440584200044249E-3</v>
      </c>
      <c r="AX14" s="98">
        <f>IFERROR(VLOOKUP("2LITERS BOX CANOLEIN",'Pricing Trends'!$F:$I,4,FALSE),0)/AY5</f>
        <v>2.7333333333333329</v>
      </c>
      <c r="AY14" s="99">
        <f t="shared" si="18"/>
        <v>9.824500867431538E-3</v>
      </c>
      <c r="AZ14" s="84"/>
      <c r="BA14" s="98">
        <f>IFERROR(VLOOKUP("4LITERS BOX CHECK",'Pricing Trends'!$F:$I,4,FALSE),0)/BB5</f>
        <v>4</v>
      </c>
      <c r="BB14" s="99">
        <f t="shared" si="19"/>
        <v>7.2538409087611888E-3</v>
      </c>
      <c r="BC14" s="252"/>
      <c r="BD14" s="99">
        <f t="shared" si="20"/>
        <v>0</v>
      </c>
      <c r="BE14" s="84"/>
      <c r="BF14" s="252"/>
      <c r="BG14" s="99">
        <f t="shared" si="21"/>
        <v>0</v>
      </c>
      <c r="BH14" s="84"/>
      <c r="BI14" s="84"/>
    </row>
    <row r="15" spans="1:61" x14ac:dyDescent="0.2">
      <c r="A15" s="84"/>
      <c r="B15" s="287" t="str">
        <f>'Pricing Trends'!R21</f>
        <v>RBD COCONUT OIL</v>
      </c>
      <c r="C15" s="249">
        <f>'Pricing Trends'!S21</f>
        <v>44965</v>
      </c>
      <c r="D15" s="223">
        <f>'Pricing Trends'!U21</f>
        <v>52.798299999999998</v>
      </c>
      <c r="E15" s="220" t="b">
        <v>0</v>
      </c>
      <c r="F15" s="84"/>
      <c r="G15" s="245" t="s">
        <v>87</v>
      </c>
      <c r="H15" s="84"/>
      <c r="I15" s="98">
        <f>((IFERROR(VLOOKUP($G$15,'Pricing Trends'!$W:$Z,4,FALSE),0)/10000)*200)/J5</f>
        <v>1.3888888888888888E-2</v>
      </c>
      <c r="J15" s="99">
        <f t="shared" si="0"/>
        <v>3.2233324858360358E-4</v>
      </c>
      <c r="K15" s="98">
        <f>((IFERROR(VLOOKUP($G$15,'Pricing Trends'!$W:$Z,4,FALSE),0)/10000)*200)/L5</f>
        <v>2.0833333333333332E-2</v>
      </c>
      <c r="L15" s="99">
        <f t="shared" si="1"/>
        <v>3.4460811148313538E-4</v>
      </c>
      <c r="M15" s="98">
        <f>((IFERROR(VLOOKUP($G$15,'Pricing Trends'!$W:$Z,4,FALSE),0)/10000)*200)/N5</f>
        <v>4.1666666666666664E-2</v>
      </c>
      <c r="N15" s="99">
        <f t="shared" si="2"/>
        <v>3.565511149834314E-4</v>
      </c>
      <c r="O15" s="98">
        <f>((IFERROR(VLOOKUP($G$15,'Pricing Trends'!$W:$Z,4,FALSE),0)/10000)*200)/P5</f>
        <v>4.1666666666666664E-2</v>
      </c>
      <c r="P15" s="99">
        <f t="shared" si="3"/>
        <v>3.565511149834314E-4</v>
      </c>
      <c r="Q15" s="98">
        <f>((IFERROR(VLOOKUP($G$15,'Pricing Trends'!$W:$Z,4,FALSE),0)/10000)*200)/R5</f>
        <v>8.3333333333333329E-2</v>
      </c>
      <c r="R15" s="99">
        <f t="shared" si="4"/>
        <v>3.6837202607990609E-4</v>
      </c>
      <c r="S15" s="98">
        <f>((IFERROR(VLOOKUP($G$15,'Pricing Trends'!$W:$Z,4,FALSE),0)/10000)*200)/T5</f>
        <v>8.3333333333333329E-2</v>
      </c>
      <c r="T15" s="99">
        <f t="shared" si="5"/>
        <v>3.6837202607990609E-4</v>
      </c>
      <c r="U15" s="84"/>
      <c r="V15" s="98">
        <f>((IFERROR(VLOOKUP($G$15,'Pricing Trends'!$W:$Z,4,FALSE),0)/10000)*200)/W5</f>
        <v>1.0416666666666666E-2</v>
      </c>
      <c r="W15" s="99">
        <f t="shared" si="6"/>
        <v>4.6403432159351142E-4</v>
      </c>
      <c r="X15" s="98">
        <f>((IFERROR(VLOOKUP($G$15,'Pricing Trends'!$W:$Z,4,FALSE),0)/10000)*200)/Y5</f>
        <v>1.3888888888888888E-2</v>
      </c>
      <c r="Y15" s="99">
        <f t="shared" si="7"/>
        <v>3.8494610333519017E-4</v>
      </c>
      <c r="Z15" s="98">
        <f>((IFERROR(VLOOKUP($G$15,'Pricing Trends'!$W:$Z,4,FALSE),0)/10000)*200)/AA5</f>
        <v>2.0833333333333332E-2</v>
      </c>
      <c r="AA15" s="99">
        <f t="shared" si="8"/>
        <v>3.5430751655967518E-4</v>
      </c>
      <c r="AB15" s="98">
        <f>((IFERROR(VLOOKUP($G$15,'Pricing Trends'!$W:$Z,4,FALSE),0)/10000)*200)/AC5</f>
        <v>4.1666666666666664E-2</v>
      </c>
      <c r="AC15" s="99">
        <f t="shared" si="9"/>
        <v>3.6678310150133867E-4</v>
      </c>
      <c r="AD15" s="98">
        <f>((IFERROR(VLOOKUP($G$15,'Pricing Trends'!$W:$Z,4,FALSE),0)/10000)*200)/AE5</f>
        <v>8.3333333333333329E-2</v>
      </c>
      <c r="AE15" s="99">
        <f t="shared" si="10"/>
        <v>3.7450448159718331E-4</v>
      </c>
      <c r="AF15" s="131"/>
      <c r="AG15" s="98">
        <f>((IFERROR(VLOOKUP($G$15,'Pricing Trends'!$W:$Z,4,FALSE),0)/10000)*200)/AH5</f>
        <v>0.125</v>
      </c>
      <c r="AH15" s="99">
        <f t="shared" si="11"/>
        <v>2.7936634192169638E-4</v>
      </c>
      <c r="AI15" s="251"/>
      <c r="AJ15" s="99">
        <f t="shared" si="12"/>
        <v>0</v>
      </c>
      <c r="AK15" s="131"/>
      <c r="AL15" s="98">
        <f>((IFERROR(VLOOKUP($G$15,'Pricing Trends'!$W:$Z,4,FALSE),0)/10000)*200)/AM5</f>
        <v>4.1666666666666664E-2</v>
      </c>
      <c r="AM15" s="99">
        <f t="shared" si="13"/>
        <v>3.2425421530479895E-4</v>
      </c>
      <c r="AN15" s="98">
        <f>((IFERROR(VLOOKUP($G$15,'Pricing Trends'!$W:$Z,4,FALSE),0)/10000)*200)/AO5</f>
        <v>8.3333333333333329E-2</v>
      </c>
      <c r="AO15" s="99">
        <f t="shared" si="14"/>
        <v>3.5285317073859224E-4</v>
      </c>
      <c r="AP15" s="84"/>
      <c r="AQ15" s="98">
        <f>((IFERROR(VLOOKUP($G$15,'Pricing Trends'!$W:$Z,4,FALSE),0)/10000)*200)/AR5</f>
        <v>0.125</v>
      </c>
      <c r="AR15" s="99">
        <f t="shared" si="15"/>
        <v>2.3323071182013245E-4</v>
      </c>
      <c r="AS15" s="252"/>
      <c r="AT15" s="99">
        <f t="shared" si="16"/>
        <v>0</v>
      </c>
      <c r="AU15" s="84"/>
      <c r="AV15" s="98">
        <f>((IFERROR(VLOOKUP($G$15,'Pricing Trends'!$W:$Z,4,FALSE),0)/10000)*200)/AW5</f>
        <v>4.1666666666666664E-2</v>
      </c>
      <c r="AW15" s="99">
        <f t="shared" si="17"/>
        <v>2.8813528066681419E-4</v>
      </c>
      <c r="AX15" s="98">
        <f>((IFERROR(VLOOKUP($G$15,'Pricing Trends'!$W:$Z,4,FALSE),0)/10000)*200)/AY5</f>
        <v>8.3333333333333329E-2</v>
      </c>
      <c r="AY15" s="99">
        <f t="shared" si="18"/>
        <v>2.9952746547047375E-4</v>
      </c>
      <c r="AZ15" s="84"/>
      <c r="BA15" s="98">
        <f>((IFERROR(VLOOKUP($G$15,'Pricing Trends'!$W:$Z,4,FALSE),0)/10000)*200)/BB5</f>
        <v>0.125</v>
      </c>
      <c r="BB15" s="99">
        <f t="shared" si="19"/>
        <v>2.2668252839878715E-4</v>
      </c>
      <c r="BC15" s="252"/>
      <c r="BD15" s="99">
        <f t="shared" si="20"/>
        <v>0</v>
      </c>
      <c r="BE15" s="84"/>
      <c r="BF15" s="252"/>
      <c r="BG15" s="99">
        <f t="shared" si="21"/>
        <v>0</v>
      </c>
      <c r="BH15" s="84"/>
      <c r="BI15" s="84"/>
    </row>
    <row r="16" spans="1:61" x14ac:dyDescent="0.2">
      <c r="A16" s="84"/>
      <c r="B16" s="287">
        <f>'Pricing Trends'!R22</f>
        <v>0</v>
      </c>
      <c r="C16" s="249">
        <f>'Pricing Trends'!S22</f>
        <v>0</v>
      </c>
      <c r="D16" s="223">
        <f>'Pricing Trends'!U22</f>
        <v>0</v>
      </c>
      <c r="E16" s="220" t="b">
        <v>0</v>
      </c>
      <c r="F16" s="84"/>
      <c r="G16" s="245" t="s">
        <v>103</v>
      </c>
      <c r="H16" s="84"/>
      <c r="I16" s="98">
        <f>((45/3000)*7)</f>
        <v>0.105</v>
      </c>
      <c r="J16" s="99">
        <f t="shared" si="0"/>
        <v>2.4368393592920433E-3</v>
      </c>
      <c r="K16" s="98">
        <f>((45/3000)*7)</f>
        <v>0.105</v>
      </c>
      <c r="L16" s="99">
        <f t="shared" si="1"/>
        <v>1.7368248818750024E-3</v>
      </c>
      <c r="M16" s="98">
        <f>((45/3000)*12)</f>
        <v>0.18</v>
      </c>
      <c r="N16" s="99">
        <f t="shared" si="2"/>
        <v>1.5403008167284237E-3</v>
      </c>
      <c r="O16" s="251"/>
      <c r="P16" s="99">
        <f t="shared" si="3"/>
        <v>0</v>
      </c>
      <c r="Q16" s="251"/>
      <c r="R16" s="99">
        <f t="shared" si="4"/>
        <v>0</v>
      </c>
      <c r="S16" s="251"/>
      <c r="T16" s="99">
        <f t="shared" si="5"/>
        <v>0</v>
      </c>
      <c r="U16" s="84"/>
      <c r="V16" s="252"/>
      <c r="W16" s="99">
        <f t="shared" si="6"/>
        <v>0</v>
      </c>
      <c r="X16" s="252"/>
      <c r="Y16" s="99">
        <f t="shared" si="7"/>
        <v>0</v>
      </c>
      <c r="Z16" s="252"/>
      <c r="AA16" s="99">
        <f t="shared" si="8"/>
        <v>0</v>
      </c>
      <c r="AB16" s="252"/>
      <c r="AC16" s="99">
        <f t="shared" si="9"/>
        <v>0</v>
      </c>
      <c r="AD16" s="252"/>
      <c r="AE16" s="99">
        <f t="shared" si="10"/>
        <v>0</v>
      </c>
      <c r="AF16" s="131"/>
      <c r="AG16" s="251"/>
      <c r="AH16" s="99">
        <f t="shared" si="11"/>
        <v>0</v>
      </c>
      <c r="AI16" s="251"/>
      <c r="AJ16" s="99">
        <f t="shared" si="12"/>
        <v>0</v>
      </c>
      <c r="AK16" s="131"/>
      <c r="AL16" s="250"/>
      <c r="AM16" s="99">
        <f t="shared" si="13"/>
        <v>0</v>
      </c>
      <c r="AN16" s="250"/>
      <c r="AO16" s="99">
        <f t="shared" si="14"/>
        <v>0</v>
      </c>
      <c r="AP16" s="84"/>
      <c r="AQ16" s="252"/>
      <c r="AR16" s="99">
        <f t="shared" si="15"/>
        <v>0</v>
      </c>
      <c r="AS16" s="252"/>
      <c r="AT16" s="99">
        <f t="shared" si="16"/>
        <v>0</v>
      </c>
      <c r="AU16" s="84"/>
      <c r="AV16" s="252"/>
      <c r="AW16" s="99">
        <f t="shared" si="17"/>
        <v>0</v>
      </c>
      <c r="AX16" s="252"/>
      <c r="AY16" s="99">
        <f t="shared" si="18"/>
        <v>0</v>
      </c>
      <c r="AZ16" s="84"/>
      <c r="BA16" s="252"/>
      <c r="BB16" s="99">
        <f t="shared" si="19"/>
        <v>0</v>
      </c>
      <c r="BC16" s="252"/>
      <c r="BD16" s="99">
        <f t="shared" si="20"/>
        <v>0</v>
      </c>
      <c r="BE16" s="84"/>
      <c r="BF16" s="252"/>
      <c r="BG16" s="99">
        <f t="shared" si="21"/>
        <v>0</v>
      </c>
      <c r="BH16" s="84"/>
      <c r="BI16" s="84"/>
    </row>
    <row r="17" spans="1:61" x14ac:dyDescent="0.2">
      <c r="A17" s="84"/>
      <c r="B17" s="287" t="str">
        <f>'Pricing Trends'!R23</f>
        <v>RBD PALM OLEIN (FOREIGN)</v>
      </c>
      <c r="C17" s="249">
        <f>'Pricing Trends'!S23</f>
        <v>45547</v>
      </c>
      <c r="D17" s="223">
        <f>'Pricing Trends'!U23</f>
        <v>60.65316</v>
      </c>
      <c r="E17" s="220" t="b">
        <v>1</v>
      </c>
      <c r="F17" s="84"/>
      <c r="G17" s="246" t="s">
        <v>112</v>
      </c>
      <c r="H17" s="84"/>
      <c r="I17" s="197">
        <f>SUM(I7:I16)</f>
        <v>25.803050444444448</v>
      </c>
      <c r="J17" s="195">
        <f>I17/I6</f>
        <v>0.59883703726495507</v>
      </c>
      <c r="K17" s="197">
        <f>SUM(K7:K16)</f>
        <v>35.414913333333331</v>
      </c>
      <c r="L17" s="195">
        <f>K17/K6</f>
        <v>0.58580478730266772</v>
      </c>
      <c r="M17" s="197">
        <f>SUM(M7:M16)</f>
        <v>70.558160000000001</v>
      </c>
      <c r="N17" s="195">
        <f>M17/M6</f>
        <v>0.6037821748603045</v>
      </c>
      <c r="O17" s="197">
        <f>SUM(O7:O16)</f>
        <v>69.66982666666668</v>
      </c>
      <c r="P17" s="195">
        <f>O17/O6</f>
        <v>0.59618050508885778</v>
      </c>
      <c r="Q17" s="197">
        <f>SUM(Q7:Q16)</f>
        <v>142.65965333333335</v>
      </c>
      <c r="R17" s="195">
        <f>Q17/Q6</f>
        <v>0.63062190645908445</v>
      </c>
      <c r="S17" s="197">
        <f>SUM(S7:S16)</f>
        <v>147.19298666666668</v>
      </c>
      <c r="T17" s="195">
        <f>S17/S6</f>
        <v>0.65066134467783132</v>
      </c>
      <c r="U17" s="84"/>
      <c r="V17" s="197">
        <f>SUM(V7:V16)</f>
        <v>13.548818799999999</v>
      </c>
      <c r="W17" s="195">
        <f>V17/V6</f>
        <v>0.60356322626413572</v>
      </c>
      <c r="X17" s="197">
        <f>SUM(X7:X16)</f>
        <v>21.504281333333331</v>
      </c>
      <c r="Y17" s="195">
        <f>X17/X6</f>
        <v>0.59601522990890399</v>
      </c>
      <c r="Z17" s="197">
        <f>SUM(Z7:Z16)</f>
        <v>31.26408</v>
      </c>
      <c r="AA17" s="195">
        <f>Z17/Z6</f>
        <v>0.53170073003150453</v>
      </c>
      <c r="AB17" s="197">
        <f>SUM(AB7:AB16)</f>
        <v>67.978160000000003</v>
      </c>
      <c r="AC17" s="195">
        <f>AB17/AB6</f>
        <v>0.59839776861970184</v>
      </c>
      <c r="AD17" s="197">
        <f>SUM(AD7:AD16)</f>
        <v>132.05965333333333</v>
      </c>
      <c r="AE17" s="195">
        <f>AD17/AD6</f>
        <v>0.59348318413804491</v>
      </c>
      <c r="AF17" s="131"/>
      <c r="AG17" s="197">
        <f>SUM(AG7:AG16)</f>
        <v>286.21764000000002</v>
      </c>
      <c r="AH17" s="195">
        <f>AG17/AG6</f>
        <v>0.63967660064208809</v>
      </c>
      <c r="AI17" s="197">
        <f>SUM(AI7:AI16)</f>
        <v>1079.3850910358401</v>
      </c>
      <c r="AJ17" s="195">
        <f>AI17/AI6</f>
        <v>0.67461568189740007</v>
      </c>
      <c r="AK17" s="131"/>
      <c r="AL17" s="197">
        <f>SUM(AL7:AL16)</f>
        <v>87.318331671750045</v>
      </c>
      <c r="AM17" s="195">
        <f>AL17/AL6</f>
        <v>0.67952009083073961</v>
      </c>
      <c r="AN17" s="197">
        <f>SUM(AN7:AN16)</f>
        <v>179.37999667683343</v>
      </c>
      <c r="AO17" s="195">
        <f>AN17/AN6</f>
        <v>0.75953760713398588</v>
      </c>
      <c r="AP17" s="84"/>
      <c r="AQ17" s="197">
        <f>SUM(AQ7:AQ16)</f>
        <v>376.48516502541685</v>
      </c>
      <c r="AR17" s="195">
        <f>AQ17/AQ6</f>
        <v>0.70246322422878404</v>
      </c>
      <c r="AS17" s="197">
        <f>SUM(AS7:AS16)</f>
        <v>1480.9858514790699</v>
      </c>
      <c r="AT17" s="195">
        <f>AS17/AS6</f>
        <v>0.74880844350465414</v>
      </c>
      <c r="AU17" s="84"/>
      <c r="AV17" s="197">
        <f>SUM(AV7:AV16)</f>
        <v>77.69053856666666</v>
      </c>
      <c r="AW17" s="195">
        <f>AV17/AV6</f>
        <v>0.53724924324149881</v>
      </c>
      <c r="AX17" s="197">
        <f>SUM(AX7:AX16)</f>
        <v>161.02441046666667</v>
      </c>
      <c r="AY17" s="195">
        <f>AX17/AX6</f>
        <v>0.57877480255149472</v>
      </c>
      <c r="AZ17" s="84"/>
      <c r="BA17" s="197">
        <f>SUM(BA7:BA16)</f>
        <v>319.9204876</v>
      </c>
      <c r="BB17" s="195">
        <f>BA17/BA6</f>
        <v>0.58016308012592666</v>
      </c>
      <c r="BC17" s="197">
        <f>SUM(BC7:BC16)</f>
        <v>1229.3292622253257</v>
      </c>
      <c r="BD17" s="195">
        <f>BC17/BC6</f>
        <v>0.57178105219782593</v>
      </c>
      <c r="BE17" s="84"/>
      <c r="BF17" s="197">
        <f>SUM(BF7:BF16)</f>
        <v>1519.02</v>
      </c>
      <c r="BG17" s="195">
        <f>BF17/BF6</f>
        <v>0.7994842105263158</v>
      </c>
      <c r="BH17" s="84"/>
      <c r="BI17" s="84"/>
    </row>
    <row r="18" spans="1:61" x14ac:dyDescent="0.2">
      <c r="A18" s="84"/>
      <c r="B18" s="287" t="str">
        <f>'Pricing Trends'!R24</f>
        <v>RBD PALM OLEIN (FOREIGN)</v>
      </c>
      <c r="C18" s="249">
        <f>'Pricing Trends'!S24</f>
        <v>45517</v>
      </c>
      <c r="D18" s="223">
        <f>'Pricing Trends'!U24</f>
        <v>60.97</v>
      </c>
      <c r="E18" s="220" t="b">
        <v>0</v>
      </c>
      <c r="F18" s="84"/>
      <c r="G18" s="243" t="s">
        <v>119</v>
      </c>
      <c r="H18" s="84"/>
      <c r="I18" s="96">
        <f>I6-I17</f>
        <v>17.285551025988493</v>
      </c>
      <c r="J18" s="97">
        <f>I18/I6</f>
        <v>0.40116296273504493</v>
      </c>
      <c r="K18" s="96">
        <f>K6-K17</f>
        <v>25.040231624428017</v>
      </c>
      <c r="L18" s="97">
        <f>K18/K6</f>
        <v>0.41419521269733228</v>
      </c>
      <c r="M18" s="96">
        <f>M6-M17</f>
        <v>46.302129915522698</v>
      </c>
      <c r="N18" s="97">
        <f>M18/M6</f>
        <v>0.39621782513969556</v>
      </c>
      <c r="O18" s="96">
        <f>O6-O17</f>
        <v>47.19046324885602</v>
      </c>
      <c r="P18" s="97">
        <f>O18/O6</f>
        <v>0.40381949491114216</v>
      </c>
      <c r="Q18" s="96">
        <f>Q6-Q17</f>
        <v>83.560926497712046</v>
      </c>
      <c r="R18" s="97">
        <f>Q18/Q6</f>
        <v>0.36937809354091555</v>
      </c>
      <c r="S18" s="96">
        <f>S6-S17</f>
        <v>79.027593164378715</v>
      </c>
      <c r="T18" s="97">
        <f>S18/S6</f>
        <v>0.34933865532216868</v>
      </c>
      <c r="U18" s="84"/>
      <c r="V18" s="96">
        <f>V6-V17</f>
        <v>8.899233384794087</v>
      </c>
      <c r="W18" s="97">
        <f>V18/V6</f>
        <v>0.39643677373586428</v>
      </c>
      <c r="X18" s="96">
        <f>X6-X17</f>
        <v>14.575805641323477</v>
      </c>
      <c r="Y18" s="97">
        <f>X18/X6</f>
        <v>0.40398477009109596</v>
      </c>
      <c r="Z18" s="96">
        <f>Z6-Z17</f>
        <v>27.536064957761354</v>
      </c>
      <c r="AA18" s="97">
        <f>Z18/Z6</f>
        <v>0.46829926996849552</v>
      </c>
      <c r="AB18" s="96">
        <f>AB6-AB17</f>
        <v>45.622129915522706</v>
      </c>
      <c r="AC18" s="97">
        <f>AB18/AB6</f>
        <v>0.40160223138029821</v>
      </c>
      <c r="AD18" s="96">
        <f>AD6-AD17</f>
        <v>90.456597948718326</v>
      </c>
      <c r="AE18" s="97">
        <f>AD18/AD6</f>
        <v>0.40651681586195509</v>
      </c>
      <c r="AF18" s="131"/>
      <c r="AG18" s="96">
        <f>AG6-AG17</f>
        <v>161.22351966209078</v>
      </c>
      <c r="AH18" s="97">
        <f>AG18/AG6</f>
        <v>0.36032339935791191</v>
      </c>
      <c r="AI18" s="96">
        <f>AI6-AI17</f>
        <v>520.61490896415989</v>
      </c>
      <c r="AJ18" s="97">
        <f>AI18/AI6</f>
        <v>0.32538431810259993</v>
      </c>
      <c r="AK18" s="131"/>
      <c r="AL18" s="96">
        <f>AL6-AL17</f>
        <v>41.181668328249955</v>
      </c>
      <c r="AM18" s="97">
        <f>AL18/AL6</f>
        <v>0.32047990916926034</v>
      </c>
      <c r="AN18" s="96">
        <f>AN6-AN17</f>
        <v>56.790003323166559</v>
      </c>
      <c r="AO18" s="97">
        <f>AN18/AN6</f>
        <v>0.24046239286601415</v>
      </c>
      <c r="AP18" s="84"/>
      <c r="AQ18" s="96">
        <f>AQ6-AQ17</f>
        <v>159.4648349745832</v>
      </c>
      <c r="AR18" s="97">
        <f>AQ18/AQ6</f>
        <v>0.29753677577121596</v>
      </c>
      <c r="AS18" s="96">
        <f>AS6-AS17</f>
        <v>496.80414852093008</v>
      </c>
      <c r="AT18" s="97">
        <f>AS18/AS6</f>
        <v>0.25119155649534586</v>
      </c>
      <c r="AU18" s="84"/>
      <c r="AV18" s="96">
        <f>AV6-AV17</f>
        <v>66.917461433333344</v>
      </c>
      <c r="AW18" s="97">
        <f>AV18/AV6</f>
        <v>0.46275075675850119</v>
      </c>
      <c r="AX18" s="96">
        <f>AX6-AX17</f>
        <v>117.19158953333334</v>
      </c>
      <c r="AY18" s="97">
        <f>AX18/AX6</f>
        <v>0.42122519744850528</v>
      </c>
      <c r="AZ18" s="84"/>
      <c r="BA18" s="96">
        <f>BA6-BA17</f>
        <v>231.51151240000002</v>
      </c>
      <c r="BB18" s="97">
        <f>BA18/BA6</f>
        <v>0.41983691987407334</v>
      </c>
      <c r="BC18" s="96">
        <f>BC6-BC17</f>
        <v>920.67073777467431</v>
      </c>
      <c r="BD18" s="97">
        <f>BC18/BC6</f>
        <v>0.42821894780217412</v>
      </c>
      <c r="BE18" s="84"/>
      <c r="BF18" s="96">
        <f>BF6-BF17</f>
        <v>380.98</v>
      </c>
      <c r="BG18" s="97">
        <f>BF18/BF6</f>
        <v>0.20051578947368423</v>
      </c>
      <c r="BH18" s="84"/>
      <c r="BI18" s="84"/>
    </row>
    <row r="19" spans="1:61" s="74" customFormat="1" x14ac:dyDescent="0.2">
      <c r="A19" s="84"/>
      <c r="B19" s="287" t="str">
        <f>'Pricing Trends'!R25</f>
        <v>RBD PALM OLEIN (FOREIGN)</v>
      </c>
      <c r="C19" s="249">
        <f>'Pricing Trends'!S25</f>
        <v>45494</v>
      </c>
      <c r="D19" s="223">
        <f>'Pricing Trends'!U25</f>
        <v>60.496870000000001</v>
      </c>
      <c r="E19" s="220" t="b">
        <v>0</v>
      </c>
      <c r="F19" s="84"/>
      <c r="G19" s="246" t="s">
        <v>125</v>
      </c>
      <c r="H19" s="84"/>
      <c r="I19" s="197">
        <f>SUM(I20:I35)</f>
        <v>18.147781124900732</v>
      </c>
      <c r="J19" s="195">
        <f>I19/I6</f>
        <v>0.42117359360928891</v>
      </c>
      <c r="K19" s="197">
        <f>SUM(K20:K35)</f>
        <v>25.515581675028248</v>
      </c>
      <c r="L19" s="195">
        <f>K19/K6</f>
        <v>0.42205806789240868</v>
      </c>
      <c r="M19" s="197">
        <f>SUM(M20:M35)</f>
        <v>49.096321921485071</v>
      </c>
      <c r="N19" s="195">
        <f>M19/M6</f>
        <v>0.42012835974458373</v>
      </c>
      <c r="O19" s="197">
        <f>SUM(O20:O35)</f>
        <v>48.991500492913637</v>
      </c>
      <c r="P19" s="195">
        <f>O19/O6</f>
        <v>0.41923137901103252</v>
      </c>
      <c r="Q19" s="197">
        <f>SUM(Q20:Q35)</f>
        <v>94.360715271541579</v>
      </c>
      <c r="R19" s="195">
        <f>Q19/Q6</f>
        <v>0.41711817440312288</v>
      </c>
      <c r="S19" s="197">
        <f>SUM(S20:S35)</f>
        <v>93.875000985827313</v>
      </c>
      <c r="T19" s="195">
        <f>S19/S6</f>
        <v>0.41497109173682867</v>
      </c>
      <c r="U19" s="84"/>
      <c r="V19" s="197">
        <f>SUM(V20:V35)</f>
        <v>8.8214242211923981</v>
      </c>
      <c r="W19" s="195">
        <f>V19/V6</f>
        <v>0.39297058598108014</v>
      </c>
      <c r="X19" s="197">
        <f>SUM(X20:X35)</f>
        <v>14.237840368654</v>
      </c>
      <c r="Y19" s="195">
        <f>X19/X6</f>
        <v>0.39461768422717142</v>
      </c>
      <c r="Z19" s="197">
        <f>SUM(Z20:Z35)</f>
        <v>23.265200614423346</v>
      </c>
      <c r="AA19" s="195">
        <f>Z19/Z6</f>
        <v>0.39566570169403031</v>
      </c>
      <c r="AB19" s="197">
        <f>SUM(AB20:AB35)</f>
        <v>45.136801228846672</v>
      </c>
      <c r="AC19" s="195">
        <f>AB19/AB6</f>
        <v>0.39732998271757963</v>
      </c>
      <c r="AD19" s="197">
        <f>SUM(AD20:AD35)</f>
        <v>88.641582391223892</v>
      </c>
      <c r="AE19" s="195">
        <f>AD19/AD6</f>
        <v>0.39836003833655181</v>
      </c>
      <c r="AF19" s="131"/>
      <c r="AG19" s="197">
        <f>SUM(AG20:AG35)</f>
        <v>186.64746625736882</v>
      </c>
      <c r="AH19" s="195">
        <f>AG19/AG6</f>
        <v>0.41714415901819507</v>
      </c>
      <c r="AI19" s="197">
        <f>SUM(AI20:AI35)</f>
        <v>442.69866033630308</v>
      </c>
      <c r="AJ19" s="195">
        <f>AI19/AI6</f>
        <v>0.27668666271018943</v>
      </c>
      <c r="AK19" s="131"/>
      <c r="AL19" s="197">
        <f>SUM(AL20:AL35)</f>
        <v>52.248149618572711</v>
      </c>
      <c r="AM19" s="195">
        <f>AL19/AL6</f>
        <v>0.40660038613675259</v>
      </c>
      <c r="AN19" s="197">
        <f>SUM(AN20:AN35)</f>
        <v>94.915727237145447</v>
      </c>
      <c r="AO19" s="195">
        <f>AN19/AN6</f>
        <v>0.40189578370303364</v>
      </c>
      <c r="AP19" s="84"/>
      <c r="AQ19" s="197">
        <f>SUM(AQ20:AQ35)</f>
        <v>215.9151778705851</v>
      </c>
      <c r="AR19" s="195">
        <f>AQ19/AQ6</f>
        <v>0.40286440502021659</v>
      </c>
      <c r="AS19" s="197">
        <f>SUM(AS20:AS35)</f>
        <v>504.23129783167127</v>
      </c>
      <c r="AT19" s="195">
        <f>AS19/AS6</f>
        <v>0.25494683350187397</v>
      </c>
      <c r="AU19" s="84"/>
      <c r="AV19" s="197">
        <f>SUM(AV20:AV35)</f>
        <v>53.315403130670376</v>
      </c>
      <c r="AW19" s="195">
        <f>AV19/AV6</f>
        <v>0.36868916747808128</v>
      </c>
      <c r="AX19" s="197">
        <f>SUM(AX20:AX35)</f>
        <v>115.29599197562644</v>
      </c>
      <c r="AY19" s="195">
        <f>AX19/AX6</f>
        <v>0.4144117950643616</v>
      </c>
      <c r="AZ19" s="84"/>
      <c r="BA19" s="197">
        <f>SUM(BA20:BA35)</f>
        <v>228.8423053798243</v>
      </c>
      <c r="BB19" s="195">
        <f>BA19/BA6</f>
        <v>0.41499641910484752</v>
      </c>
      <c r="BC19" s="197">
        <f>SUM(BC20:BC35)</f>
        <v>586.8458635599294</v>
      </c>
      <c r="BD19" s="195">
        <f>BC19/BC6</f>
        <v>0.27295156444647878</v>
      </c>
      <c r="BE19" s="84"/>
      <c r="BF19" s="197">
        <f>SUM(BF20:BF35)</f>
        <v>266.26145159999999</v>
      </c>
      <c r="BG19" s="195">
        <f>BF19/BF6</f>
        <v>0.14013760610526316</v>
      </c>
      <c r="BH19" s="84"/>
      <c r="BI19" s="84"/>
    </row>
    <row r="20" spans="1:61" s="74" customFormat="1" x14ac:dyDescent="0.2">
      <c r="A20" s="84"/>
      <c r="B20" s="287" t="str">
        <f>'Pricing Trends'!R26</f>
        <v>RBD PALM OLEIN (FOREIGN)</v>
      </c>
      <c r="C20" s="249">
        <f>'Pricing Trends'!S26</f>
        <v>45314</v>
      </c>
      <c r="D20" s="223">
        <f>'Pricing Trends'!U26</f>
        <v>57.513559999999998</v>
      </c>
      <c r="E20" s="220" t="b">
        <v>0</v>
      </c>
      <c r="F20" s="84"/>
      <c r="G20" s="247" t="s">
        <v>130</v>
      </c>
      <c r="H20" s="84"/>
      <c r="I20" s="94">
        <v>0.2</v>
      </c>
      <c r="J20" s="99">
        <f t="shared" ref="J20:J35" si="22">I20/I$6</f>
        <v>4.6415987796038921E-3</v>
      </c>
      <c r="K20" s="94">
        <v>0.2</v>
      </c>
      <c r="L20" s="99">
        <f t="shared" ref="L20:L31" si="23">K20/K$6</f>
        <v>3.3082378702380998E-3</v>
      </c>
      <c r="M20" s="94">
        <v>0.2</v>
      </c>
      <c r="N20" s="99">
        <f t="shared" ref="N20:N31" si="24">M20/M$6</f>
        <v>1.7114453519204709E-3</v>
      </c>
      <c r="O20" s="251"/>
      <c r="P20" s="99">
        <f t="shared" ref="P20:P31" si="25">O20/O$6</f>
        <v>0</v>
      </c>
      <c r="Q20" s="251"/>
      <c r="R20" s="99">
        <f t="shared" ref="R20:R31" si="26">Q20/Q$6</f>
        <v>0</v>
      </c>
      <c r="S20" s="251"/>
      <c r="T20" s="99">
        <f t="shared" ref="T20:T31" si="27">S20/S$6</f>
        <v>0</v>
      </c>
      <c r="U20" s="84"/>
      <c r="V20" s="251"/>
      <c r="W20" s="99">
        <f t="shared" ref="W20:W27" si="28">V20/V$6</f>
        <v>0</v>
      </c>
      <c r="X20" s="251"/>
      <c r="Y20" s="99">
        <f t="shared" ref="Y20:Y27" si="29">X20/X$6</f>
        <v>0</v>
      </c>
      <c r="Z20" s="251"/>
      <c r="AA20" s="99">
        <f t="shared" ref="AA20:AA27" si="30">Z20/Z$6</f>
        <v>0</v>
      </c>
      <c r="AB20" s="251"/>
      <c r="AC20" s="99">
        <f t="shared" ref="AC20:AC27" si="31">AB20/AB$6</f>
        <v>0</v>
      </c>
      <c r="AD20" s="251"/>
      <c r="AE20" s="99">
        <f t="shared" ref="AE20:AE27" si="32">AD20/AD$6</f>
        <v>0</v>
      </c>
      <c r="AF20" s="131"/>
      <c r="AG20" s="94">
        <v>0.2</v>
      </c>
      <c r="AH20" s="99">
        <f t="shared" ref="AH20:AH27" si="33">AG20/AG$6</f>
        <v>4.4698614707471424E-4</v>
      </c>
      <c r="AI20" s="251"/>
      <c r="AJ20" s="99">
        <f t="shared" ref="AJ20:AJ27" si="34">AI20/AI$6</f>
        <v>0</v>
      </c>
      <c r="AK20" s="131"/>
      <c r="AL20" s="251"/>
      <c r="AM20" s="99">
        <f t="shared" ref="AM20:AM27" si="35">AL20/AL$6</f>
        <v>0</v>
      </c>
      <c r="AN20" s="251"/>
      <c r="AO20" s="99">
        <f t="shared" ref="AO20:AO27" si="36">AN20/AN$6</f>
        <v>0</v>
      </c>
      <c r="AP20" s="84"/>
      <c r="AQ20" s="94">
        <v>0.2</v>
      </c>
      <c r="AR20" s="99">
        <f t="shared" ref="AR20:AR27" si="37">AQ20/AQ$6</f>
        <v>3.7316913891221194E-4</v>
      </c>
      <c r="AS20" s="251"/>
      <c r="AT20" s="99">
        <f t="shared" ref="AT20:AT27" si="38">AS20/AS$6</f>
        <v>0</v>
      </c>
      <c r="AU20" s="84"/>
      <c r="AV20" s="94">
        <v>0.2</v>
      </c>
      <c r="AW20" s="99">
        <f t="shared" ref="AW20:AW27" si="39">AV20/AV$6</f>
        <v>1.3830493472007082E-3</v>
      </c>
      <c r="AX20" s="251"/>
      <c r="AY20" s="99">
        <f t="shared" ref="AY20:AY27" si="40">AX20/AX$6</f>
        <v>0</v>
      </c>
      <c r="AZ20" s="84"/>
      <c r="BA20" s="94">
        <v>0.2</v>
      </c>
      <c r="BB20" s="99">
        <f t="shared" ref="BB20:BB27" si="41">BA20/BA$6</f>
        <v>3.6269204543805947E-4</v>
      </c>
      <c r="BC20" s="251"/>
      <c r="BD20" s="99">
        <f t="shared" ref="BD20:BD27" si="42">BC20/BC$6</f>
        <v>0</v>
      </c>
      <c r="BE20" s="84"/>
      <c r="BF20" s="251"/>
      <c r="BG20" s="99">
        <f t="shared" ref="BG20:BG32" si="43">BF20/BF$6</f>
        <v>0</v>
      </c>
      <c r="BH20" s="84"/>
      <c r="BI20" s="84"/>
    </row>
    <row r="21" spans="1:61" s="74" customFormat="1" x14ac:dyDescent="0.2">
      <c r="A21" s="84"/>
      <c r="B21" s="287" t="str">
        <f>'Pricing Trends'!R27</f>
        <v>RBD PALM OLEIN (FOREIGN)</v>
      </c>
      <c r="C21" s="249">
        <f>'Pricing Trends'!S27</f>
        <v>45248</v>
      </c>
      <c r="D21" s="223">
        <f>'Pricing Trends'!U27</f>
        <v>61.450510000000001</v>
      </c>
      <c r="E21" s="220" t="b">
        <v>0</v>
      </c>
      <c r="F21" s="84"/>
      <c r="G21" s="247" t="s">
        <v>138</v>
      </c>
      <c r="H21" s="84"/>
      <c r="I21" s="94">
        <f>0.4*0.35</f>
        <v>0.13999999999999999</v>
      </c>
      <c r="J21" s="99">
        <f t="shared" si="22"/>
        <v>3.2491191457227238E-3</v>
      </c>
      <c r="K21" s="94">
        <f>0.4*0.5</f>
        <v>0.2</v>
      </c>
      <c r="L21" s="99">
        <f t="shared" si="23"/>
        <v>3.3082378702380998E-3</v>
      </c>
      <c r="M21" s="94">
        <v>0.4</v>
      </c>
      <c r="N21" s="99">
        <f t="shared" si="24"/>
        <v>3.4228907038409417E-3</v>
      </c>
      <c r="O21" s="94">
        <v>0.4</v>
      </c>
      <c r="P21" s="99">
        <f t="shared" si="25"/>
        <v>3.4228907038409417E-3</v>
      </c>
      <c r="Q21" s="94">
        <f>M21*2</f>
        <v>0.8</v>
      </c>
      <c r="R21" s="99">
        <f t="shared" si="26"/>
        <v>3.5363714503670986E-3</v>
      </c>
      <c r="S21" s="94">
        <f>M21*2</f>
        <v>0.8</v>
      </c>
      <c r="T21" s="99">
        <f t="shared" si="27"/>
        <v>3.5363714503670986E-3</v>
      </c>
      <c r="U21" s="84"/>
      <c r="V21" s="94">
        <f>$M21*0.18</f>
        <v>7.1999999999999995E-2</v>
      </c>
      <c r="W21" s="99">
        <f t="shared" si="28"/>
        <v>3.2074052308543508E-3</v>
      </c>
      <c r="X21" s="94">
        <f>$M21*0.3</f>
        <v>0.12</v>
      </c>
      <c r="Y21" s="99">
        <f t="shared" si="29"/>
        <v>3.325934332816043E-3</v>
      </c>
      <c r="Z21" s="94">
        <f>$M21*0.5</f>
        <v>0.2</v>
      </c>
      <c r="AA21" s="99">
        <f t="shared" si="30"/>
        <v>3.401352158972882E-3</v>
      </c>
      <c r="AB21" s="94">
        <f>$M21</f>
        <v>0.4</v>
      </c>
      <c r="AC21" s="99">
        <f t="shared" si="31"/>
        <v>3.5211177744128514E-3</v>
      </c>
      <c r="AD21" s="94">
        <f>$M21*2</f>
        <v>0.8</v>
      </c>
      <c r="AE21" s="99">
        <f t="shared" si="32"/>
        <v>3.5952430233329603E-3</v>
      </c>
      <c r="AF21" s="131"/>
      <c r="AG21" s="94">
        <f>M21*4</f>
        <v>1.6</v>
      </c>
      <c r="AH21" s="99">
        <f t="shared" si="33"/>
        <v>3.5758891765977139E-3</v>
      </c>
      <c r="AI21" s="94">
        <f>0.4*15.66*1.1364</f>
        <v>7.1184096000000006</v>
      </c>
      <c r="AJ21" s="99">
        <f t="shared" si="34"/>
        <v>4.4490060000000001E-3</v>
      </c>
      <c r="AK21" s="131"/>
      <c r="AL21" s="94">
        <v>0.4</v>
      </c>
      <c r="AM21" s="99">
        <f t="shared" si="35"/>
        <v>3.1128404669260703E-3</v>
      </c>
      <c r="AN21" s="94">
        <f>AL21*2</f>
        <v>0.8</v>
      </c>
      <c r="AO21" s="99">
        <f t="shared" si="36"/>
        <v>3.3873904390904859E-3</v>
      </c>
      <c r="AP21" s="84"/>
      <c r="AQ21" s="94">
        <f>AL21*4</f>
        <v>1.6</v>
      </c>
      <c r="AR21" s="99">
        <f t="shared" si="37"/>
        <v>2.9853531112976955E-3</v>
      </c>
      <c r="AS21" s="94">
        <f>AN21*4</f>
        <v>3.2</v>
      </c>
      <c r="AT21" s="99">
        <f t="shared" si="38"/>
        <v>1.6179675294141441E-3</v>
      </c>
      <c r="AU21" s="84"/>
      <c r="AV21" s="94">
        <v>0.4</v>
      </c>
      <c r="AW21" s="99">
        <f t="shared" si="39"/>
        <v>2.7660986944014164E-3</v>
      </c>
      <c r="AX21" s="94">
        <f>AV21*2</f>
        <v>0.8</v>
      </c>
      <c r="AY21" s="99">
        <f t="shared" si="40"/>
        <v>2.8754636685165485E-3</v>
      </c>
      <c r="AZ21" s="84"/>
      <c r="BA21" s="94">
        <f>AV21*4</f>
        <v>1.6</v>
      </c>
      <c r="BB21" s="99">
        <f t="shared" si="41"/>
        <v>2.9015363635044758E-3</v>
      </c>
      <c r="BC21" s="94">
        <f>M21*15.66*1.1364</f>
        <v>7.1184096000000006</v>
      </c>
      <c r="BD21" s="99">
        <f t="shared" si="42"/>
        <v>3.3108881860465121E-3</v>
      </c>
      <c r="BE21" s="84"/>
      <c r="BF21" s="94">
        <f>AI21</f>
        <v>7.1184096000000006</v>
      </c>
      <c r="BG21" s="99">
        <f t="shared" si="43"/>
        <v>3.7465313684210528E-3</v>
      </c>
      <c r="BH21" s="84"/>
      <c r="BI21" s="84"/>
    </row>
    <row r="22" spans="1:61" x14ac:dyDescent="0.2">
      <c r="A22" s="84"/>
      <c r="B22" s="287" t="str">
        <f>'Pricing Trends'!R28</f>
        <v>RBD PALM OLEIN (FOREIGN)</v>
      </c>
      <c r="C22" s="249">
        <f>'Pricing Trends'!S28</f>
        <v>45244</v>
      </c>
      <c r="D22" s="223">
        <f>'Pricing Trends'!U28</f>
        <v>63.352640000000001</v>
      </c>
      <c r="E22" s="220" t="b">
        <v>0</v>
      </c>
      <c r="F22" s="84"/>
      <c r="G22" s="247" t="s">
        <v>143</v>
      </c>
      <c r="H22" s="84"/>
      <c r="I22" s="94">
        <f>I6-(I6*0.92*0.98)</f>
        <v>4.2399183846906041</v>
      </c>
      <c r="J22" s="99">
        <f t="shared" si="22"/>
        <v>9.8400000000000057E-2</v>
      </c>
      <c r="K22" s="94">
        <f>K6-(K6*0.92*0.98)</f>
        <v>5.948786263843715</v>
      </c>
      <c r="L22" s="99">
        <f t="shared" si="23"/>
        <v>9.8399999999999974E-2</v>
      </c>
      <c r="M22" s="94">
        <f>M6-(M6*0.92*0.98)</f>
        <v>11.499052527687439</v>
      </c>
      <c r="N22" s="99">
        <f t="shared" si="24"/>
        <v>9.8400000000000043E-2</v>
      </c>
      <c r="O22" s="94">
        <f>O6-(O6*0.92*0.98)</f>
        <v>11.499052527687439</v>
      </c>
      <c r="P22" s="99">
        <f t="shared" si="25"/>
        <v>9.8400000000000043E-2</v>
      </c>
      <c r="Q22" s="94">
        <f>Q6-(Q6*0.92*0.98)</f>
        <v>22.260105055374879</v>
      </c>
      <c r="R22" s="99">
        <f t="shared" si="26"/>
        <v>9.8400000000000057E-2</v>
      </c>
      <c r="S22" s="94">
        <f>S6-(S6*0.92*0.98)</f>
        <v>22.260105055374879</v>
      </c>
      <c r="T22" s="99">
        <f t="shared" si="27"/>
        <v>9.8400000000000057E-2</v>
      </c>
      <c r="U22" s="84"/>
      <c r="V22" s="94">
        <f>V6-(V6*0.92*0.98)</f>
        <v>2.2088883349837367</v>
      </c>
      <c r="W22" s="99">
        <f t="shared" si="28"/>
        <v>9.8399999999999932E-2</v>
      </c>
      <c r="X22" s="94">
        <f>X6-(X6*0.92*0.98)</f>
        <v>3.550280558306234</v>
      </c>
      <c r="Y22" s="99">
        <f t="shared" si="29"/>
        <v>9.8400000000000112E-2</v>
      </c>
      <c r="Z22" s="94">
        <f>Z6-(Z6*0.92*0.98)</f>
        <v>5.7859342638437212</v>
      </c>
      <c r="AA22" s="99">
        <f t="shared" si="30"/>
        <v>9.8400000000000071E-2</v>
      </c>
      <c r="AB22" s="94">
        <f>AB6-(AB6*0.92*0.98)</f>
        <v>11.178268527687436</v>
      </c>
      <c r="AC22" s="99">
        <f t="shared" si="31"/>
        <v>9.8400000000000015E-2</v>
      </c>
      <c r="AD22" s="94">
        <f>AD6-(AD6*0.92*0.98)</f>
        <v>21.895599126153854</v>
      </c>
      <c r="AE22" s="99">
        <f t="shared" si="32"/>
        <v>9.8399999999999876E-2</v>
      </c>
      <c r="AF22" s="131"/>
      <c r="AG22" s="94">
        <f>AG6-(AG6*0.92*0.98)</f>
        <v>44.028210110749683</v>
      </c>
      <c r="AH22" s="99">
        <f t="shared" si="33"/>
        <v>9.839999999999989E-2</v>
      </c>
      <c r="AI22" s="94">
        <f>AI6-(AI6*0.95)</f>
        <v>80</v>
      </c>
      <c r="AJ22" s="99">
        <f t="shared" si="34"/>
        <v>0.05</v>
      </c>
      <c r="AK22" s="131"/>
      <c r="AL22" s="94">
        <f>AL6-(AL6*0.92*0.98)</f>
        <v>12.644400000000005</v>
      </c>
      <c r="AM22" s="99">
        <f t="shared" si="35"/>
        <v>9.8400000000000029E-2</v>
      </c>
      <c r="AN22" s="94">
        <f>AN6-(AN6*0.92*0.98)</f>
        <v>23.239127999999994</v>
      </c>
      <c r="AO22" s="99">
        <f t="shared" si="36"/>
        <v>9.8399999999999974E-2</v>
      </c>
      <c r="AP22" s="84"/>
      <c r="AQ22" s="94">
        <f>AQ6-(AQ6*0.92*0.98)</f>
        <v>52.737480000000005</v>
      </c>
      <c r="AR22" s="99">
        <f t="shared" si="37"/>
        <v>9.8400000000000001E-2</v>
      </c>
      <c r="AS22" s="94">
        <f>AS6-(AS6*0.95)</f>
        <v>98.889499999999998</v>
      </c>
      <c r="AT22" s="99">
        <f t="shared" si="38"/>
        <v>0.05</v>
      </c>
      <c r="AU22" s="84"/>
      <c r="AV22" s="94">
        <f>AV6-(AV6*0.92*0.98)</f>
        <v>14.229427200000003</v>
      </c>
      <c r="AW22" s="99">
        <f t="shared" si="39"/>
        <v>9.8400000000000015E-2</v>
      </c>
      <c r="AX22" s="94">
        <f>AX6-(AX6*0.92*0.98)</f>
        <v>27.376454399999972</v>
      </c>
      <c r="AY22" s="99">
        <f t="shared" si="40"/>
        <v>9.839999999999989E-2</v>
      </c>
      <c r="AZ22" s="84"/>
      <c r="BA22" s="94">
        <f>BA6-(BA6*0.92*0.98)</f>
        <v>54.260908799999982</v>
      </c>
      <c r="BB22" s="99">
        <f t="shared" si="41"/>
        <v>9.839999999999996E-2</v>
      </c>
      <c r="BC22" s="94">
        <f>BC6-(BC6*0.95)</f>
        <v>107.5</v>
      </c>
      <c r="BD22" s="99">
        <f t="shared" si="42"/>
        <v>0.05</v>
      </c>
      <c r="BE22" s="84"/>
      <c r="BF22" s="94"/>
      <c r="BG22" s="99">
        <f t="shared" si="43"/>
        <v>0</v>
      </c>
      <c r="BH22" s="84"/>
      <c r="BI22" s="84"/>
    </row>
    <row r="23" spans="1:61" s="212" customFormat="1" x14ac:dyDescent="0.2">
      <c r="A23" s="210"/>
      <c r="B23" s="287" t="str">
        <f>'Pricing Trends'!R29</f>
        <v>RBD PALM OLEIN (FOREIGN)</v>
      </c>
      <c r="C23" s="249">
        <f>'Pricing Trends'!S29</f>
        <v>45234</v>
      </c>
      <c r="D23" s="223">
        <f>'Pricing Trends'!U29</f>
        <v>56.635750000000002</v>
      </c>
      <c r="E23" s="220" t="b">
        <v>0</v>
      </c>
      <c r="F23" s="210"/>
      <c r="G23" s="247" t="s">
        <v>150</v>
      </c>
      <c r="H23" s="84"/>
      <c r="I23" s="94">
        <f>I6*0.03</f>
        <v>1.2926580441129882</v>
      </c>
      <c r="J23" s="99">
        <f t="shared" si="22"/>
        <v>0.03</v>
      </c>
      <c r="K23" s="94">
        <f>K6*0.03</f>
        <v>1.8136543487328405</v>
      </c>
      <c r="L23" s="99">
        <f t="shared" si="23"/>
        <v>0.03</v>
      </c>
      <c r="M23" s="94">
        <f>M6*0.03</f>
        <v>3.5058086974656808</v>
      </c>
      <c r="N23" s="99">
        <f t="shared" si="24"/>
        <v>0.03</v>
      </c>
      <c r="O23" s="94">
        <f>O6*0.03</f>
        <v>3.5058086974656808</v>
      </c>
      <c r="P23" s="99">
        <f t="shared" si="25"/>
        <v>0.03</v>
      </c>
      <c r="Q23" s="94">
        <f>Q6*0.03</f>
        <v>6.786617394931362</v>
      </c>
      <c r="R23" s="99">
        <f t="shared" si="26"/>
        <v>0.03</v>
      </c>
      <c r="S23" s="94">
        <f>S6*0.03</f>
        <v>6.786617394931362</v>
      </c>
      <c r="T23" s="99">
        <f t="shared" si="27"/>
        <v>0.03</v>
      </c>
      <c r="U23" s="84"/>
      <c r="V23" s="94">
        <f>V6*0.03</f>
        <v>0.67344156554382262</v>
      </c>
      <c r="W23" s="99">
        <f t="shared" si="28"/>
        <v>3.0000000000000002E-2</v>
      </c>
      <c r="X23" s="94">
        <f>X6*0.03</f>
        <v>1.0824026092397041</v>
      </c>
      <c r="Y23" s="99">
        <f t="shared" si="29"/>
        <v>2.9999999999999995E-2</v>
      </c>
      <c r="Z23" s="94">
        <f>Z6*0.03</f>
        <v>1.7640043487328405</v>
      </c>
      <c r="AA23" s="99">
        <f t="shared" si="30"/>
        <v>0.03</v>
      </c>
      <c r="AB23" s="94">
        <f>AB6*0.03</f>
        <v>3.4080086974656809</v>
      </c>
      <c r="AC23" s="99">
        <f t="shared" si="31"/>
        <v>2.9999999999999995E-2</v>
      </c>
      <c r="AD23" s="94">
        <f>AD6*0.03</f>
        <v>6.6754875384615495</v>
      </c>
      <c r="AE23" s="99">
        <f t="shared" si="32"/>
        <v>0.03</v>
      </c>
      <c r="AF23" s="131"/>
      <c r="AG23" s="94">
        <f>AG6*0.03</f>
        <v>13.423234789862724</v>
      </c>
      <c r="AH23" s="99">
        <f t="shared" si="33"/>
        <v>0.03</v>
      </c>
      <c r="AI23" s="94">
        <f>AI6*0.03</f>
        <v>48</v>
      </c>
      <c r="AJ23" s="99">
        <f t="shared" si="34"/>
        <v>0.03</v>
      </c>
      <c r="AK23" s="131"/>
      <c r="AL23" s="94">
        <f>AL6*0.03</f>
        <v>3.855</v>
      </c>
      <c r="AM23" s="99">
        <f t="shared" si="35"/>
        <v>0.03</v>
      </c>
      <c r="AN23" s="94">
        <f>AN6*0.03</f>
        <v>7.0850999999999997</v>
      </c>
      <c r="AO23" s="99">
        <f t="shared" si="36"/>
        <v>0.03</v>
      </c>
      <c r="AP23" s="84"/>
      <c r="AQ23" s="94">
        <f>AQ6*0.03</f>
        <v>16.078500000000002</v>
      </c>
      <c r="AR23" s="99">
        <f t="shared" si="37"/>
        <v>3.0000000000000002E-2</v>
      </c>
      <c r="AS23" s="94">
        <f>AS6*0.03</f>
        <v>59.333699999999993</v>
      </c>
      <c r="AT23" s="99">
        <f t="shared" si="38"/>
        <v>2.9999999999999995E-2</v>
      </c>
      <c r="AU23" s="84"/>
      <c r="AV23" s="94">
        <f>AV6*0.03</f>
        <v>4.3382399999999999</v>
      </c>
      <c r="AW23" s="99">
        <f t="shared" si="39"/>
        <v>0.03</v>
      </c>
      <c r="AX23" s="94">
        <f>AX6*0.03</f>
        <v>8.3464799999999997</v>
      </c>
      <c r="AY23" s="99">
        <f t="shared" si="40"/>
        <v>0.03</v>
      </c>
      <c r="AZ23" s="84"/>
      <c r="BA23" s="94">
        <f>BA6*0.03</f>
        <v>16.542960000000001</v>
      </c>
      <c r="BB23" s="99">
        <f t="shared" si="41"/>
        <v>0.03</v>
      </c>
      <c r="BC23" s="94">
        <f>BC6*0.03</f>
        <v>64.5</v>
      </c>
      <c r="BD23" s="99">
        <f t="shared" si="42"/>
        <v>0.03</v>
      </c>
      <c r="BE23" s="84"/>
      <c r="BF23" s="94">
        <f>BF6*0.03</f>
        <v>57</v>
      </c>
      <c r="BG23" s="99">
        <f t="shared" si="43"/>
        <v>0.03</v>
      </c>
      <c r="BH23" s="210"/>
      <c r="BI23" s="210"/>
    </row>
    <row r="24" spans="1:61" x14ac:dyDescent="0.2">
      <c r="A24" s="84"/>
      <c r="B24" s="287">
        <f>'Pricing Trends'!R30</f>
        <v>0</v>
      </c>
      <c r="C24" s="249">
        <f>'Pricing Trends'!S30</f>
        <v>0</v>
      </c>
      <c r="D24" s="223">
        <f>'Pricing Trends'!U30</f>
        <v>0</v>
      </c>
      <c r="E24" s="220" t="b">
        <v>0</v>
      </c>
      <c r="F24" s="84"/>
      <c r="G24" s="247" t="s">
        <v>160</v>
      </c>
      <c r="H24" s="84"/>
      <c r="I24" s="94">
        <f>I6*0.02</f>
        <v>0.86177202940865882</v>
      </c>
      <c r="J24" s="99">
        <f t="shared" si="22"/>
        <v>0.02</v>
      </c>
      <c r="K24" s="94">
        <f>K6*0.02</f>
        <v>1.2091028991552271</v>
      </c>
      <c r="L24" s="99">
        <f t="shared" si="23"/>
        <v>0.02</v>
      </c>
      <c r="M24" s="94">
        <f>M6*0.02</f>
        <v>2.3372057983104542</v>
      </c>
      <c r="N24" s="99">
        <f t="shared" si="24"/>
        <v>0.02</v>
      </c>
      <c r="O24" s="94">
        <f>O6*0.02</f>
        <v>2.3372057983104542</v>
      </c>
      <c r="P24" s="99">
        <f t="shared" si="25"/>
        <v>0.02</v>
      </c>
      <c r="Q24" s="94">
        <f>Q6*0.02</f>
        <v>4.524411596620908</v>
      </c>
      <c r="R24" s="99">
        <f t="shared" si="26"/>
        <v>0.02</v>
      </c>
      <c r="S24" s="94">
        <f>S6*0.02</f>
        <v>4.524411596620908</v>
      </c>
      <c r="T24" s="99">
        <f t="shared" si="27"/>
        <v>0.02</v>
      </c>
      <c r="U24" s="84"/>
      <c r="V24" s="94">
        <f>V6*0.02</f>
        <v>0.44896104369588175</v>
      </c>
      <c r="W24" s="99">
        <f t="shared" si="28"/>
        <v>0.02</v>
      </c>
      <c r="X24" s="94">
        <f>X6*0.02</f>
        <v>0.72160173949313622</v>
      </c>
      <c r="Y24" s="99">
        <f t="shared" si="29"/>
        <v>0.02</v>
      </c>
      <c r="Z24" s="94">
        <f>Z6*0.02</f>
        <v>1.1760028991552272</v>
      </c>
      <c r="AA24" s="99">
        <f t="shared" si="30"/>
        <v>0.02</v>
      </c>
      <c r="AB24" s="94">
        <f>AB6*0.02</f>
        <v>2.2720057983104542</v>
      </c>
      <c r="AC24" s="99">
        <f t="shared" si="31"/>
        <v>0.02</v>
      </c>
      <c r="AD24" s="94">
        <f>AD6*0.02</f>
        <v>4.4503250256410336</v>
      </c>
      <c r="AE24" s="99">
        <f t="shared" si="32"/>
        <v>2.0000000000000004E-2</v>
      </c>
      <c r="AF24" s="131"/>
      <c r="AG24" s="94">
        <f>AG6*0.02</f>
        <v>8.9488231932418163</v>
      </c>
      <c r="AH24" s="99">
        <f t="shared" si="33"/>
        <v>0.02</v>
      </c>
      <c r="AI24" s="94">
        <f>AI6*0.02</f>
        <v>32</v>
      </c>
      <c r="AJ24" s="99">
        <f t="shared" si="34"/>
        <v>0.02</v>
      </c>
      <c r="AK24" s="131"/>
      <c r="AL24" s="94">
        <f>AL6*0.02</f>
        <v>2.57</v>
      </c>
      <c r="AM24" s="99">
        <f t="shared" si="35"/>
        <v>0.02</v>
      </c>
      <c r="AN24" s="94">
        <f>AN6*0.02</f>
        <v>4.7233999999999998</v>
      </c>
      <c r="AO24" s="99">
        <f t="shared" si="36"/>
        <v>0.02</v>
      </c>
      <c r="AP24" s="84"/>
      <c r="AQ24" s="94">
        <f>AQ6*0.02</f>
        <v>10.719000000000001</v>
      </c>
      <c r="AR24" s="99">
        <f t="shared" si="37"/>
        <v>0.02</v>
      </c>
      <c r="AS24" s="94">
        <f>AS6*0.02</f>
        <v>39.555799999999998</v>
      </c>
      <c r="AT24" s="99">
        <f t="shared" si="38"/>
        <v>0.02</v>
      </c>
      <c r="AU24" s="84"/>
      <c r="AV24" s="94">
        <f>AV6*0.02</f>
        <v>2.8921600000000001</v>
      </c>
      <c r="AW24" s="99">
        <f t="shared" si="39"/>
        <v>0.02</v>
      </c>
      <c r="AX24" s="94">
        <f>AX6*0.02</f>
        <v>5.5643200000000004</v>
      </c>
      <c r="AY24" s="99">
        <f t="shared" si="40"/>
        <v>0.02</v>
      </c>
      <c r="AZ24" s="84"/>
      <c r="BA24" s="94">
        <f>BA6*0.02</f>
        <v>11.028640000000001</v>
      </c>
      <c r="BB24" s="99">
        <f t="shared" si="41"/>
        <v>0.02</v>
      </c>
      <c r="BC24" s="94">
        <f>BC6*0.02</f>
        <v>43</v>
      </c>
      <c r="BD24" s="99">
        <f t="shared" si="42"/>
        <v>0.02</v>
      </c>
      <c r="BE24" s="84"/>
      <c r="BF24" s="94">
        <f>BF6*0.02</f>
        <v>38</v>
      </c>
      <c r="BG24" s="99">
        <f t="shared" si="43"/>
        <v>0.02</v>
      </c>
      <c r="BH24" s="84"/>
      <c r="BI24" s="84"/>
    </row>
    <row r="25" spans="1:61" x14ac:dyDescent="0.2">
      <c r="A25" s="84"/>
      <c r="B25" s="287" t="str">
        <f>'Pricing Trends'!R31</f>
        <v>RBD CANOLA OIL</v>
      </c>
      <c r="C25" s="249">
        <f>'Pricing Trends'!S31</f>
        <v>45269</v>
      </c>
      <c r="D25" s="223">
        <f>'Pricing Trends'!U31</f>
        <v>73.180847</v>
      </c>
      <c r="E25" s="220" t="b">
        <v>0</v>
      </c>
      <c r="F25" s="84"/>
      <c r="G25" s="297" t="s">
        <v>164</v>
      </c>
      <c r="H25" s="84"/>
      <c r="I25" s="94">
        <f>I6*0.05</f>
        <v>2.1544300735216471</v>
      </c>
      <c r="J25" s="99">
        <f t="shared" si="22"/>
        <v>0.05</v>
      </c>
      <c r="K25" s="94">
        <f>K6*0.05</f>
        <v>3.0227572478880678</v>
      </c>
      <c r="L25" s="99">
        <f t="shared" si="23"/>
        <v>0.05</v>
      </c>
      <c r="M25" s="94">
        <f>M6*0.05</f>
        <v>5.843014495776135</v>
      </c>
      <c r="N25" s="99">
        <f t="shared" si="24"/>
        <v>0.05</v>
      </c>
      <c r="O25" s="94">
        <f>O6*0.05</f>
        <v>5.843014495776135</v>
      </c>
      <c r="P25" s="99">
        <f t="shared" si="25"/>
        <v>0.05</v>
      </c>
      <c r="Q25" s="94">
        <f>Q6*0.05</f>
        <v>11.31102899155227</v>
      </c>
      <c r="R25" s="99">
        <f t="shared" si="26"/>
        <v>0.05</v>
      </c>
      <c r="S25" s="94">
        <f>S6*0.05</f>
        <v>11.31102899155227</v>
      </c>
      <c r="T25" s="99">
        <f t="shared" si="27"/>
        <v>0.05</v>
      </c>
      <c r="U25" s="84"/>
      <c r="V25" s="94">
        <f>V6*0.05</f>
        <v>1.1224026092397044</v>
      </c>
      <c r="W25" s="99">
        <f t="shared" si="28"/>
        <v>0.05</v>
      </c>
      <c r="X25" s="94">
        <f>X6*0.05</f>
        <v>1.8040043487328405</v>
      </c>
      <c r="Y25" s="99">
        <f t="shared" si="29"/>
        <v>0.05</v>
      </c>
      <c r="Z25" s="94">
        <f>Z6*0.05</f>
        <v>2.9400072478880679</v>
      </c>
      <c r="AA25" s="99">
        <f t="shared" si="30"/>
        <v>0.05</v>
      </c>
      <c r="AB25" s="94">
        <f>AB6*0.05</f>
        <v>5.6800144957761356</v>
      </c>
      <c r="AC25" s="99">
        <f t="shared" si="31"/>
        <v>0.05</v>
      </c>
      <c r="AD25" s="94">
        <f>AD6*0.05</f>
        <v>11.125812564102583</v>
      </c>
      <c r="AE25" s="99">
        <f t="shared" si="32"/>
        <v>0.05</v>
      </c>
      <c r="AF25" s="131"/>
      <c r="AG25" s="94">
        <f>AG6*0.05</f>
        <v>22.37205798310454</v>
      </c>
      <c r="AH25" s="99">
        <f t="shared" si="33"/>
        <v>0.05</v>
      </c>
      <c r="AI25" s="251"/>
      <c r="AJ25" s="99">
        <f t="shared" si="34"/>
        <v>0</v>
      </c>
      <c r="AK25" s="131"/>
      <c r="AL25" s="94">
        <f>AL6*0.05</f>
        <v>6.4250000000000007</v>
      </c>
      <c r="AM25" s="99">
        <f t="shared" si="35"/>
        <v>0.05</v>
      </c>
      <c r="AN25" s="94">
        <f>AN6*0.05</f>
        <v>11.8085</v>
      </c>
      <c r="AO25" s="99">
        <f t="shared" si="36"/>
        <v>0.05</v>
      </c>
      <c r="AP25" s="84"/>
      <c r="AQ25" s="94">
        <f>AQ6*0.05</f>
        <v>26.797500000000003</v>
      </c>
      <c r="AR25" s="99">
        <f t="shared" si="37"/>
        <v>0.05</v>
      </c>
      <c r="AS25" s="251"/>
      <c r="AT25" s="99">
        <f t="shared" si="38"/>
        <v>0</v>
      </c>
      <c r="AU25" s="84"/>
      <c r="AV25" s="94">
        <f>AV6*0.05</f>
        <v>7.2304000000000004</v>
      </c>
      <c r="AW25" s="99">
        <f t="shared" si="39"/>
        <v>0.05</v>
      </c>
      <c r="AX25" s="94">
        <f>AX6*0.05</f>
        <v>13.910800000000002</v>
      </c>
      <c r="AY25" s="99">
        <f t="shared" si="40"/>
        <v>0.05</v>
      </c>
      <c r="AZ25" s="84"/>
      <c r="BA25" s="94">
        <f>BA6*0.05</f>
        <v>27.571600000000004</v>
      </c>
      <c r="BB25" s="99">
        <f t="shared" si="41"/>
        <v>0.05</v>
      </c>
      <c r="BC25" s="251"/>
      <c r="BD25" s="99">
        <f t="shared" si="42"/>
        <v>0</v>
      </c>
      <c r="BE25" s="84"/>
      <c r="BF25" s="251"/>
      <c r="BG25" s="99">
        <f t="shared" si="43"/>
        <v>0</v>
      </c>
      <c r="BH25" s="84"/>
      <c r="BI25" s="84"/>
    </row>
    <row r="26" spans="1:61" x14ac:dyDescent="0.2">
      <c r="A26" s="84"/>
      <c r="B26" s="287" t="str">
        <f>'Pricing Trends'!R32</f>
        <v>RBD CANOLA OIL</v>
      </c>
      <c r="C26" s="249">
        <f>'Pricing Trends'!S32</f>
        <v>45118</v>
      </c>
      <c r="D26" s="223">
        <f>'Pricing Trends'!U32</f>
        <v>80.463780999999997</v>
      </c>
      <c r="E26" s="220" t="b">
        <v>0</v>
      </c>
      <c r="F26" s="84"/>
      <c r="G26" s="297" t="s">
        <v>173</v>
      </c>
      <c r="H26" s="84"/>
      <c r="I26" s="94">
        <f>I6*0.05</f>
        <v>2.1544300735216471</v>
      </c>
      <c r="J26" s="99">
        <f t="shared" si="22"/>
        <v>0.05</v>
      </c>
      <c r="K26" s="94">
        <f>K6*0.05</f>
        <v>3.0227572478880678</v>
      </c>
      <c r="L26" s="99">
        <f t="shared" si="23"/>
        <v>0.05</v>
      </c>
      <c r="M26" s="94">
        <f>M6*0.05</f>
        <v>5.843014495776135</v>
      </c>
      <c r="N26" s="99">
        <f t="shared" si="24"/>
        <v>0.05</v>
      </c>
      <c r="O26" s="94">
        <f>O6*0.05</f>
        <v>5.843014495776135</v>
      </c>
      <c r="P26" s="99">
        <f t="shared" si="25"/>
        <v>0.05</v>
      </c>
      <c r="Q26" s="94">
        <f>Q6*0.05</f>
        <v>11.31102899155227</v>
      </c>
      <c r="R26" s="99">
        <f t="shared" si="26"/>
        <v>0.05</v>
      </c>
      <c r="S26" s="94">
        <f>S6*0.05</f>
        <v>11.31102899155227</v>
      </c>
      <c r="T26" s="99">
        <f t="shared" si="27"/>
        <v>0.05</v>
      </c>
      <c r="U26" s="84"/>
      <c r="V26" s="94">
        <f>V6*0.05</f>
        <v>1.1224026092397044</v>
      </c>
      <c r="W26" s="99">
        <f t="shared" si="28"/>
        <v>0.05</v>
      </c>
      <c r="X26" s="94">
        <f>X6*0.05</f>
        <v>1.8040043487328405</v>
      </c>
      <c r="Y26" s="99">
        <f t="shared" si="29"/>
        <v>0.05</v>
      </c>
      <c r="Z26" s="94">
        <f>Z6*0.05</f>
        <v>2.9400072478880679</v>
      </c>
      <c r="AA26" s="99">
        <f t="shared" si="30"/>
        <v>0.05</v>
      </c>
      <c r="AB26" s="94">
        <f>AB6*0.05</f>
        <v>5.6800144957761356</v>
      </c>
      <c r="AC26" s="99">
        <f t="shared" si="31"/>
        <v>0.05</v>
      </c>
      <c r="AD26" s="94">
        <f>AD6*0.05</f>
        <v>11.125812564102583</v>
      </c>
      <c r="AE26" s="99">
        <f t="shared" si="32"/>
        <v>0.05</v>
      </c>
      <c r="AF26" s="131"/>
      <c r="AG26" s="94">
        <f>AG6*0.05</f>
        <v>22.37205798310454</v>
      </c>
      <c r="AH26" s="99">
        <f t="shared" si="33"/>
        <v>0.05</v>
      </c>
      <c r="AI26" s="251"/>
      <c r="AJ26" s="99">
        <f t="shared" si="34"/>
        <v>0</v>
      </c>
      <c r="AK26" s="131"/>
      <c r="AL26" s="94">
        <f>AL6*0.05</f>
        <v>6.4250000000000007</v>
      </c>
      <c r="AM26" s="99">
        <f t="shared" si="35"/>
        <v>0.05</v>
      </c>
      <c r="AN26" s="94">
        <f>AN6*0.05</f>
        <v>11.8085</v>
      </c>
      <c r="AO26" s="99">
        <f t="shared" si="36"/>
        <v>0.05</v>
      </c>
      <c r="AP26" s="84"/>
      <c r="AQ26" s="94">
        <f>AQ6*0.05</f>
        <v>26.797500000000003</v>
      </c>
      <c r="AR26" s="99">
        <f t="shared" si="37"/>
        <v>0.05</v>
      </c>
      <c r="AS26" s="251"/>
      <c r="AT26" s="99">
        <f t="shared" si="38"/>
        <v>0</v>
      </c>
      <c r="AU26" s="84"/>
      <c r="AV26" s="94" t="s">
        <v>399</v>
      </c>
      <c r="AW26" s="99" t="e">
        <f t="shared" si="39"/>
        <v>#VALUE!</v>
      </c>
      <c r="AX26" s="94">
        <f>AX6*0.05</f>
        <v>13.910800000000002</v>
      </c>
      <c r="AY26" s="99">
        <f t="shared" si="40"/>
        <v>0.05</v>
      </c>
      <c r="AZ26" s="84"/>
      <c r="BA26" s="94">
        <f>BA6*0.05</f>
        <v>27.571600000000004</v>
      </c>
      <c r="BB26" s="99">
        <f t="shared" si="41"/>
        <v>0.05</v>
      </c>
      <c r="BC26" s="251"/>
      <c r="BD26" s="99">
        <f t="shared" si="42"/>
        <v>0</v>
      </c>
      <c r="BE26" s="84"/>
      <c r="BF26" s="251"/>
      <c r="BG26" s="99">
        <f t="shared" si="43"/>
        <v>0</v>
      </c>
      <c r="BH26" s="84"/>
      <c r="BI26" s="84"/>
    </row>
    <row r="27" spans="1:61" x14ac:dyDescent="0.2">
      <c r="A27" s="84"/>
      <c r="B27" s="287">
        <f>'Pricing Trends'!R33</f>
        <v>0</v>
      </c>
      <c r="C27" s="249">
        <f>'Pricing Trends'!S33</f>
        <v>0</v>
      </c>
      <c r="D27" s="223">
        <f>'Pricing Trends'!U33</f>
        <v>0</v>
      </c>
      <c r="E27" s="220" t="b">
        <v>0</v>
      </c>
      <c r="F27" s="84"/>
      <c r="G27" s="247" t="s">
        <v>176</v>
      </c>
      <c r="H27" s="84"/>
      <c r="I27" s="94">
        <f>I6*0.01</f>
        <v>0.43088601470432941</v>
      </c>
      <c r="J27" s="99">
        <f t="shared" si="22"/>
        <v>0.01</v>
      </c>
      <c r="K27" s="94">
        <f>K6*0.01</f>
        <v>0.60455144957761353</v>
      </c>
      <c r="L27" s="99">
        <f t="shared" si="23"/>
        <v>0.01</v>
      </c>
      <c r="M27" s="94">
        <f>M6*0.01</f>
        <v>1.1686028991552271</v>
      </c>
      <c r="N27" s="99">
        <f t="shared" si="24"/>
        <v>0.01</v>
      </c>
      <c r="O27" s="94">
        <f>O6*0.01</f>
        <v>1.1686028991552271</v>
      </c>
      <c r="P27" s="99">
        <f t="shared" si="25"/>
        <v>0.01</v>
      </c>
      <c r="Q27" s="94">
        <f>Q6*0.01</f>
        <v>2.262205798310454</v>
      </c>
      <c r="R27" s="99">
        <f t="shared" si="26"/>
        <v>0.01</v>
      </c>
      <c r="S27" s="94">
        <f>S6*0.01</f>
        <v>2.262205798310454</v>
      </c>
      <c r="T27" s="99">
        <f t="shared" si="27"/>
        <v>0.01</v>
      </c>
      <c r="U27" s="84"/>
      <c r="V27" s="94">
        <f>V6*0.01</f>
        <v>0.22448052184794087</v>
      </c>
      <c r="W27" s="99">
        <f t="shared" si="28"/>
        <v>0.01</v>
      </c>
      <c r="X27" s="94">
        <f>X6*0.01</f>
        <v>0.36080086974656811</v>
      </c>
      <c r="Y27" s="99">
        <f t="shared" si="29"/>
        <v>0.01</v>
      </c>
      <c r="Z27" s="94">
        <f>Z6*0.01</f>
        <v>0.58800144957761358</v>
      </c>
      <c r="AA27" s="99">
        <f t="shared" si="30"/>
        <v>0.01</v>
      </c>
      <c r="AB27" s="94">
        <f>AB6*0.01</f>
        <v>1.1360028991552271</v>
      </c>
      <c r="AC27" s="99">
        <f t="shared" si="31"/>
        <v>0.01</v>
      </c>
      <c r="AD27" s="94">
        <f>AD6*0.01</f>
        <v>2.2251625128205168</v>
      </c>
      <c r="AE27" s="99">
        <f t="shared" si="32"/>
        <v>1.0000000000000002E-2</v>
      </c>
      <c r="AF27" s="131"/>
      <c r="AG27" s="94">
        <f>AG6*0.01</f>
        <v>4.4744115966209081</v>
      </c>
      <c r="AH27" s="99">
        <f t="shared" si="33"/>
        <v>0.01</v>
      </c>
      <c r="AI27" s="94">
        <f>AI6*0.01</f>
        <v>16</v>
      </c>
      <c r="AJ27" s="99">
        <f t="shared" si="34"/>
        <v>0.01</v>
      </c>
      <c r="AK27" s="131"/>
      <c r="AL27" s="94">
        <f>AL6*0.01</f>
        <v>1.2849999999999999</v>
      </c>
      <c r="AM27" s="99">
        <f t="shared" si="35"/>
        <v>0.01</v>
      </c>
      <c r="AN27" s="94">
        <f>AN6*0.01</f>
        <v>2.3616999999999999</v>
      </c>
      <c r="AO27" s="99">
        <f t="shared" si="36"/>
        <v>0.01</v>
      </c>
      <c r="AP27" s="84"/>
      <c r="AQ27" s="94">
        <f>AQ6*0.01</f>
        <v>5.3595000000000006</v>
      </c>
      <c r="AR27" s="99">
        <f t="shared" si="37"/>
        <v>0.01</v>
      </c>
      <c r="AS27" s="94">
        <f>AS6*0.01</f>
        <v>19.777899999999999</v>
      </c>
      <c r="AT27" s="99">
        <f t="shared" si="38"/>
        <v>0.01</v>
      </c>
      <c r="AU27" s="84"/>
      <c r="AV27" s="94">
        <f>AV6*0.01</f>
        <v>1.44608</v>
      </c>
      <c r="AW27" s="99">
        <f t="shared" si="39"/>
        <v>0.01</v>
      </c>
      <c r="AX27" s="94">
        <f>AX6*0.01</f>
        <v>2.7821600000000002</v>
      </c>
      <c r="AY27" s="99">
        <f t="shared" si="40"/>
        <v>0.01</v>
      </c>
      <c r="AZ27" s="84"/>
      <c r="BA27" s="94">
        <f>BA6*0.01</f>
        <v>5.5143200000000006</v>
      </c>
      <c r="BB27" s="99">
        <f t="shared" si="41"/>
        <v>0.01</v>
      </c>
      <c r="BC27" s="94">
        <f>BC6*0.01</f>
        <v>21.5</v>
      </c>
      <c r="BD27" s="99">
        <f t="shared" si="42"/>
        <v>0.01</v>
      </c>
      <c r="BE27" s="84"/>
      <c r="BF27" s="94">
        <f>BF6*0.01</f>
        <v>19</v>
      </c>
      <c r="BG27" s="99">
        <f t="shared" si="43"/>
        <v>0.01</v>
      </c>
      <c r="BH27" s="84"/>
      <c r="BI27" s="84"/>
    </row>
    <row r="28" spans="1:61" x14ac:dyDescent="0.2">
      <c r="A28" s="84"/>
      <c r="B28" s="287">
        <f>'Pricing Trends'!R34</f>
        <v>0</v>
      </c>
      <c r="C28" s="249">
        <f>'Pricing Trends'!S34</f>
        <v>0</v>
      </c>
      <c r="D28" s="223">
        <f>'Pricing Trends'!U34</f>
        <v>0</v>
      </c>
      <c r="E28" s="220" t="b">
        <v>0</v>
      </c>
      <c r="F28" s="84"/>
      <c r="G28" s="247" t="s">
        <v>182</v>
      </c>
      <c r="H28" s="84"/>
      <c r="I28" s="94">
        <f>I6*0.01</f>
        <v>0.43088601470432941</v>
      </c>
      <c r="J28" s="99">
        <f t="shared" si="22"/>
        <v>0.01</v>
      </c>
      <c r="K28" s="94">
        <f>K6*0.01</f>
        <v>0.60455144957761353</v>
      </c>
      <c r="L28" s="99">
        <f t="shared" si="23"/>
        <v>0.01</v>
      </c>
      <c r="M28" s="94">
        <f>M6*0.01</f>
        <v>1.1686028991552271</v>
      </c>
      <c r="N28" s="99">
        <f t="shared" si="24"/>
        <v>0.01</v>
      </c>
      <c r="O28" s="94">
        <f>O6*0.01</f>
        <v>1.1686028991552271</v>
      </c>
      <c r="P28" s="99">
        <f t="shared" si="25"/>
        <v>0.01</v>
      </c>
      <c r="Q28" s="94">
        <f>Q6*0.01</f>
        <v>2.262205798310454</v>
      </c>
      <c r="R28" s="99">
        <f t="shared" si="26"/>
        <v>0.01</v>
      </c>
      <c r="S28" s="94">
        <f>S6*0.01</f>
        <v>2.262205798310454</v>
      </c>
      <c r="T28" s="99">
        <f t="shared" si="27"/>
        <v>0.01</v>
      </c>
      <c r="U28" s="84"/>
      <c r="V28" s="94">
        <f t="shared" ref="V28" si="44">V6*0.01</f>
        <v>0.22448052184794087</v>
      </c>
      <c r="W28" s="99">
        <f t="shared" ref="W28" si="45">V28/V$6</f>
        <v>0.01</v>
      </c>
      <c r="X28" s="94">
        <f t="shared" ref="X28" si="46">X6*0.01</f>
        <v>0.36080086974656811</v>
      </c>
      <c r="Y28" s="99">
        <f t="shared" ref="Y28" si="47">X28/X$6</f>
        <v>0.01</v>
      </c>
      <c r="Z28" s="94">
        <f t="shared" ref="Z28" si="48">Z6*0.01</f>
        <v>0.58800144957761358</v>
      </c>
      <c r="AA28" s="99">
        <f t="shared" ref="AA28" si="49">Z28/Z$6</f>
        <v>0.01</v>
      </c>
      <c r="AB28" s="94">
        <f t="shared" ref="AB28" si="50">AB6*0.01</f>
        <v>1.1360028991552271</v>
      </c>
      <c r="AC28" s="99">
        <f t="shared" ref="AC28" si="51">AB28/AB$6</f>
        <v>0.01</v>
      </c>
      <c r="AD28" s="94">
        <f t="shared" ref="AD28" si="52">AD6*0.01</f>
        <v>2.2251625128205168</v>
      </c>
      <c r="AE28" s="99">
        <f t="shared" ref="AE28:AE29" si="53">AD28/AD$6</f>
        <v>1.0000000000000002E-2</v>
      </c>
      <c r="AF28" s="131"/>
      <c r="AG28" s="94">
        <f t="shared" ref="AG28" si="54">AG6*0.01</f>
        <v>4.4744115966209081</v>
      </c>
      <c r="AH28" s="99">
        <f t="shared" ref="AH28" si="55">AG28/AG$6</f>
        <v>0.01</v>
      </c>
      <c r="AI28" s="94">
        <f t="shared" ref="AI28" si="56">AI6*0.01</f>
        <v>16</v>
      </c>
      <c r="AJ28" s="99">
        <f t="shared" ref="AJ28:AJ29" si="57">AI28/AI$6</f>
        <v>0.01</v>
      </c>
      <c r="AK28" s="131"/>
      <c r="AL28" s="94">
        <f t="shared" ref="AL28" si="58">AL6*0.01</f>
        <v>1.2849999999999999</v>
      </c>
      <c r="AM28" s="99">
        <f t="shared" ref="AM28" si="59">AL28/AL$6</f>
        <v>0.01</v>
      </c>
      <c r="AN28" s="94">
        <f t="shared" ref="AN28" si="60">AN6*0.01</f>
        <v>2.3616999999999999</v>
      </c>
      <c r="AO28" s="99">
        <f t="shared" ref="AO28:AO29" si="61">AN28/AN$6</f>
        <v>0.01</v>
      </c>
      <c r="AP28" s="84"/>
      <c r="AQ28" s="94">
        <f t="shared" ref="AQ28" si="62">AQ6*0.01</f>
        <v>5.3595000000000006</v>
      </c>
      <c r="AR28" s="99">
        <f t="shared" ref="AR28" si="63">AQ28/AQ$6</f>
        <v>0.01</v>
      </c>
      <c r="AS28" s="94">
        <f t="shared" ref="AS28" si="64">AS6*0.01</f>
        <v>19.777899999999999</v>
      </c>
      <c r="AT28" s="99">
        <f t="shared" ref="AT28:AT29" si="65">AS28/AS$6</f>
        <v>0.01</v>
      </c>
      <c r="AU28" s="84"/>
      <c r="AV28" s="94">
        <f t="shared" ref="AV28" si="66">AV6*0.01</f>
        <v>1.44608</v>
      </c>
      <c r="AW28" s="99">
        <f t="shared" ref="AW28" si="67">AV28/AV$6</f>
        <v>0.01</v>
      </c>
      <c r="AX28" s="94">
        <f t="shared" ref="AX28" si="68">AX6*0.01</f>
        <v>2.7821600000000002</v>
      </c>
      <c r="AY28" s="99">
        <f t="shared" ref="AY28:AY29" si="69">AX28/AX$6</f>
        <v>0.01</v>
      </c>
      <c r="AZ28" s="84"/>
      <c r="BA28" s="94">
        <f t="shared" ref="BA28" si="70">BA6*0.01</f>
        <v>5.5143200000000006</v>
      </c>
      <c r="BB28" s="99">
        <f t="shared" ref="BB28" si="71">BA28/BA$6</f>
        <v>0.01</v>
      </c>
      <c r="BC28" s="94">
        <f t="shared" ref="BC28" si="72">BC6*0.01</f>
        <v>21.5</v>
      </c>
      <c r="BD28" s="99">
        <f t="shared" ref="BD28:BD29" si="73">BC28/BC$6</f>
        <v>0.01</v>
      </c>
      <c r="BE28" s="84"/>
      <c r="BF28" s="94">
        <f>BF6*0.01</f>
        <v>19</v>
      </c>
      <c r="BG28" s="99">
        <f t="shared" si="43"/>
        <v>0.01</v>
      </c>
      <c r="BH28" s="84"/>
      <c r="BI28" s="84"/>
    </row>
    <row r="29" spans="1:61" x14ac:dyDescent="0.2">
      <c r="A29" s="84"/>
      <c r="B29" s="287">
        <f>'Pricing Trends'!R35</f>
        <v>0</v>
      </c>
      <c r="C29" s="249">
        <f>'Pricing Trends'!S35</f>
        <v>0</v>
      </c>
      <c r="D29" s="223">
        <f>'Pricing Trends'!U35</f>
        <v>0</v>
      </c>
      <c r="E29" s="220" t="b">
        <v>0</v>
      </c>
      <c r="F29" s="84"/>
      <c r="G29" s="247" t="s">
        <v>187</v>
      </c>
      <c r="H29" s="84"/>
      <c r="I29" s="94">
        <f>I6*0.03</f>
        <v>1.2926580441129882</v>
      </c>
      <c r="J29" s="99">
        <f t="shared" si="22"/>
        <v>0.03</v>
      </c>
      <c r="K29" s="94">
        <f>K6*0.03</f>
        <v>1.8136543487328405</v>
      </c>
      <c r="L29" s="99">
        <f t="shared" si="23"/>
        <v>0.03</v>
      </c>
      <c r="M29" s="94">
        <f>M6*0.03</f>
        <v>3.5058086974656808</v>
      </c>
      <c r="N29" s="99">
        <f t="shared" si="24"/>
        <v>0.03</v>
      </c>
      <c r="O29" s="94">
        <f>O6*0.03</f>
        <v>3.5058086974656808</v>
      </c>
      <c r="P29" s="99">
        <f t="shared" si="25"/>
        <v>0.03</v>
      </c>
      <c r="Q29" s="94">
        <f>Q6*0.03</f>
        <v>6.786617394931362</v>
      </c>
      <c r="R29" s="99">
        <f t="shared" si="26"/>
        <v>0.03</v>
      </c>
      <c r="S29" s="94">
        <f>S6*0.03</f>
        <v>6.786617394931362</v>
      </c>
      <c r="T29" s="99">
        <f t="shared" si="27"/>
        <v>0.03</v>
      </c>
      <c r="U29" s="84"/>
      <c r="V29" s="94">
        <f t="shared" ref="V29" si="74">V6*0.03</f>
        <v>0.67344156554382262</v>
      </c>
      <c r="W29" s="99">
        <f t="shared" ref="W29" si="75">V29/V$6</f>
        <v>3.0000000000000002E-2</v>
      </c>
      <c r="X29" s="94">
        <f t="shared" ref="X29" si="76">X6*0.03</f>
        <v>1.0824026092397041</v>
      </c>
      <c r="Y29" s="99">
        <f t="shared" ref="Y29" si="77">X29/X$6</f>
        <v>2.9999999999999995E-2</v>
      </c>
      <c r="Z29" s="94">
        <f t="shared" ref="Z29" si="78">Z6*0.03</f>
        <v>1.7640043487328405</v>
      </c>
      <c r="AA29" s="99">
        <f t="shared" ref="AA29" si="79">Z29/Z$6</f>
        <v>0.03</v>
      </c>
      <c r="AB29" s="94">
        <f t="shared" ref="AB29" si="80">AB6*0.03</f>
        <v>3.4080086974656809</v>
      </c>
      <c r="AC29" s="99">
        <f t="shared" ref="AC29" si="81">AB29/AB$6</f>
        <v>2.9999999999999995E-2</v>
      </c>
      <c r="AD29" s="94">
        <f t="shared" ref="AD29" si="82">AD6*0.03</f>
        <v>6.6754875384615495</v>
      </c>
      <c r="AE29" s="99">
        <f t="shared" si="53"/>
        <v>0.03</v>
      </c>
      <c r="AF29" s="131"/>
      <c r="AG29" s="94">
        <f t="shared" ref="AG29" si="83">AG6*0.03</f>
        <v>13.423234789862724</v>
      </c>
      <c r="AH29" s="99">
        <f t="shared" ref="AH29" si="84">AG29/AG$6</f>
        <v>0.03</v>
      </c>
      <c r="AI29" s="94">
        <f t="shared" ref="AI29" si="85">AI6*0.03</f>
        <v>48</v>
      </c>
      <c r="AJ29" s="99">
        <f t="shared" si="57"/>
        <v>0.03</v>
      </c>
      <c r="AK29" s="131"/>
      <c r="AL29" s="94">
        <f t="shared" ref="AL29" si="86">AL6*0.03</f>
        <v>3.855</v>
      </c>
      <c r="AM29" s="99">
        <f t="shared" ref="AM29" si="87">AL29/AL$6</f>
        <v>0.03</v>
      </c>
      <c r="AN29" s="94">
        <f t="shared" ref="AN29" si="88">AN6*0.03</f>
        <v>7.0850999999999997</v>
      </c>
      <c r="AO29" s="99">
        <f t="shared" si="61"/>
        <v>0.03</v>
      </c>
      <c r="AP29" s="84"/>
      <c r="AQ29" s="94">
        <f t="shared" ref="AQ29" si="89">AQ6*0.03</f>
        <v>16.078500000000002</v>
      </c>
      <c r="AR29" s="99">
        <f t="shared" ref="AR29" si="90">AQ29/AQ$6</f>
        <v>3.0000000000000002E-2</v>
      </c>
      <c r="AS29" s="94">
        <f t="shared" ref="AS29" si="91">AS6*0.03</f>
        <v>59.333699999999993</v>
      </c>
      <c r="AT29" s="99">
        <f t="shared" si="65"/>
        <v>2.9999999999999995E-2</v>
      </c>
      <c r="AU29" s="84"/>
      <c r="AV29" s="94">
        <f t="shared" ref="AV29" si="92">AV6*0.03</f>
        <v>4.3382399999999999</v>
      </c>
      <c r="AW29" s="99">
        <f t="shared" ref="AW29" si="93">AV29/AV$6</f>
        <v>0.03</v>
      </c>
      <c r="AX29" s="94">
        <f t="shared" ref="AX29" si="94">AX6*0.03</f>
        <v>8.3464799999999997</v>
      </c>
      <c r="AY29" s="99">
        <f t="shared" si="69"/>
        <v>0.03</v>
      </c>
      <c r="AZ29" s="84"/>
      <c r="BA29" s="94">
        <f t="shared" ref="BA29" si="95">BA6*0.03</f>
        <v>16.542960000000001</v>
      </c>
      <c r="BB29" s="99">
        <f t="shared" ref="BB29" si="96">BA29/BA$6</f>
        <v>0.03</v>
      </c>
      <c r="BC29" s="94">
        <f t="shared" ref="BC29" si="97">BC6*0.03</f>
        <v>64.5</v>
      </c>
      <c r="BD29" s="99">
        <f t="shared" si="73"/>
        <v>0.03</v>
      </c>
      <c r="BE29" s="84"/>
      <c r="BF29" s="94">
        <f>BF6*0.03</f>
        <v>57</v>
      </c>
      <c r="BG29" s="99">
        <f t="shared" si="43"/>
        <v>0.03</v>
      </c>
      <c r="BH29" s="84"/>
      <c r="BI29" s="84"/>
    </row>
    <row r="30" spans="1:61" x14ac:dyDescent="0.2">
      <c r="A30" s="84"/>
      <c r="B30" s="287">
        <f>'Pricing Trends'!R36</f>
        <v>0</v>
      </c>
      <c r="C30" s="249">
        <f>'Pricing Trends'!S36</f>
        <v>0</v>
      </c>
      <c r="D30" s="223">
        <f>'Pricing Trends'!U36</f>
        <v>0</v>
      </c>
      <c r="E30" s="220" t="b">
        <v>0</v>
      </c>
      <c r="F30" s="84"/>
      <c r="G30" s="247" t="s">
        <v>191</v>
      </c>
      <c r="H30" s="84" t="s">
        <v>192</v>
      </c>
      <c r="I30" s="94">
        <f>M30*0.35</f>
        <v>0</v>
      </c>
      <c r="J30" s="99">
        <f t="shared" si="22"/>
        <v>0</v>
      </c>
      <c r="K30" s="94">
        <f>M30*0.5</f>
        <v>0</v>
      </c>
      <c r="L30" s="99">
        <f t="shared" si="23"/>
        <v>0</v>
      </c>
      <c r="M30" s="94">
        <f>((IFERROR(VLOOKUP(I2&amp;$G$11,Validation!$E:$F,2,FALSE),0)*'Pick Up Cost'!$C$16)+(IFERROR(VLOOKUP(I2&amp;$G$8,Validation!$E:$F,2,FALSE),0)*'Pick Up Cost'!$C$16))</f>
        <v>0</v>
      </c>
      <c r="N30" s="99">
        <f t="shared" si="24"/>
        <v>0</v>
      </c>
      <c r="O30" s="94">
        <f>((IFERROR(VLOOKUP(I2&amp;$G$11,Validation!$E:$F,2,FALSE),0)*'Pick Up Cost'!$C$16)+(IFERROR(VLOOKUP(I2&amp;$G$8,Validation!$E:$F,2,FALSE),0)*'Pick Up Cost'!$C$16))</f>
        <v>0</v>
      </c>
      <c r="P30" s="99">
        <f t="shared" si="25"/>
        <v>0</v>
      </c>
      <c r="Q30" s="94">
        <f>M30*2</f>
        <v>0</v>
      </c>
      <c r="R30" s="99">
        <f t="shared" si="26"/>
        <v>0</v>
      </c>
      <c r="S30" s="94">
        <f>M30*2</f>
        <v>0</v>
      </c>
      <c r="T30" s="99">
        <f t="shared" si="27"/>
        <v>0</v>
      </c>
      <c r="U30" s="84"/>
      <c r="V30" s="94">
        <f>$AB30*0.18</f>
        <v>0</v>
      </c>
      <c r="W30" s="99">
        <f>V30/V$6</f>
        <v>0</v>
      </c>
      <c r="X30" s="94">
        <f>$AB30*0.3</f>
        <v>0</v>
      </c>
      <c r="Y30" s="99">
        <f>X30/X$6</f>
        <v>0</v>
      </c>
      <c r="Z30" s="94">
        <f>$AB30*0.5</f>
        <v>0</v>
      </c>
      <c r="AA30" s="99">
        <f>Z30/Z$6</f>
        <v>0</v>
      </c>
      <c r="AB30" s="94">
        <f>((IFERROR(VLOOKUP(V2&amp;$G$11,Validation!$E:$F,2,FALSE),0)*'Pick Up Cost'!$C$16)+(IFERROR(VLOOKUP(V2&amp;$G$8,Validation!$E:$F,2,FALSE),0)*'Pick Up Cost'!$C$16))</f>
        <v>0</v>
      </c>
      <c r="AC30" s="99">
        <f>AB30/AB$6</f>
        <v>0</v>
      </c>
      <c r="AD30" s="94">
        <f>$AB30*2</f>
        <v>0</v>
      </c>
      <c r="AE30" s="99">
        <f>AD30/AD$6</f>
        <v>0</v>
      </c>
      <c r="AF30" s="131"/>
      <c r="AG30" s="94">
        <f>((IFERROR(VLOOKUP(AG2&amp;$G$11,Validation!$E:$F,2,FALSE),0)*'Pick Up Cost'!$C$16)+(IFERROR(VLOOKUP(AG2&amp;$G$8,Validation!$E:$F,2,FALSE),0)*'Pick Up Cost'!$C$16))*AH5</f>
        <v>0</v>
      </c>
      <c r="AH30" s="99">
        <f>AG30/AG$6</f>
        <v>0</v>
      </c>
      <c r="AI30" s="94">
        <f>((IFERROR(VLOOKUP(AG2&amp;$G$11,Validation!$E:$F,2,FALSE),0)*'Pick Up Cost'!$C$16)+(IFERROR(VLOOKUP(AG2&amp;$G$8,Validation!$E:$F,2,FALSE),0)*'Pick Up Cost'!$C$16))*15.66*1.1364</f>
        <v>0</v>
      </c>
      <c r="AJ30" s="99">
        <f>AI30/AI$6</f>
        <v>0</v>
      </c>
      <c r="AK30" s="131"/>
      <c r="AL30" s="94">
        <f>((IFERROR(VLOOKUP(AL2&amp;$G$11,Validation!$E:$F,2,FALSE),0)*'Pick Up Cost'!$C$16)+(IFERROR(VLOOKUP(AL2&amp;$G$8,Validation!$E:$F,2,FALSE),0)*'Pick Up Cost'!$C$16))</f>
        <v>0</v>
      </c>
      <c r="AM30" s="99">
        <f>AL30/AL$6</f>
        <v>0</v>
      </c>
      <c r="AN30" s="94">
        <f>AL30*2</f>
        <v>0</v>
      </c>
      <c r="AO30" s="99">
        <f>AN30/AN$6</f>
        <v>0</v>
      </c>
      <c r="AP30" s="84"/>
      <c r="AQ30" s="94">
        <f>((IFERROR(VLOOKUP(AQ2&amp;$G$11,Validation!$E:$F,2,FALSE),0)*'Pick Up Cost'!$C$16)+(IFERROR(VLOOKUP(AQ2&amp;$G$8,Validation!$E:$F,2,FALSE),0)*'Pick Up Cost'!$C$16))*AR5</f>
        <v>0</v>
      </c>
      <c r="AR30" s="99">
        <f>AQ30/AQ$6</f>
        <v>0</v>
      </c>
      <c r="AS30" s="94">
        <f>((IFERROR(VLOOKUP(AQ2&amp;$G$11,Validation!$E:$F,2,FALSE),0)*'Pick Up Cost'!$C$16)+(IFERROR(VLOOKUP(AQ2&amp;$G$8,Validation!$E:$F,2,FALSE),0)*'Pick Up Cost'!$C$16))*AR5*15.66*1.1364</f>
        <v>0</v>
      </c>
      <c r="AT30" s="99">
        <f>AS30/AS$6</f>
        <v>0</v>
      </c>
      <c r="AU30" s="84"/>
      <c r="AV30" s="94">
        <f>((IFERROR(VLOOKUP(AV2&amp;$G$11,Validation!$E:$F,2,FALSE),0)*'Pick Up Cost'!$C$16)+(IFERROR(VLOOKUP(AV2&amp;$G$8,Validation!$E:$F,2,FALSE),0)*'Pick Up Cost'!$C$16))</f>
        <v>0</v>
      </c>
      <c r="AW30" s="99">
        <f>AV30/AV$6</f>
        <v>0</v>
      </c>
      <c r="AX30" s="94">
        <f>AV30*2</f>
        <v>0</v>
      </c>
      <c r="AY30" s="99">
        <f>AX30/AX$6</f>
        <v>0</v>
      </c>
      <c r="AZ30" s="84"/>
      <c r="BA30" s="94">
        <f>((IFERROR(VLOOKUP(I2&amp;$G$11,Validation!$E:$F,2,FALSE),0)*'Pick Up Cost'!$C$16)+(IFERROR(VLOOKUP(I2&amp;$G$8,Validation!$E:$F,2,FALSE),0)*'Pick Up Cost'!$C$16))*BB5</f>
        <v>0</v>
      </c>
      <c r="BB30" s="99">
        <f>BA30/BA$6</f>
        <v>0</v>
      </c>
      <c r="BC30" s="94">
        <f>((IFERROR(VLOOKUP(I2&amp;$G$11,Validation!$E:$F,2,FALSE),0)*'Pick Up Cost'!$C$16)+(IFERROR(VLOOKUP(I2&amp;$G$8,Validation!$E:$F,2,FALSE),0)*'Pick Up Cost'!$C$16))*15.66*1.1364</f>
        <v>0</v>
      </c>
      <c r="BD30" s="99">
        <f>BC30/BC$6</f>
        <v>0</v>
      </c>
      <c r="BE30" s="84"/>
      <c r="BF30" s="94">
        <f>((IFERROR(VLOOKUP(BF2&amp;$G$11,Validation!$E:$F,2,FALSE),0)*'Pick Up Cost'!$C$16)+(IFERROR(VLOOKUP(BF2&amp;$G$8,Validation!$E:$F,2,FALSE),0)*'Pick Up Cost'!$C$16))*15.66*1.1364</f>
        <v>31.143042000000005</v>
      </c>
      <c r="BG30" s="99">
        <f t="shared" si="43"/>
        <v>1.6391074736842107E-2</v>
      </c>
      <c r="BH30" s="84"/>
      <c r="BI30" s="84"/>
    </row>
    <row r="31" spans="1:61" x14ac:dyDescent="0.2">
      <c r="A31" s="84"/>
      <c r="B31" s="287">
        <f>'Pricing Trends'!R37</f>
        <v>0</v>
      </c>
      <c r="C31" s="249">
        <f>'Pricing Trends'!S37</f>
        <v>0</v>
      </c>
      <c r="D31" s="223">
        <f>'Pricing Trends'!U37</f>
        <v>0</v>
      </c>
      <c r="E31" s="220" t="b">
        <v>0</v>
      </c>
      <c r="F31" s="84"/>
      <c r="G31" s="297" t="s">
        <v>196</v>
      </c>
      <c r="H31" s="84"/>
      <c r="I31" s="94">
        <f>M31*0.35</f>
        <v>1.8054610777974949</v>
      </c>
      <c r="J31" s="99">
        <f t="shared" si="22"/>
        <v>4.1901129676635895E-2</v>
      </c>
      <c r="K31" s="94">
        <f>M31*0.5</f>
        <v>2.5792301111392786</v>
      </c>
      <c r="L31" s="99">
        <f t="shared" si="23"/>
        <v>4.2663533648646924E-2</v>
      </c>
      <c r="M31" s="94">
        <f>((IFERROR(VLOOKUP(I2&amp;$G$7,Validation!$E:$F,2,FALSE),0)*'Shipping Cost'!$E$4)+(IFERROR(VLOOKUP(I2&amp;$G$9,Validation!$E:$F,2,FALSE),0)*'Shipping Cost'!$C$4)+(IFERROR(VLOOKUP(I2&amp;$G$10,Validation!$E:$F,2,FALSE),0)*'Shipping Cost'!$D$4))</f>
        <v>5.1584602222785572</v>
      </c>
      <c r="N31" s="99">
        <f t="shared" si="24"/>
        <v>4.4142113852426376E-2</v>
      </c>
      <c r="O31" s="94">
        <f>((IFERROR(VLOOKUP(I2&amp;$G$7,Validation!$E:$F,2,FALSE),0)*'Shipping Cost'!$E$4)+(IFERROR(VLOOKUP(I2&amp;$G$9,Validation!$E:$F,2,FALSE),0)*'Shipping Cost'!$C$4)+(IFERROR(VLOOKUP(I2&amp;$G$10,Validation!$E:$F,2,FALSE),0)*'Shipping Cost'!$D$4))</f>
        <v>5.1584602222785572</v>
      </c>
      <c r="P31" s="99">
        <f t="shared" si="25"/>
        <v>4.4142113852426376E-2</v>
      </c>
      <c r="Q31" s="94">
        <f>M31*2</f>
        <v>10.316920444557114</v>
      </c>
      <c r="R31" s="99">
        <f t="shared" si="26"/>
        <v>4.5605578644800519E-2</v>
      </c>
      <c r="S31" s="94">
        <f>M31*2</f>
        <v>10.316920444557114</v>
      </c>
      <c r="T31" s="99">
        <f t="shared" si="27"/>
        <v>4.5605578644800519E-2</v>
      </c>
      <c r="U31" s="84"/>
      <c r="V31" s="94">
        <f>$AB31*0.18</f>
        <v>0.92852284001014029</v>
      </c>
      <c r="W31" s="99">
        <f>V31/V$6</f>
        <v>4.136318075022586E-2</v>
      </c>
      <c r="X31" s="94">
        <f>$AB31*0.3</f>
        <v>1.5475380666835672</v>
      </c>
      <c r="Y31" s="99">
        <f>X31/X$6</f>
        <v>4.2891749894355326E-2</v>
      </c>
      <c r="Z31" s="94">
        <f>$AB31*0.5</f>
        <v>2.5792301111392786</v>
      </c>
      <c r="AA31" s="99">
        <f>Z31/Z$6</f>
        <v>4.3864349535057259E-2</v>
      </c>
      <c r="AB31" s="94">
        <f>((IFERROR(VLOOKUP(V2&amp;$G$7,Validation!$E:$F,2,FALSE),0)*'Shipping Cost'!$E$4)+(IFERROR(VLOOKUP(V2&amp;$G$9,Validation!$E:$F,2,FALSE),0)*'Shipping Cost'!$C$4)+(IFERROR(VLOOKUP(V2&amp;$G$10,Validation!$E:$F,2,FALSE),0)*'Shipping Cost'!$D$4))</f>
        <v>5.1584602222785572</v>
      </c>
      <c r="AC31" s="99">
        <f>AB31/AB$6</f>
        <v>4.5408864943166739E-2</v>
      </c>
      <c r="AD31" s="94">
        <f>$AB31*2</f>
        <v>10.316920444557114</v>
      </c>
      <c r="AE31" s="99">
        <f>AD31/AD$6</f>
        <v>4.636479531321893E-2</v>
      </c>
      <c r="AF31" s="131"/>
      <c r="AG31" s="94">
        <f>((IFERROR(VLOOKUP(AG2&amp;$G$7,Validation!$E:$F,2,FALSE),0)*'Shipping Cost'!$E$4)+(IFERROR(VLOOKUP(AG2&amp;$G$9,Validation!$E:$F,2,FALSE),0)*'Shipping Cost'!$C$4)+(IFERROR(VLOOKUP(AG2&amp;$G$10,Validation!$E:$F,2,FALSE),0)*'Shipping Cost'!$D$4))*AH5</f>
        <v>20.633840889114229</v>
      </c>
      <c r="AH31" s="99">
        <f>AG31/AG$6</f>
        <v>4.6115205191889323E-2</v>
      </c>
      <c r="AI31" s="94">
        <f>((IFERROR(VLOOKUP(AG2&amp;$G$7,Validation!$E:$F,2,FALSE),0)*'Shipping Cost'!$E$4)+(IFERROR(VLOOKUP(AG2&amp;$G$9,Validation!$E:$F,2,FALSE),0)*'Shipping Cost'!$C$4)+(IFERROR(VLOOKUP(AG2&amp;$G$10,Validation!$E:$F,2,FALSE),0)*'Shipping Cost'!$D$4))*15.66*1.1364</f>
        <v>91.80008191871454</v>
      </c>
      <c r="AJ31" s="99">
        <f>AI31/AI$6</f>
        <v>5.7375051199196586E-2</v>
      </c>
      <c r="AK31" s="131"/>
      <c r="AL31" s="94">
        <f>((IFERROR(VLOOKUP(AL2&amp;$G$7,Validation!$E:$F,2,FALSE),0)*'Shipping Cost'!$E$4)+(IFERROR(VLOOKUP(AL2&amp;$G$9,Validation!$E:$F,2,FALSE),0)*'Shipping Cost'!$C$4)+(IFERROR(VLOOKUP(AL2&amp;$G$10,Validation!$E:$F,2,FALSE),0)*'Shipping Cost'!$D$4))</f>
        <v>5.2364280119745183</v>
      </c>
      <c r="AM31" s="99">
        <f>AL31/AL$6</f>
        <v>4.0750412544548781E-2</v>
      </c>
      <c r="AN31" s="94">
        <f>AL31*2</f>
        <v>10.472856023949037</v>
      </c>
      <c r="AO31" s="99">
        <f>AN31/AN$6</f>
        <v>4.4344565456870211E-2</v>
      </c>
      <c r="AP31" s="84"/>
      <c r="AQ31" s="94">
        <f>((IFERROR(VLOOKUP(AQ2&amp;$G$7,Validation!$E:$F,2,FALSE),0)*'Shipping Cost'!$E$4)+(IFERROR(VLOOKUP(AQ2&amp;$G$9,Validation!$E:$F,2,FALSE),0)*'Shipping Cost'!$C$4)+(IFERROR(VLOOKUP(AQ2&amp;$G$10,Validation!$E:$F,2,FALSE),0)*'Shipping Cost'!$D$4))*AR5</f>
        <v>21.023679837594035</v>
      </c>
      <c r="AR31" s="99">
        <f>AQ31/AQ$6</f>
        <v>3.9226942508804985E-2</v>
      </c>
      <c r="AS31" s="94">
        <f>((IFERROR(VLOOKUP(I2&amp;$G$7,Validation!$E:$F,2,FALSE),0)*'Shipping Cost'!$E$4)+(IFERROR(VLOOKUP(I2&amp;$G$9,Validation!$E:$F,2,FALSE),0)*'Shipping Cost'!$C$4)+(IFERROR(VLOOKUP(I2&amp;$G$10,Validation!$E:$F,2,FALSE),0)*'Shipping Cost'!$D$4))*15.66*1.1364</f>
        <v>91.80008191871454</v>
      </c>
      <c r="AT31" s="99">
        <f>AS31/AS$6</f>
        <v>4.6415484919387066E-2</v>
      </c>
      <c r="AU31" s="84"/>
      <c r="AV31" s="94">
        <f>((IFERROR(VLOOKUP(AV2&amp;$G$7,Validation!$E:$F,2,FALSE),0)*'Shipping Cost'!$E$4)+(IFERROR(VLOOKUP(AV2&amp;$G$9,Validation!$E:$F,2,FALSE),0)*'Shipping Cost'!$C$4)+(IFERROR(VLOOKUP(AV2&amp;$G$10,Validation!$E:$F,2,FALSE),0)*'Shipping Cost'!$D$4))</f>
        <v>5.2868079199560842</v>
      </c>
      <c r="AW31" s="99">
        <f>AV31/AV$6</f>
        <v>3.6559581212353975E-2</v>
      </c>
      <c r="AX31" s="94">
        <f>AV31*2</f>
        <v>10.573615839912168</v>
      </c>
      <c r="AY31" s="99">
        <f>AX31/AX$6</f>
        <v>3.8005060240648161E-2</v>
      </c>
      <c r="AZ31" s="84"/>
      <c r="BA31" s="94">
        <f>((IFERROR(VLOOKUP(BA2&amp;$G$7,Validation!$E:$F,2,FALSE),0)*'Shipping Cost'!$E$4)+(IFERROR(VLOOKUP(BA2&amp;$G$9,Validation!$E:$F,2,FALSE),0)*'Shipping Cost'!$C$4)+(IFERROR(VLOOKUP(BA2&amp;$G$10,Validation!$E:$F,2,FALSE),0)*'Shipping Cost'!$D$4))*BB5</f>
        <v>21.147231679824337</v>
      </c>
      <c r="BB31" s="99">
        <f>BA31/BA$6</f>
        <v>3.8349663566540092E-2</v>
      </c>
      <c r="BC31" s="94">
        <f>((IFERROR(VLOOKUP(BA2&amp;$G$7,Validation!$E:$F,2,FALSE),0)*'Shipping Cost'!$E$4)+(IFERROR(VLOOKUP(BA2&amp;$G$9,Validation!$E:$F,2,FALSE),0)*'Shipping Cost'!$C$4)+(IFERROR(VLOOKUP(BA2&amp;$G$10,Validation!$E:$F,2,FALSE),0)*'Shipping Cost'!$D$4))*15.66*1.1364</f>
        <v>94.084160626928551</v>
      </c>
      <c r="BD31" s="99">
        <f>BC31/BC$6</f>
        <v>4.3760074710199326E-2</v>
      </c>
      <c r="BE31" s="84"/>
      <c r="BF31" s="94">
        <f>((IFERROR(VLOOKUP(BF2&amp;$G$7,Validation!$E:$F,2,FALSE),0)*'Shipping Cost'!$E$4)+(IFERROR(VLOOKUP(BF2&amp;$G$9,Validation!$E:$F,2,FALSE),0)*'Shipping Cost'!$C$4)+(IFERROR(VLOOKUP(BF2&amp;$G$10,Validation!$E:$F,2,FALSE),0)*'Shipping Cost'!$D$4))</f>
        <v>0</v>
      </c>
      <c r="BG31" s="99">
        <f t="shared" si="43"/>
        <v>0</v>
      </c>
      <c r="BH31" s="84"/>
      <c r="BI31" s="84"/>
    </row>
    <row r="32" spans="1:61" x14ac:dyDescent="0.2">
      <c r="A32" s="84"/>
      <c r="B32" s="287" t="str">
        <f>'Pricing Trends'!R38</f>
        <v>RBD COCONUT OIL</v>
      </c>
      <c r="C32" s="249">
        <f>'Pricing Trends'!S38</f>
        <v>45468</v>
      </c>
      <c r="D32" s="223">
        <f>'Pricing Trends'!U38</f>
        <v>85.357268567405839</v>
      </c>
      <c r="E32" s="220" t="b">
        <v>1</v>
      </c>
      <c r="F32" s="84"/>
      <c r="G32" s="247" t="s">
        <v>400</v>
      </c>
      <c r="H32" s="84"/>
      <c r="I32" s="94">
        <f>I6*0.01</f>
        <v>0.43088601470432941</v>
      </c>
      <c r="J32" s="99">
        <f t="shared" si="22"/>
        <v>0.01</v>
      </c>
      <c r="K32" s="94">
        <f t="shared" ref="K32" si="98">K6*0.01</f>
        <v>0.60455144957761353</v>
      </c>
      <c r="L32" s="99">
        <f t="shared" ref="L32" si="99">K32/K$6</f>
        <v>0.01</v>
      </c>
      <c r="M32" s="94">
        <f t="shared" ref="M32:O32" si="100">M6*0.01</f>
        <v>1.1686028991552271</v>
      </c>
      <c r="N32" s="99">
        <f t="shared" ref="N32" si="101">M32/M$6</f>
        <v>0.01</v>
      </c>
      <c r="O32" s="94">
        <f t="shared" si="100"/>
        <v>1.1686028991552271</v>
      </c>
      <c r="P32" s="99">
        <f t="shared" ref="P32" si="102">O32/O$6</f>
        <v>0.01</v>
      </c>
      <c r="Q32" s="94">
        <f t="shared" ref="Q32" si="103">Q6*0.01</f>
        <v>2.262205798310454</v>
      </c>
      <c r="R32" s="99">
        <f t="shared" ref="R32" si="104">Q32/Q$6</f>
        <v>0.01</v>
      </c>
      <c r="S32" s="94">
        <f t="shared" ref="S32" si="105">S6*0.01</f>
        <v>2.262205798310454</v>
      </c>
      <c r="T32" s="99">
        <f t="shared" ref="T32:T33" si="106">S32/S$6</f>
        <v>0.01</v>
      </c>
      <c r="U32" s="84"/>
      <c r="V32" s="94">
        <f t="shared" ref="V32" si="107">V6*0.01</f>
        <v>0.22448052184794087</v>
      </c>
      <c r="W32" s="99">
        <f t="shared" ref="W32:AE33" si="108">V32/V$6</f>
        <v>0.01</v>
      </c>
      <c r="X32" s="94">
        <f t="shared" ref="X32" si="109">X6*0.01</f>
        <v>0.36080086974656811</v>
      </c>
      <c r="Y32" s="99">
        <f t="shared" ref="Y32" si="110">X32/X$6</f>
        <v>0.01</v>
      </c>
      <c r="Z32" s="94">
        <f t="shared" ref="Z32" si="111">Z6*0.01</f>
        <v>0.58800144957761358</v>
      </c>
      <c r="AA32" s="99">
        <f t="shared" ref="AA32" si="112">Z32/Z$6</f>
        <v>0.01</v>
      </c>
      <c r="AB32" s="94">
        <f t="shared" ref="AB32" si="113">AB6*0.01</f>
        <v>1.1360028991552271</v>
      </c>
      <c r="AC32" s="99">
        <f t="shared" ref="AC32" si="114">AB32/AB$6</f>
        <v>0.01</v>
      </c>
      <c r="AD32" s="94">
        <f t="shared" ref="AD32" si="115">AD6*0.01</f>
        <v>2.2251625128205168</v>
      </c>
      <c r="AE32" s="99">
        <f t="shared" ref="AE32" si="116">AD32/AD$6</f>
        <v>1.0000000000000002E-2</v>
      </c>
      <c r="AF32" s="131"/>
      <c r="AG32" s="94">
        <f t="shared" ref="AG32" si="117">AG6*0.01</f>
        <v>4.4744115966209081</v>
      </c>
      <c r="AH32" s="99">
        <f t="shared" ref="AH32:AJ33" si="118">AG32/AG$6</f>
        <v>0.01</v>
      </c>
      <c r="AI32" s="94">
        <f t="shared" ref="AI32" si="119">AI6*0.01</f>
        <v>16</v>
      </c>
      <c r="AJ32" s="99">
        <f t="shared" ref="AJ32" si="120">AI32/AI$6</f>
        <v>0.01</v>
      </c>
      <c r="AK32" s="131"/>
      <c r="AL32" s="94">
        <f t="shared" ref="AL32" si="121">AL6*0.01</f>
        <v>1.2849999999999999</v>
      </c>
      <c r="AM32" s="99">
        <f t="shared" ref="AM32:AO33" si="122">AL32/AL$6</f>
        <v>0.01</v>
      </c>
      <c r="AN32" s="94">
        <f t="shared" ref="AN32" si="123">AN6*0.01</f>
        <v>2.3616999999999999</v>
      </c>
      <c r="AO32" s="99">
        <f t="shared" ref="AO32" si="124">AN32/AN$6</f>
        <v>0.01</v>
      </c>
      <c r="AP32" s="84"/>
      <c r="AQ32" s="94">
        <f t="shared" ref="AQ32" si="125">AQ6*0.01</f>
        <v>5.3595000000000006</v>
      </c>
      <c r="AR32" s="99">
        <f t="shared" ref="AR32:AT33" si="126">AQ32/AQ$6</f>
        <v>0.01</v>
      </c>
      <c r="AS32" s="94">
        <f t="shared" ref="AS32" si="127">AS6*0.01</f>
        <v>19.777899999999999</v>
      </c>
      <c r="AT32" s="99">
        <f t="shared" ref="AT32" si="128">AS32/AS$6</f>
        <v>0.01</v>
      </c>
      <c r="AU32" s="84"/>
      <c r="AV32" s="94">
        <f t="shared" ref="AV32" si="129">AV6*0.01</f>
        <v>1.44608</v>
      </c>
      <c r="AW32" s="99">
        <f t="shared" ref="AW32:AY33" si="130">AV32/AV$6</f>
        <v>0.01</v>
      </c>
      <c r="AX32" s="94">
        <f t="shared" ref="AX32" si="131">AX6*0.01</f>
        <v>2.7821600000000002</v>
      </c>
      <c r="AY32" s="99">
        <f t="shared" ref="AY32" si="132">AX32/AX$6</f>
        <v>0.01</v>
      </c>
      <c r="AZ32" s="84"/>
      <c r="BA32" s="94">
        <f t="shared" ref="BA32" si="133">BA6*0.01</f>
        <v>5.5143200000000006</v>
      </c>
      <c r="BB32" s="99">
        <f t="shared" ref="BB32:BD33" si="134">BA32/BA$6</f>
        <v>0.01</v>
      </c>
      <c r="BC32" s="94">
        <f t="shared" ref="BC32" si="135">BC6*0.01</f>
        <v>21.5</v>
      </c>
      <c r="BD32" s="99">
        <f t="shared" ref="BD32" si="136">BC32/BC$6</f>
        <v>0.01</v>
      </c>
      <c r="BE32" s="84"/>
      <c r="BF32" s="94">
        <f>BF6*0.01</f>
        <v>19</v>
      </c>
      <c r="BG32" s="99">
        <f t="shared" si="43"/>
        <v>0.01</v>
      </c>
      <c r="BH32" s="84"/>
      <c r="BI32" s="84"/>
    </row>
    <row r="33" spans="1:61" x14ac:dyDescent="0.2">
      <c r="A33" s="84"/>
      <c r="B33" s="287">
        <f>'Pricing Trends'!R39</f>
        <v>0</v>
      </c>
      <c r="C33" s="249">
        <f>'Pricing Trends'!S39</f>
        <v>0</v>
      </c>
      <c r="D33" s="223">
        <f>'Pricing Trends'!U39</f>
        <v>0</v>
      </c>
      <c r="E33" s="220" t="b">
        <v>0</v>
      </c>
      <c r="F33" s="84"/>
      <c r="G33" s="247" t="s">
        <v>204</v>
      </c>
      <c r="H33" s="84"/>
      <c r="I33" s="94">
        <f>I6*0.01</f>
        <v>0.43088601470432941</v>
      </c>
      <c r="J33" s="99">
        <f t="shared" si="22"/>
        <v>0.01</v>
      </c>
      <c r="K33" s="94">
        <f t="shared" ref="K33" si="137">K6*0.01</f>
        <v>0.60455144957761353</v>
      </c>
      <c r="L33" s="99">
        <f t="shared" ref="L33" si="138">K33/K$6</f>
        <v>0.01</v>
      </c>
      <c r="M33" s="94">
        <f t="shared" ref="M33:O33" si="139">M6*0.01</f>
        <v>1.1686028991552271</v>
      </c>
      <c r="N33" s="99">
        <f t="shared" ref="N33" si="140">M33/M$6</f>
        <v>0.01</v>
      </c>
      <c r="O33" s="94">
        <f t="shared" si="139"/>
        <v>1.1686028991552271</v>
      </c>
      <c r="P33" s="99">
        <f t="shared" ref="P33" si="141">O33/O$6</f>
        <v>0.01</v>
      </c>
      <c r="Q33" s="94">
        <f t="shared" ref="Q33" si="142">Q6*0.01</f>
        <v>2.262205798310454</v>
      </c>
      <c r="R33" s="99">
        <f t="shared" ref="R33" si="143">Q33/Q$6</f>
        <v>0.01</v>
      </c>
      <c r="S33" s="94">
        <f t="shared" ref="S33:AD33" si="144">S6*0.01</f>
        <v>2.262205798310454</v>
      </c>
      <c r="T33" s="99">
        <f t="shared" si="106"/>
        <v>0.01</v>
      </c>
      <c r="U33" s="84"/>
      <c r="V33" s="94">
        <f t="shared" si="144"/>
        <v>0.22448052184794087</v>
      </c>
      <c r="W33" s="99">
        <f t="shared" si="108"/>
        <v>0.01</v>
      </c>
      <c r="X33" s="94">
        <f t="shared" si="144"/>
        <v>0.36080086974656811</v>
      </c>
      <c r="Y33" s="99">
        <f t="shared" si="108"/>
        <v>0.01</v>
      </c>
      <c r="Z33" s="94">
        <f t="shared" si="144"/>
        <v>0.58800144957761358</v>
      </c>
      <c r="AA33" s="99">
        <f t="shared" si="108"/>
        <v>0.01</v>
      </c>
      <c r="AB33" s="94">
        <f t="shared" si="144"/>
        <v>1.1360028991552271</v>
      </c>
      <c r="AC33" s="99">
        <f t="shared" si="108"/>
        <v>0.01</v>
      </c>
      <c r="AD33" s="94">
        <f t="shared" si="144"/>
        <v>2.2251625128205168</v>
      </c>
      <c r="AE33" s="99">
        <f t="shared" si="108"/>
        <v>1.0000000000000002E-2</v>
      </c>
      <c r="AF33" s="131"/>
      <c r="AG33" s="94">
        <f t="shared" ref="AG33:AI33" si="145">AG6*0.01</f>
        <v>4.4744115966209081</v>
      </c>
      <c r="AH33" s="99">
        <f t="shared" si="118"/>
        <v>0.01</v>
      </c>
      <c r="AI33" s="94">
        <f t="shared" si="145"/>
        <v>16</v>
      </c>
      <c r="AJ33" s="99">
        <f t="shared" si="118"/>
        <v>0.01</v>
      </c>
      <c r="AK33" s="131"/>
      <c r="AL33" s="94">
        <f t="shared" ref="AL33:AN33" si="146">AL6*0.01</f>
        <v>1.2849999999999999</v>
      </c>
      <c r="AM33" s="99">
        <f t="shared" si="122"/>
        <v>0.01</v>
      </c>
      <c r="AN33" s="94">
        <f t="shared" si="146"/>
        <v>2.3616999999999999</v>
      </c>
      <c r="AO33" s="99">
        <f t="shared" si="122"/>
        <v>0.01</v>
      </c>
      <c r="AP33" s="84"/>
      <c r="AQ33" s="94">
        <f>AQ6*0.01</f>
        <v>5.3595000000000006</v>
      </c>
      <c r="AR33" s="99">
        <f t="shared" si="126"/>
        <v>0.01</v>
      </c>
      <c r="AS33" s="94">
        <f t="shared" ref="AS33" si="147">AS6*0.01</f>
        <v>19.777899999999999</v>
      </c>
      <c r="AT33" s="99">
        <f t="shared" si="126"/>
        <v>0.01</v>
      </c>
      <c r="AU33" s="84"/>
      <c r="AV33" s="94">
        <f t="shared" ref="AV33:AX33" si="148">AV6*0.01</f>
        <v>1.44608</v>
      </c>
      <c r="AW33" s="99">
        <f t="shared" si="130"/>
        <v>0.01</v>
      </c>
      <c r="AX33" s="94">
        <f t="shared" si="148"/>
        <v>2.7821600000000002</v>
      </c>
      <c r="AY33" s="99">
        <f t="shared" si="130"/>
        <v>0.01</v>
      </c>
      <c r="AZ33" s="84"/>
      <c r="BA33" s="94">
        <f t="shared" ref="BA33:BC33" si="149">BA6*0.01</f>
        <v>5.5143200000000006</v>
      </c>
      <c r="BB33" s="99">
        <f t="shared" si="134"/>
        <v>0.01</v>
      </c>
      <c r="BC33" s="94">
        <f t="shared" si="149"/>
        <v>21.5</v>
      </c>
      <c r="BD33" s="99">
        <f t="shared" si="134"/>
        <v>0.01</v>
      </c>
      <c r="BE33" s="84"/>
      <c r="BF33" s="94">
        <f t="shared" ref="BF33" si="150">BF6*0.01</f>
        <v>19</v>
      </c>
      <c r="BG33" s="99">
        <f t="shared" ref="BG33" si="151">BF33/BF$6</f>
        <v>0.01</v>
      </c>
      <c r="BH33" s="84"/>
      <c r="BI33" s="84"/>
    </row>
    <row r="34" spans="1:61" x14ac:dyDescent="0.2">
      <c r="A34" s="84"/>
      <c r="B34" s="287" t="str">
        <f>'Pricing Trends'!R40</f>
        <v>RBD CANOLA OIL</v>
      </c>
      <c r="C34" s="249">
        <f>'Pricing Trends'!S40</f>
        <v>0</v>
      </c>
      <c r="D34" s="223">
        <f>'Pricing Trends'!U40</f>
        <v>83.220041256354207</v>
      </c>
      <c r="E34" s="220" t="b">
        <v>1</v>
      </c>
      <c r="F34" s="84"/>
      <c r="G34" s="297" t="s">
        <v>211</v>
      </c>
      <c r="H34" s="84"/>
      <c r="I34" s="94">
        <f>((I6/1.12)*0.12)-((I17/1.12)*0.12)</f>
        <v>1.8520233242130528</v>
      </c>
      <c r="J34" s="99">
        <f t="shared" si="22"/>
        <v>4.2981746007326245E-2</v>
      </c>
      <c r="K34" s="94">
        <f>((K6/1.12)*0.12)-((K17/1.12)*0.12)</f>
        <v>2.6828819597601443</v>
      </c>
      <c r="L34" s="99">
        <f>K34/K$6</f>
        <v>4.4378058503285599E-2</v>
      </c>
      <c r="M34" s="94">
        <f>((M6/1.12)*0.12)-((M17/1.12)*0.12)</f>
        <v>4.9609424909488604</v>
      </c>
      <c r="N34" s="99">
        <f>M34/M$6</f>
        <v>4.2451909836395949E-2</v>
      </c>
      <c r="O34" s="94">
        <f>((O6/1.12)*0.12)-((O17/1.12)*0.12)</f>
        <v>5.0561210623774313</v>
      </c>
      <c r="P34" s="99">
        <f>O34/O$6</f>
        <v>4.3266374454765243E-2</v>
      </c>
      <c r="Q34" s="94">
        <f>((Q6/1.12)*0.12)-((Q17/1.12)*0.12)</f>
        <v>8.952956410469147</v>
      </c>
      <c r="R34" s="99">
        <f>Q34/Q$6</f>
        <v>3.9576224307955238E-2</v>
      </c>
      <c r="S34" s="94">
        <f>((S6/1.12)*0.12)-((S17/1.12)*0.12)</f>
        <v>8.4672421247548595</v>
      </c>
      <c r="T34" s="99">
        <f>S34/S$6</f>
        <v>3.7429141641660918E-2</v>
      </c>
      <c r="U34" s="84"/>
      <c r="V34" s="94">
        <f>V6*0.02</f>
        <v>0.44896104369588175</v>
      </c>
      <c r="W34" s="99">
        <f>V34/V$6</f>
        <v>0.02</v>
      </c>
      <c r="X34" s="94">
        <f>X6*0.02</f>
        <v>0.72160173949313622</v>
      </c>
      <c r="Y34" s="99">
        <f>X34/X$6</f>
        <v>0.02</v>
      </c>
      <c r="Z34" s="94">
        <f>Z6*0.02</f>
        <v>1.1760028991552272</v>
      </c>
      <c r="AA34" s="99">
        <f>Z34/Z$6</f>
        <v>0.02</v>
      </c>
      <c r="AB34" s="94">
        <f>AB6*0.02</f>
        <v>2.2720057983104542</v>
      </c>
      <c r="AC34" s="99">
        <f>AB34/AB$6</f>
        <v>0.02</v>
      </c>
      <c r="AD34" s="94">
        <f>AD6*0.02</f>
        <v>4.4503250256410336</v>
      </c>
      <c r="AE34" s="99">
        <f>AD34/AD$6</f>
        <v>2.0000000000000004E-2</v>
      </c>
      <c r="AF34" s="131"/>
      <c r="AG34" s="94">
        <f>((AG6/1.12)*0.12)-((AG17/1.12)*0.12)</f>
        <v>17.273948535224012</v>
      </c>
      <c r="AH34" s="99">
        <f>AG34/AG$6</f>
        <v>3.8606078502633423E-2</v>
      </c>
      <c r="AI34" s="94">
        <f>((AI6/1.12)*0.12)-((AI17/1.12)*0.12)</f>
        <v>55.780168817588574</v>
      </c>
      <c r="AJ34" s="99">
        <f>AI34/AI$6</f>
        <v>3.4862605510992857E-2</v>
      </c>
      <c r="AK34" s="131"/>
      <c r="AL34" s="94">
        <f>((AL6/1.12)*0.12)-((AL17/1.12)*0.12)</f>
        <v>4.4123216065982085</v>
      </c>
      <c r="AM34" s="99">
        <f>AL34/AL$6</f>
        <v>3.4337133125277884E-2</v>
      </c>
      <c r="AN34" s="94">
        <f>((AN6/1.12)*0.12)-((AN17/1.12)*0.12)</f>
        <v>6.0846432131964114</v>
      </c>
      <c r="AO34" s="99">
        <f>AN34/AN$6</f>
        <v>2.5763827807072922E-2</v>
      </c>
      <c r="AP34" s="84"/>
      <c r="AQ34" s="94">
        <f>((AQ6/1.12)*0.12)-((AQ17/1.12)*0.12)</f>
        <v>17.085518032991061</v>
      </c>
      <c r="AR34" s="99">
        <f>AQ34/AQ$6</f>
        <v>3.1878940261201714E-2</v>
      </c>
      <c r="AS34" s="94">
        <f>((AS6/1.12)*0.12)-((AS17/1.12)*0.12)</f>
        <v>53.229015912956783</v>
      </c>
      <c r="AT34" s="99">
        <f>AS34/AS$6</f>
        <v>2.6913381053072765E-2</v>
      </c>
      <c r="AU34" s="84"/>
      <c r="AV34" s="94">
        <f>((AV6/1.12)*0.12)-((AV17/1.12)*0.12)</f>
        <v>7.1697280107142856</v>
      </c>
      <c r="AW34" s="99">
        <f>AV34/AV$6</f>
        <v>4.9580438224125119E-2</v>
      </c>
      <c r="AX34" s="94">
        <f>((AX6/1.12)*0.12)-((AX17/1.12)*0.12)</f>
        <v>12.556241735714284</v>
      </c>
      <c r="AY34" s="99">
        <f>AX34/AX$6</f>
        <v>4.5131271155196981E-2</v>
      </c>
      <c r="AZ34" s="84"/>
      <c r="BA34" s="94">
        <f>((BA6/1.12)*0.12)-((BA17/1.12)*0.12)</f>
        <v>24.804804900000001</v>
      </c>
      <c r="BB34" s="99">
        <f>BA34/BA$6</f>
        <v>4.4982527129364999E-2</v>
      </c>
      <c r="BC34" s="94">
        <f>((BC6/1.12)*0.12)-((BC17/1.12)*0.12)</f>
        <v>98.643293333000798</v>
      </c>
      <c r="BD34" s="99">
        <f>BC34/BC$6</f>
        <v>4.5880601550232929E-2</v>
      </c>
      <c r="BE34" s="84"/>
      <c r="BF34" s="94"/>
      <c r="BG34" s="99">
        <f>BF34/BF$6</f>
        <v>0</v>
      </c>
      <c r="BH34" s="84"/>
      <c r="BI34" s="84"/>
    </row>
    <row r="35" spans="1:61" x14ac:dyDescent="0.2">
      <c r="A35" s="84"/>
      <c r="B35" s="287" t="str">
        <f>'Pricing Trends'!R41</f>
        <v>RBD SOYA BEAN OIL</v>
      </c>
      <c r="C35" s="249">
        <f>'Pricing Trends'!S41</f>
        <v>0</v>
      </c>
      <c r="D35" s="223">
        <f>'Pricing Trends'!U41</f>
        <v>81.666041886659627</v>
      </c>
      <c r="E35" s="220" t="b">
        <v>0</v>
      </c>
      <c r="F35" s="84"/>
      <c r="G35" s="247" t="s">
        <v>214</v>
      </c>
      <c r="H35" s="84"/>
      <c r="I35" s="94">
        <f>I6*0.01</f>
        <v>0.43088601470432941</v>
      </c>
      <c r="J35" s="99">
        <f t="shared" si="22"/>
        <v>0.01</v>
      </c>
      <c r="K35" s="94">
        <f>K6*0.01</f>
        <v>0.60455144957761353</v>
      </c>
      <c r="L35" s="99">
        <f>K35/K$6</f>
        <v>0.01</v>
      </c>
      <c r="M35" s="94">
        <f>M6*0.01</f>
        <v>1.1686028991552271</v>
      </c>
      <c r="N35" s="99">
        <f>M35/M$6</f>
        <v>0.01</v>
      </c>
      <c r="O35" s="94">
        <f>O6*0.01</f>
        <v>1.1686028991552271</v>
      </c>
      <c r="P35" s="99">
        <f>O35/O$6</f>
        <v>0.01</v>
      </c>
      <c r="Q35" s="94">
        <f>Q6*0.01</f>
        <v>2.262205798310454</v>
      </c>
      <c r="R35" s="99">
        <f>Q35/Q$6</f>
        <v>0.01</v>
      </c>
      <c r="S35" s="94">
        <f>S6*0.01</f>
        <v>2.262205798310454</v>
      </c>
      <c r="T35" s="99">
        <f>S35/S$6</f>
        <v>0.01</v>
      </c>
      <c r="U35" s="84"/>
      <c r="V35" s="94">
        <f>V6*0.01</f>
        <v>0.22448052184794087</v>
      </c>
      <c r="W35" s="99">
        <f>V35/V$6</f>
        <v>0.01</v>
      </c>
      <c r="X35" s="94">
        <f>X6*0.01</f>
        <v>0.36080086974656811</v>
      </c>
      <c r="Y35" s="99">
        <f>X35/X$6</f>
        <v>0.01</v>
      </c>
      <c r="Z35" s="94">
        <f>Z6*0.01</f>
        <v>0.58800144957761358</v>
      </c>
      <c r="AA35" s="99">
        <f>Z35/Z$6</f>
        <v>0.01</v>
      </c>
      <c r="AB35" s="94">
        <f>AB6*0.01</f>
        <v>1.1360028991552271</v>
      </c>
      <c r="AC35" s="99">
        <f>AB35/AB$6</f>
        <v>0.01</v>
      </c>
      <c r="AD35" s="94">
        <f>AD6*0.01</f>
        <v>2.2251625128205168</v>
      </c>
      <c r="AE35" s="99">
        <f>AD35/AD$6</f>
        <v>1.0000000000000002E-2</v>
      </c>
      <c r="AF35" s="131"/>
      <c r="AG35" s="94">
        <f>AG6*0.01</f>
        <v>4.4744115966209081</v>
      </c>
      <c r="AH35" s="99">
        <f>AG35/AG$6</f>
        <v>0.01</v>
      </c>
      <c r="AI35" s="94">
        <f>AI6*0.01</f>
        <v>16</v>
      </c>
      <c r="AJ35" s="99">
        <f>AI35/AI$6</f>
        <v>0.01</v>
      </c>
      <c r="AK35" s="131"/>
      <c r="AL35" s="94">
        <f>AL6*0.01</f>
        <v>1.2849999999999999</v>
      </c>
      <c r="AM35" s="99">
        <f>AL35/AL$6</f>
        <v>0.01</v>
      </c>
      <c r="AN35" s="94">
        <f>AN6*0.01</f>
        <v>2.3616999999999999</v>
      </c>
      <c r="AO35" s="99">
        <f>AN35/AN$6</f>
        <v>0.01</v>
      </c>
      <c r="AP35" s="84"/>
      <c r="AQ35" s="94">
        <f>AQ6*0.01</f>
        <v>5.3595000000000006</v>
      </c>
      <c r="AR35" s="99">
        <f>AQ35/AQ$6</f>
        <v>0.01</v>
      </c>
      <c r="AS35" s="94">
        <f>AS6*0.01</f>
        <v>19.777899999999999</v>
      </c>
      <c r="AT35" s="99">
        <f>AS35/AS$6</f>
        <v>0.01</v>
      </c>
      <c r="AU35" s="84"/>
      <c r="AV35" s="94">
        <f>AV6*0.01</f>
        <v>1.44608</v>
      </c>
      <c r="AW35" s="99">
        <f>AV35/AV$6</f>
        <v>0.01</v>
      </c>
      <c r="AX35" s="94">
        <f>AX6*0.01</f>
        <v>2.7821600000000002</v>
      </c>
      <c r="AY35" s="99">
        <f>AX35/AX$6</f>
        <v>0.01</v>
      </c>
      <c r="AZ35" s="84"/>
      <c r="BA35" s="94">
        <f>BA6*0.01</f>
        <v>5.5143200000000006</v>
      </c>
      <c r="BB35" s="99">
        <f>BA35/BA$6</f>
        <v>0.01</v>
      </c>
      <c r="BC35" s="94">
        <f>BC6*0.01</f>
        <v>21.5</v>
      </c>
      <c r="BD35" s="99">
        <f>BC35/BC$6</f>
        <v>0.01</v>
      </c>
      <c r="BE35" s="84"/>
      <c r="BF35" s="94"/>
      <c r="BG35" s="99">
        <f>BF35/BF$6</f>
        <v>0</v>
      </c>
      <c r="BH35" s="84"/>
      <c r="BI35" s="84"/>
    </row>
    <row r="36" spans="1:61" x14ac:dyDescent="0.2">
      <c r="A36" s="84"/>
      <c r="B36" s="287">
        <f>'Pricing Trends'!R42</f>
        <v>0</v>
      </c>
      <c r="C36" s="249">
        <f>'Pricing Trends'!S42</f>
        <v>0</v>
      </c>
      <c r="D36" s="223">
        <f>'Pricing Trends'!U42</f>
        <v>0</v>
      </c>
      <c r="E36" s="220" t="b">
        <v>0</v>
      </c>
      <c r="F36" s="84"/>
      <c r="G36" s="243" t="s">
        <v>216</v>
      </c>
      <c r="H36" s="84"/>
      <c r="I36" s="96">
        <f>I18-I19</f>
        <v>-0.86223009891223867</v>
      </c>
      <c r="J36" s="97">
        <f>I36/I6</f>
        <v>-2.001063087424395E-2</v>
      </c>
      <c r="K36" s="96">
        <f>K18-K19</f>
        <v>-0.47535005060023039</v>
      </c>
      <c r="L36" s="97">
        <f>K36/K6</f>
        <v>-7.8628551950763962E-3</v>
      </c>
      <c r="M36" s="96">
        <f>M18-M19</f>
        <v>-2.7941920059623726</v>
      </c>
      <c r="N36" s="97">
        <f>M36/M6</f>
        <v>-2.3910534604888196E-2</v>
      </c>
      <c r="O36" s="96">
        <f>O18-O19</f>
        <v>-1.8010372440576177</v>
      </c>
      <c r="P36" s="97">
        <f>O36/O6</f>
        <v>-1.5411884099890322E-2</v>
      </c>
      <c r="Q36" s="96">
        <f>Q18-Q19</f>
        <v>-10.799788773829533</v>
      </c>
      <c r="R36" s="97">
        <f>Q36/Q6</f>
        <v>-4.7740080862207317E-2</v>
      </c>
      <c r="S36" s="96">
        <f>S18-S19</f>
        <v>-14.847407821448598</v>
      </c>
      <c r="T36" s="97">
        <f>S36/S6</f>
        <v>-6.5632436414659975E-2</v>
      </c>
      <c r="U36" s="84"/>
      <c r="V36" s="96">
        <f>V18-V19</f>
        <v>7.780916360168888E-2</v>
      </c>
      <c r="W36" s="97">
        <f>V36/V6</f>
        <v>3.4661877547841513E-3</v>
      </c>
      <c r="X36" s="96">
        <f>X18-X19</f>
        <v>0.33796527266947685</v>
      </c>
      <c r="Y36" s="97">
        <f>X36/X6</f>
        <v>9.3670858639245715E-3</v>
      </c>
      <c r="Z36" s="96">
        <f>Z18-Z19</f>
        <v>4.2708643433380082</v>
      </c>
      <c r="AA36" s="97">
        <f>Z36/Z6</f>
        <v>7.2633568274465168E-2</v>
      </c>
      <c r="AB36" s="96">
        <f>AB18-AB19</f>
        <v>0.48532868667603424</v>
      </c>
      <c r="AC36" s="97">
        <f>AB36/AB6</f>
        <v>4.2722486627185747E-3</v>
      </c>
      <c r="AD36" s="96">
        <f>AD18-AD19</f>
        <v>1.8150155574944336</v>
      </c>
      <c r="AE36" s="97">
        <f>AD36/AD6</f>
        <v>8.1567775254033064E-3</v>
      </c>
      <c r="AF36" s="131"/>
      <c r="AG36" s="96">
        <f>AG18-AG19</f>
        <v>-25.423946595278039</v>
      </c>
      <c r="AH36" s="97">
        <f>AG36/AG6</f>
        <v>-5.6820759660283146E-2</v>
      </c>
      <c r="AI36" s="96">
        <f>AI18-AI19</f>
        <v>77.916248627856817</v>
      </c>
      <c r="AJ36" s="97">
        <f>AI36/AI6</f>
        <v>4.8697655392410513E-2</v>
      </c>
      <c r="AK36" s="131"/>
      <c r="AL36" s="96">
        <f>AL18-AL19</f>
        <v>-11.066481290322756</v>
      </c>
      <c r="AM36" s="97">
        <f>AL36/AL6</f>
        <v>-8.6120476967492268E-2</v>
      </c>
      <c r="AN36" s="96">
        <f>AN18-AN19</f>
        <v>-38.125723913978888</v>
      </c>
      <c r="AO36" s="97">
        <f>AN36/AN6</f>
        <v>-0.16143339083701946</v>
      </c>
      <c r="AP36" s="84"/>
      <c r="AQ36" s="96">
        <f>AQ18-AQ19</f>
        <v>-56.450342896001899</v>
      </c>
      <c r="AR36" s="97">
        <f>AQ36/AQ6</f>
        <v>-0.10532762924900065</v>
      </c>
      <c r="AS36" s="96">
        <f>AS18-AS19</f>
        <v>-7.4271493107411857</v>
      </c>
      <c r="AT36" s="97">
        <f>AS36/AS6</f>
        <v>-3.7552770065280871E-3</v>
      </c>
      <c r="AU36" s="84"/>
      <c r="AV36" s="96">
        <f>AV18-AV19</f>
        <v>13.602058302662968</v>
      </c>
      <c r="AW36" s="97">
        <f>AV36/AV6</f>
        <v>9.4061589280419952E-2</v>
      </c>
      <c r="AX36" s="96">
        <f>AX18-AX19</f>
        <v>1.8955975577069069</v>
      </c>
      <c r="AY36" s="97">
        <f>AX36/AX6</f>
        <v>6.8134023841436393E-3</v>
      </c>
      <c r="AZ36" s="84"/>
      <c r="BA36" s="96">
        <f>BA18-BA19</f>
        <v>2.669207020175719</v>
      </c>
      <c r="BB36" s="97">
        <f>BA36/BA6</f>
        <v>4.8405007692257952E-3</v>
      </c>
      <c r="BC36" s="96">
        <f>BC18-BC19</f>
        <v>333.82487421474491</v>
      </c>
      <c r="BD36" s="97">
        <f>BC36/BC6</f>
        <v>0.15526738335569532</v>
      </c>
      <c r="BE36" s="84"/>
      <c r="BF36" s="96">
        <f>BF18-BF19</f>
        <v>114.71854840000003</v>
      </c>
      <c r="BG36" s="97">
        <f>BF36/BF6</f>
        <v>6.0378183368421066E-2</v>
      </c>
      <c r="BH36" s="84"/>
      <c r="BI36" s="84"/>
    </row>
    <row r="37" spans="1:61" x14ac:dyDescent="0.2">
      <c r="A37" s="84"/>
      <c r="B37" s="287" t="str">
        <f>'Pricing Trends'!R43</f>
        <v>RBD PALM OLEIN (FOREIGN)</v>
      </c>
      <c r="C37" s="249">
        <f>'Pricing Trends'!S43</f>
        <v>0</v>
      </c>
      <c r="D37" s="223">
        <f>'Pricing Trends'!U43</f>
        <v>64.843398983325557</v>
      </c>
      <c r="E37" s="220" t="b">
        <v>0</v>
      </c>
      <c r="F37" s="84"/>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c r="BH37" s="84"/>
      <c r="BI37" s="84"/>
    </row>
    <row r="38" spans="1:61" x14ac:dyDescent="0.2">
      <c r="A38" s="84"/>
      <c r="B38" s="287">
        <f>'Pricing Trends'!R44</f>
        <v>0</v>
      </c>
      <c r="C38" s="249">
        <f>'Pricing Trends'!S44</f>
        <v>0</v>
      </c>
      <c r="D38" s="223">
        <f>'Pricing Trends'!U44</f>
        <v>0</v>
      </c>
      <c r="E38" s="220" t="b">
        <v>0</v>
      </c>
      <c r="F38" s="84"/>
      <c r="G38" s="260"/>
      <c r="H38" s="260"/>
      <c r="I38" s="260"/>
      <c r="J38" s="260"/>
      <c r="K38" s="260"/>
      <c r="L38" s="260"/>
      <c r="M38" s="260"/>
      <c r="N38" s="260"/>
      <c r="O38" s="296"/>
      <c r="P38" s="262"/>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84"/>
      <c r="BI38" s="84"/>
    </row>
    <row r="39" spans="1:61" x14ac:dyDescent="0.2">
      <c r="A39" s="84"/>
      <c r="B39" s="287" t="str">
        <f>'Pricing Trends'!R45</f>
        <v>RBD PALM OLEIN (FOREIGN)</v>
      </c>
      <c r="C39" s="249">
        <f>'Pricing Trends'!S45</f>
        <v>0</v>
      </c>
      <c r="D39" s="223">
        <f>'Pricing Trends'!U45</f>
        <v>82.366515166275917</v>
      </c>
      <c r="E39" s="220" t="b">
        <v>0</v>
      </c>
      <c r="F39" s="84"/>
      <c r="G39" s="260"/>
      <c r="H39" s="260"/>
      <c r="I39" s="260"/>
      <c r="J39" s="260"/>
      <c r="K39" s="260"/>
      <c r="L39" s="260"/>
      <c r="M39" s="260"/>
      <c r="N39" s="260"/>
      <c r="O39" s="296"/>
      <c r="P39" s="262"/>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84"/>
      <c r="BI39" s="84"/>
    </row>
    <row r="40" spans="1:61" x14ac:dyDescent="0.2">
      <c r="A40" s="84"/>
      <c r="B40" s="287" t="str">
        <f>'Pricing Trends'!R46</f>
        <v>RBD PALM OLEIN (FOREIGN)</v>
      </c>
      <c r="C40" s="249">
        <f>'Pricing Trends'!S46</f>
        <v>0</v>
      </c>
      <c r="D40" s="223">
        <f>'Pricing Trends'!U46</f>
        <v>74.656859937366562</v>
      </c>
      <c r="E40" s="220" t="b">
        <v>0</v>
      </c>
      <c r="F40" s="84"/>
      <c r="G40" s="260"/>
      <c r="H40" s="260"/>
      <c r="I40" s="260"/>
      <c r="J40" s="260"/>
      <c r="K40" s="260"/>
      <c r="L40" s="260"/>
      <c r="M40" s="260"/>
      <c r="N40" s="260"/>
      <c r="O40" s="262"/>
      <c r="P40" s="262"/>
      <c r="Q40" s="260"/>
      <c r="R40" s="260"/>
      <c r="S40" s="260"/>
      <c r="T40" s="260"/>
      <c r="U40" s="260"/>
      <c r="V40" s="260"/>
      <c r="W40" s="260"/>
      <c r="X40" s="260"/>
      <c r="Y40" s="260"/>
      <c r="Z40" s="260"/>
      <c r="AA40" s="260"/>
      <c r="AB40" s="260"/>
      <c r="AC40" s="260"/>
      <c r="AD40" s="260"/>
      <c r="AE40" s="260"/>
      <c r="AF40" s="260"/>
      <c r="AG40" s="260"/>
      <c r="AH40" s="260"/>
      <c r="AI40" s="260"/>
      <c r="AJ40" s="260"/>
      <c r="AK40" s="260"/>
      <c r="AL40" s="260"/>
      <c r="AM40" s="260"/>
      <c r="AN40" s="260"/>
      <c r="AO40" s="260"/>
      <c r="AP40" s="260"/>
      <c r="AQ40" s="260"/>
      <c r="AR40" s="260"/>
      <c r="AS40" s="260"/>
      <c r="AT40" s="260"/>
      <c r="AU40" s="260"/>
      <c r="AV40" s="260"/>
      <c r="AW40" s="260"/>
      <c r="AX40" s="260"/>
      <c r="AY40" s="260"/>
      <c r="AZ40" s="260"/>
      <c r="BA40" s="260"/>
      <c r="BB40" s="260"/>
      <c r="BC40" s="260"/>
      <c r="BD40" s="260"/>
      <c r="BE40" s="260"/>
      <c r="BF40" s="260"/>
      <c r="BG40" s="260"/>
      <c r="BH40" s="84"/>
      <c r="BI40" s="84"/>
    </row>
    <row r="41" spans="1:61" x14ac:dyDescent="0.2">
      <c r="A41" s="84"/>
      <c r="B41" s="287">
        <f>'Pricing Trends'!R47</f>
        <v>0</v>
      </c>
      <c r="C41" s="249">
        <f>'Pricing Trends'!S47</f>
        <v>0</v>
      </c>
      <c r="D41" s="223">
        <f>'Pricing Trends'!U47</f>
        <v>0</v>
      </c>
      <c r="E41" s="220" t="b">
        <v>0</v>
      </c>
      <c r="F41" s="84"/>
      <c r="G41" s="260"/>
      <c r="H41" s="260"/>
      <c r="I41" s="260"/>
      <c r="J41" s="260"/>
      <c r="K41" s="260"/>
      <c r="L41" s="260"/>
      <c r="M41" s="260"/>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260"/>
      <c r="AW41" s="260"/>
      <c r="AX41" s="260"/>
      <c r="AY41" s="260"/>
      <c r="AZ41" s="260"/>
      <c r="BA41" s="260"/>
      <c r="BB41" s="260"/>
      <c r="BC41" s="260"/>
      <c r="BD41" s="260"/>
      <c r="BE41" s="260"/>
      <c r="BF41" s="260"/>
      <c r="BG41" s="260"/>
      <c r="BH41" s="84"/>
      <c r="BI41" s="84"/>
    </row>
    <row r="42" spans="1:61" x14ac:dyDescent="0.2">
      <c r="A42" s="84"/>
      <c r="B42" s="287">
        <f>'Pricing Trends'!R48</f>
        <v>0</v>
      </c>
      <c r="C42" s="249">
        <f>'Pricing Trends'!S48</f>
        <v>0</v>
      </c>
      <c r="D42" s="223">
        <f>'Pricing Trends'!U48</f>
        <v>0</v>
      </c>
      <c r="E42" s="220" t="b">
        <v>0</v>
      </c>
      <c r="F42" s="84"/>
      <c r="G42" s="260"/>
      <c r="H42" s="260"/>
      <c r="I42" s="260"/>
      <c r="J42" s="260"/>
      <c r="K42" s="260"/>
      <c r="L42" s="260"/>
      <c r="M42" s="260"/>
      <c r="N42" s="260"/>
      <c r="O42" s="262"/>
      <c r="P42" s="262"/>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c r="BB42" s="260"/>
      <c r="BC42" s="260"/>
      <c r="BD42" s="260"/>
      <c r="BE42" s="260"/>
      <c r="BF42" s="260"/>
      <c r="BG42" s="260"/>
      <c r="BH42" s="84"/>
      <c r="BI42" s="84"/>
    </row>
    <row r="43" spans="1:61" x14ac:dyDescent="0.2">
      <c r="A43" s="84"/>
      <c r="B43" s="287">
        <f>'Pricing Trends'!R49</f>
        <v>0</v>
      </c>
      <c r="C43" s="249">
        <f>'Pricing Trends'!S49</f>
        <v>0</v>
      </c>
      <c r="D43" s="223">
        <f>'Pricing Trends'!U49</f>
        <v>0</v>
      </c>
      <c r="E43" s="220" t="b">
        <v>0</v>
      </c>
      <c r="F43" s="84"/>
      <c r="G43" s="260"/>
      <c r="H43" s="260"/>
      <c r="I43" s="260"/>
      <c r="J43" s="260"/>
      <c r="K43" s="260"/>
      <c r="L43" s="260"/>
      <c r="M43" s="260"/>
      <c r="N43" s="260"/>
      <c r="O43" s="262"/>
      <c r="P43" s="262"/>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c r="AO43" s="260"/>
      <c r="AP43" s="260"/>
      <c r="AQ43" s="260"/>
      <c r="AR43" s="260"/>
      <c r="AS43" s="260"/>
      <c r="AT43" s="260"/>
      <c r="AU43" s="260"/>
      <c r="AV43" s="260"/>
      <c r="AW43" s="260"/>
      <c r="AX43" s="260"/>
      <c r="AY43" s="260"/>
      <c r="AZ43" s="260"/>
      <c r="BA43" s="260"/>
      <c r="BB43" s="260"/>
      <c r="BC43" s="260"/>
      <c r="BD43" s="260"/>
      <c r="BE43" s="260"/>
      <c r="BF43" s="260"/>
      <c r="BG43" s="260"/>
      <c r="BH43" s="84"/>
      <c r="BI43" s="84"/>
    </row>
    <row r="44" spans="1:61" x14ac:dyDescent="0.2">
      <c r="A44" s="84"/>
      <c r="B44" s="287">
        <f>'Pricing Trends'!R50</f>
        <v>0</v>
      </c>
      <c r="C44" s="249">
        <f>'Pricing Trends'!S50</f>
        <v>0</v>
      </c>
      <c r="D44" s="223">
        <f>'Pricing Trends'!U50</f>
        <v>0</v>
      </c>
      <c r="E44" s="220" t="b">
        <v>0</v>
      </c>
      <c r="F44" s="84"/>
      <c r="G44" s="260"/>
      <c r="H44" s="260"/>
      <c r="I44" s="260"/>
      <c r="J44" s="260"/>
      <c r="K44" s="260"/>
      <c r="L44" s="260"/>
      <c r="M44" s="260"/>
      <c r="N44" s="260"/>
      <c r="O44" s="260"/>
      <c r="P44" s="262"/>
      <c r="Q44" s="260"/>
      <c r="R44" s="260"/>
      <c r="S44" s="263"/>
      <c r="T44" s="260"/>
      <c r="U44" s="260"/>
      <c r="V44" s="260"/>
      <c r="W44" s="260"/>
      <c r="X44" s="260"/>
      <c r="Y44" s="260"/>
      <c r="Z44" s="260"/>
      <c r="AA44" s="260"/>
      <c r="AB44" s="260"/>
      <c r="AC44" s="260"/>
      <c r="AD44" s="260"/>
      <c r="AE44" s="260"/>
      <c r="AF44" s="260"/>
      <c r="AG44" s="260"/>
      <c r="AH44" s="260"/>
      <c r="AI44" s="260"/>
      <c r="AJ44" s="260"/>
      <c r="AK44" s="260"/>
      <c r="AL44" s="260"/>
      <c r="AM44" s="260"/>
      <c r="AN44" s="260"/>
      <c r="AO44" s="260"/>
      <c r="AP44" s="260"/>
      <c r="AQ44" s="260"/>
      <c r="AR44" s="260"/>
      <c r="AS44" s="260"/>
      <c r="AT44" s="260"/>
      <c r="AU44" s="260"/>
      <c r="AV44" s="260"/>
      <c r="AW44" s="260"/>
      <c r="AX44" s="260"/>
      <c r="AY44" s="260"/>
      <c r="AZ44" s="260"/>
      <c r="BA44" s="260"/>
      <c r="BB44" s="260"/>
      <c r="BC44" s="260"/>
      <c r="BD44" s="260"/>
      <c r="BE44" s="260"/>
      <c r="BF44" s="260"/>
      <c r="BG44" s="260"/>
      <c r="BH44" s="84"/>
      <c r="BI44" s="84"/>
    </row>
    <row r="45" spans="1:61" x14ac:dyDescent="0.2">
      <c r="A45" s="84"/>
      <c r="B45" s="287">
        <f>'Pricing Trends'!R51</f>
        <v>0</v>
      </c>
      <c r="C45" s="249">
        <f>'Pricing Trends'!S51</f>
        <v>0</v>
      </c>
      <c r="D45" s="223">
        <f>'Pricing Trends'!U51</f>
        <v>0</v>
      </c>
      <c r="E45" s="220" t="b">
        <v>0</v>
      </c>
      <c r="F45" s="84"/>
      <c r="G45" s="260"/>
      <c r="H45" s="260"/>
      <c r="I45" s="260"/>
      <c r="J45" s="260"/>
      <c r="K45" s="260"/>
      <c r="L45" s="260"/>
      <c r="M45" s="260"/>
      <c r="N45" s="260"/>
      <c r="O45" s="260"/>
      <c r="P45" s="262"/>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c r="AO45" s="260"/>
      <c r="AP45" s="260"/>
      <c r="AQ45" s="260"/>
      <c r="AR45" s="260"/>
      <c r="AS45" s="260"/>
      <c r="AT45" s="260"/>
      <c r="AU45" s="260"/>
      <c r="AV45" s="260"/>
      <c r="AW45" s="260"/>
      <c r="AX45" s="260"/>
      <c r="AY45" s="260"/>
      <c r="AZ45" s="260"/>
      <c r="BA45" s="260"/>
      <c r="BB45" s="260"/>
      <c r="BC45" s="260"/>
      <c r="BD45" s="260"/>
      <c r="BE45" s="260"/>
      <c r="BF45" s="260"/>
      <c r="BG45" s="260"/>
      <c r="BH45" s="84"/>
      <c r="BI45" s="84"/>
    </row>
    <row r="46" spans="1:61" x14ac:dyDescent="0.2">
      <c r="A46" s="84"/>
      <c r="B46" s="287">
        <f>'Pricing Trends'!R52</f>
        <v>0</v>
      </c>
      <c r="C46" s="249">
        <f>'Pricing Trends'!S52</f>
        <v>0</v>
      </c>
      <c r="D46" s="223">
        <f>'Pricing Trends'!U52</f>
        <v>0</v>
      </c>
      <c r="E46" s="220" t="b">
        <v>0</v>
      </c>
      <c r="F46" s="84"/>
      <c r="G46" s="260"/>
      <c r="H46" s="260"/>
      <c r="I46" s="260"/>
      <c r="J46" s="260"/>
      <c r="K46" s="260"/>
      <c r="L46" s="260"/>
      <c r="M46" s="260"/>
      <c r="N46" s="260"/>
      <c r="O46" s="260"/>
      <c r="P46" s="262"/>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84"/>
      <c r="BI46" s="84"/>
    </row>
    <row r="47" spans="1:61" x14ac:dyDescent="0.2">
      <c r="A47" s="84"/>
      <c r="B47" s="287">
        <f>'Pricing Trends'!R53</f>
        <v>0</v>
      </c>
      <c r="C47" s="249">
        <f>'Pricing Trends'!S53</f>
        <v>0</v>
      </c>
      <c r="D47" s="223">
        <f>'Pricing Trends'!U53</f>
        <v>0</v>
      </c>
      <c r="E47" s="220" t="b">
        <v>0</v>
      </c>
      <c r="F47" s="84"/>
      <c r="G47" s="260"/>
      <c r="H47" s="260"/>
      <c r="I47" s="260"/>
      <c r="J47" s="260"/>
      <c r="K47" s="260"/>
      <c r="L47" s="260"/>
      <c r="M47" s="260"/>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c r="AO47" s="260"/>
      <c r="AP47" s="260"/>
      <c r="AQ47" s="260"/>
      <c r="AR47" s="260"/>
      <c r="AS47" s="260"/>
      <c r="AT47" s="260"/>
      <c r="AU47" s="260"/>
      <c r="AV47" s="260"/>
      <c r="AW47" s="260"/>
      <c r="AX47" s="260"/>
      <c r="AY47" s="260"/>
      <c r="AZ47" s="260"/>
      <c r="BA47" s="260"/>
      <c r="BB47" s="260"/>
      <c r="BC47" s="260"/>
      <c r="BD47" s="260"/>
      <c r="BE47" s="260"/>
      <c r="BF47" s="260"/>
      <c r="BG47" s="260"/>
      <c r="BH47" s="84"/>
      <c r="BI47" s="84"/>
    </row>
    <row r="48" spans="1:61" x14ac:dyDescent="0.2">
      <c r="A48" s="84"/>
      <c r="B48" s="287">
        <f>'Pricing Trends'!R54</f>
        <v>0</v>
      </c>
      <c r="C48" s="249">
        <f>'Pricing Trends'!S54</f>
        <v>0</v>
      </c>
      <c r="D48" s="223">
        <f>'Pricing Trends'!U54</f>
        <v>0</v>
      </c>
      <c r="E48" s="220" t="b">
        <v>0</v>
      </c>
      <c r="F48" s="84"/>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c r="BH48" s="84"/>
      <c r="BI48" s="84"/>
    </row>
    <row r="49" spans="1:61" x14ac:dyDescent="0.2">
      <c r="A49" s="84"/>
      <c r="B49" s="287">
        <f>'Pricing Trends'!R55</f>
        <v>0</v>
      </c>
      <c r="C49" s="249">
        <f>'Pricing Trends'!S55</f>
        <v>0</v>
      </c>
      <c r="D49" s="223">
        <f>'Pricing Trends'!U55</f>
        <v>0</v>
      </c>
      <c r="E49" s="220" t="b">
        <v>0</v>
      </c>
      <c r="F49" s="84"/>
      <c r="G49" s="260"/>
      <c r="H49" s="260"/>
      <c r="I49" s="260"/>
      <c r="J49" s="260"/>
      <c r="K49" s="260"/>
      <c r="L49" s="260"/>
      <c r="M49" s="260"/>
      <c r="N49" s="260"/>
      <c r="O49" s="260"/>
      <c r="P49" s="260"/>
      <c r="Q49" s="260"/>
      <c r="R49" s="260"/>
      <c r="S49" s="260"/>
      <c r="T49" s="260"/>
      <c r="U49" s="260"/>
      <c r="V49" s="261"/>
      <c r="W49" s="261"/>
      <c r="X49" s="261"/>
      <c r="Y49" s="261"/>
      <c r="Z49" s="261"/>
      <c r="AA49" s="261"/>
      <c r="AB49" s="261"/>
      <c r="AC49" s="261"/>
      <c r="AD49" s="261"/>
      <c r="AE49" s="261"/>
      <c r="AF49" s="260"/>
      <c r="AG49" s="261"/>
      <c r="AH49" s="260"/>
      <c r="AI49" s="261"/>
      <c r="AJ49" s="260"/>
      <c r="AK49" s="260"/>
      <c r="AL49" s="260"/>
      <c r="AM49" s="260"/>
      <c r="AN49" s="260"/>
      <c r="AO49" s="260"/>
      <c r="AP49" s="260"/>
      <c r="AQ49" s="260"/>
      <c r="AR49" s="260"/>
      <c r="AS49" s="260"/>
      <c r="AT49" s="260"/>
      <c r="AU49" s="260"/>
      <c r="AV49" s="260"/>
      <c r="AW49" s="260"/>
      <c r="AX49" s="260"/>
      <c r="AY49" s="260"/>
      <c r="AZ49" s="260"/>
      <c r="BA49" s="260"/>
      <c r="BB49" s="260"/>
      <c r="BC49" s="260"/>
      <c r="BD49" s="260"/>
      <c r="BE49" s="84"/>
      <c r="BF49" s="84"/>
      <c r="BG49" s="84"/>
      <c r="BH49" s="84"/>
      <c r="BI49" s="84"/>
    </row>
    <row r="50" spans="1:61" x14ac:dyDescent="0.2">
      <c r="A50" s="84"/>
      <c r="B50" s="226"/>
      <c r="C50" s="226"/>
      <c r="D50" s="84"/>
      <c r="E50" s="84"/>
      <c r="F50" s="84"/>
      <c r="G50" s="260"/>
      <c r="H50" s="260"/>
      <c r="I50" s="260"/>
      <c r="J50" s="260"/>
      <c r="K50" s="260"/>
      <c r="L50" s="260"/>
      <c r="M50" s="260"/>
      <c r="N50" s="260"/>
      <c r="O50" s="260"/>
      <c r="P50" s="260"/>
      <c r="Q50" s="260"/>
      <c r="R50" s="260"/>
      <c r="S50" s="260"/>
      <c r="T50" s="260"/>
      <c r="U50" s="260"/>
      <c r="V50" s="261"/>
      <c r="W50" s="261"/>
      <c r="X50" s="261"/>
      <c r="Y50" s="261"/>
      <c r="Z50" s="261"/>
      <c r="AA50" s="261"/>
      <c r="AB50" s="261"/>
      <c r="AC50" s="261"/>
      <c r="AD50" s="261"/>
      <c r="AE50" s="261"/>
      <c r="AF50" s="260"/>
      <c r="AG50" s="261"/>
      <c r="AH50" s="260"/>
      <c r="AI50" s="261"/>
      <c r="AJ50" s="260"/>
      <c r="AK50" s="260"/>
      <c r="AL50" s="260"/>
      <c r="AM50" s="260"/>
      <c r="AN50" s="260"/>
      <c r="AO50" s="260"/>
      <c r="AP50" s="260"/>
      <c r="AQ50" s="260"/>
      <c r="AR50" s="260"/>
      <c r="AS50" s="260"/>
      <c r="AT50" s="260"/>
      <c r="AU50" s="260"/>
      <c r="AV50" s="260"/>
      <c r="AW50" s="260"/>
      <c r="AX50" s="260"/>
      <c r="AY50" s="260"/>
      <c r="AZ50" s="260"/>
      <c r="BA50" s="260"/>
      <c r="BB50" s="260"/>
      <c r="BC50" s="260"/>
      <c r="BD50" s="260"/>
      <c r="BE50" s="84"/>
      <c r="BF50" s="84"/>
      <c r="BG50" s="84"/>
      <c r="BH50" s="84"/>
      <c r="BI50" s="84"/>
    </row>
    <row r="51" spans="1:61" x14ac:dyDescent="0.2">
      <c r="A51" s="84"/>
      <c r="B51" s="226"/>
      <c r="C51" s="226"/>
      <c r="D51" s="85"/>
      <c r="E51" s="84"/>
      <c r="F51" s="84"/>
      <c r="G51" s="260"/>
      <c r="H51" s="260"/>
      <c r="I51" s="261"/>
      <c r="J51" s="261"/>
      <c r="K51" s="261"/>
      <c r="L51" s="261"/>
      <c r="M51" s="261"/>
      <c r="N51" s="261"/>
      <c r="O51" s="261"/>
      <c r="P51" s="261"/>
      <c r="Q51" s="261"/>
      <c r="R51" s="260"/>
      <c r="S51" s="261"/>
      <c r="T51" s="260"/>
      <c r="U51" s="260"/>
      <c r="V51" s="261"/>
      <c r="W51" s="261"/>
      <c r="X51" s="261"/>
      <c r="Y51" s="261"/>
      <c r="Z51" s="261"/>
      <c r="AA51" s="261"/>
      <c r="AB51" s="261"/>
      <c r="AC51" s="261"/>
      <c r="AD51" s="261"/>
      <c r="AE51" s="261"/>
      <c r="AF51" s="260"/>
      <c r="AG51" s="261"/>
      <c r="AH51" s="260"/>
      <c r="AI51" s="261"/>
      <c r="AJ51" s="260"/>
      <c r="AK51" s="260"/>
      <c r="AL51" s="262"/>
      <c r="AM51" s="260"/>
      <c r="AN51" s="262"/>
      <c r="AO51" s="260"/>
      <c r="AP51" s="260"/>
      <c r="AQ51" s="262"/>
      <c r="AR51" s="262"/>
      <c r="AS51" s="262"/>
      <c r="AT51" s="262"/>
      <c r="AU51" s="260"/>
      <c r="AV51" s="262"/>
      <c r="AW51" s="260"/>
      <c r="AX51" s="262"/>
      <c r="AY51" s="260"/>
      <c r="AZ51" s="260"/>
      <c r="BA51" s="262"/>
      <c r="BB51" s="260"/>
      <c r="BC51" s="260"/>
      <c r="BD51" s="260"/>
      <c r="BE51" s="84"/>
      <c r="BF51" s="85"/>
      <c r="BG51" s="84"/>
      <c r="BH51" s="84"/>
      <c r="BI51" s="84"/>
    </row>
    <row r="52" spans="1:61" x14ac:dyDescent="0.2">
      <c r="A52" s="84"/>
      <c r="B52" s="226"/>
      <c r="C52" s="226"/>
      <c r="D52" s="85"/>
      <c r="E52" s="84"/>
      <c r="F52" s="84"/>
      <c r="G52" s="84"/>
      <c r="H52" s="84"/>
      <c r="I52" s="131"/>
      <c r="J52" s="131"/>
      <c r="K52" s="131"/>
      <c r="L52" s="131"/>
      <c r="M52" s="131"/>
      <c r="N52" s="131"/>
      <c r="O52" s="131"/>
      <c r="P52" s="131"/>
      <c r="Q52" s="131"/>
      <c r="R52" s="84"/>
      <c r="S52" s="131"/>
      <c r="T52" s="84"/>
      <c r="U52" s="84"/>
      <c r="V52" s="131"/>
      <c r="W52" s="131"/>
      <c r="X52" s="131"/>
      <c r="Y52" s="131"/>
      <c r="Z52" s="131"/>
      <c r="AA52" s="131"/>
      <c r="AB52" s="131"/>
      <c r="AC52" s="131"/>
      <c r="AD52" s="131"/>
      <c r="AE52" s="131"/>
      <c r="AF52" s="84"/>
      <c r="AG52" s="131"/>
      <c r="AH52" s="84"/>
      <c r="AI52" s="131"/>
      <c r="AJ52" s="84"/>
      <c r="AK52" s="84"/>
      <c r="AL52" s="85"/>
      <c r="AM52" s="84"/>
      <c r="AN52" s="85"/>
      <c r="AO52" s="84"/>
      <c r="AP52" s="84"/>
      <c r="AQ52" s="85"/>
      <c r="AR52" s="85"/>
      <c r="AS52" s="85"/>
      <c r="AT52" s="85"/>
      <c r="AU52" s="84"/>
      <c r="AV52" s="85"/>
      <c r="AW52" s="84"/>
      <c r="AX52" s="85"/>
      <c r="AY52" s="84"/>
      <c r="AZ52" s="84"/>
      <c r="BA52" s="85"/>
      <c r="BB52" s="84"/>
      <c r="BC52" s="84"/>
      <c r="BD52" s="84"/>
      <c r="BE52" s="84"/>
      <c r="BF52" s="85"/>
      <c r="BG52" s="84"/>
      <c r="BH52" s="84"/>
      <c r="BI52" s="84"/>
    </row>
    <row r="53" spans="1:61" x14ac:dyDescent="0.2">
      <c r="A53" s="84"/>
      <c r="B53" s="226"/>
      <c r="C53" s="226"/>
      <c r="D53" s="84"/>
      <c r="E53" s="84"/>
      <c r="F53" s="84"/>
      <c r="G53" s="84"/>
      <c r="H53" s="84"/>
      <c r="I53" s="131"/>
      <c r="J53" s="131"/>
      <c r="K53" s="131"/>
      <c r="L53" s="131"/>
      <c r="M53" s="131"/>
      <c r="N53" s="131"/>
      <c r="O53" s="131"/>
      <c r="P53" s="131"/>
      <c r="Q53" s="131"/>
      <c r="R53" s="84"/>
      <c r="S53" s="131"/>
      <c r="T53" s="84"/>
      <c r="U53" s="84"/>
      <c r="V53" s="131"/>
      <c r="W53" s="131"/>
      <c r="X53" s="131"/>
      <c r="Y53" s="131"/>
      <c r="Z53" s="131"/>
      <c r="AA53" s="131"/>
      <c r="AB53" s="131"/>
      <c r="AC53" s="131"/>
      <c r="AD53" s="131"/>
      <c r="AE53" s="131"/>
      <c r="AF53" s="84"/>
      <c r="AG53" s="131"/>
      <c r="AH53" s="84"/>
      <c r="AI53" s="131"/>
      <c r="AJ53" s="84"/>
      <c r="AK53" s="84"/>
      <c r="AL53" s="85"/>
      <c r="AM53" s="84"/>
      <c r="AN53" s="85"/>
      <c r="AO53" s="84"/>
      <c r="AP53" s="84"/>
      <c r="AQ53" s="85"/>
      <c r="AR53" s="85"/>
      <c r="AS53" s="85"/>
      <c r="AT53" s="85"/>
      <c r="AU53" s="84"/>
      <c r="AV53" s="85"/>
      <c r="AW53" s="84"/>
      <c r="AX53" s="85"/>
      <c r="AY53" s="84"/>
      <c r="AZ53" s="84"/>
      <c r="BA53" s="85"/>
      <c r="BB53" s="84"/>
      <c r="BC53" s="84"/>
      <c r="BD53" s="84"/>
      <c r="BE53" s="84"/>
      <c r="BF53" s="85"/>
      <c r="BG53" s="84"/>
      <c r="BH53" s="84"/>
      <c r="BI53" s="84"/>
    </row>
    <row r="54" spans="1:61" x14ac:dyDescent="0.2">
      <c r="A54" s="84"/>
      <c r="B54" s="226"/>
      <c r="C54" s="226"/>
      <c r="D54" s="84"/>
      <c r="E54" s="84"/>
      <c r="F54" s="84"/>
      <c r="G54" s="84"/>
      <c r="H54" s="84"/>
      <c r="I54" s="131"/>
      <c r="J54" s="131"/>
      <c r="K54" s="131"/>
      <c r="L54" s="131"/>
      <c r="M54" s="131"/>
      <c r="N54" s="131"/>
      <c r="O54" s="131"/>
      <c r="P54" s="131"/>
      <c r="Q54" s="131"/>
      <c r="R54" s="84"/>
      <c r="S54" s="131"/>
      <c r="T54" s="84"/>
      <c r="U54" s="84"/>
      <c r="V54" s="131"/>
      <c r="W54" s="131"/>
      <c r="X54" s="131"/>
      <c r="Y54" s="131"/>
      <c r="Z54" s="131"/>
      <c r="AA54" s="131"/>
      <c r="AB54" s="131"/>
      <c r="AC54" s="131"/>
      <c r="AD54" s="131"/>
      <c r="AE54" s="131"/>
      <c r="AF54" s="84"/>
      <c r="AG54" s="131"/>
      <c r="AH54" s="84"/>
      <c r="AI54" s="131"/>
      <c r="AJ54" s="84"/>
      <c r="AK54" s="84"/>
      <c r="AL54" s="85"/>
      <c r="AM54" s="84"/>
      <c r="AN54" s="85"/>
      <c r="AO54" s="84"/>
      <c r="AP54" s="84"/>
      <c r="AQ54" s="85"/>
      <c r="AR54" s="85"/>
      <c r="AS54" s="85"/>
      <c r="AT54" s="85"/>
      <c r="AU54" s="84"/>
      <c r="AV54" s="85"/>
      <c r="AW54" s="84"/>
      <c r="AX54" s="85"/>
      <c r="AY54" s="84"/>
      <c r="AZ54" s="84"/>
      <c r="BA54" s="85"/>
      <c r="BB54" s="84"/>
      <c r="BC54" s="84"/>
      <c r="BD54" s="84"/>
      <c r="BE54" s="84"/>
      <c r="BF54" s="85"/>
      <c r="BG54" s="84"/>
      <c r="BH54" s="84"/>
      <c r="BI54" s="84"/>
    </row>
    <row r="55" spans="1:61" x14ac:dyDescent="0.2">
      <c r="A55" s="84"/>
      <c r="B55" s="226"/>
      <c r="C55" s="226"/>
      <c r="D55" s="84"/>
      <c r="E55" s="84"/>
      <c r="F55" s="84"/>
      <c r="G55" s="84"/>
      <c r="H55" s="84"/>
      <c r="I55" s="131"/>
      <c r="J55" s="131"/>
      <c r="K55" s="131"/>
      <c r="L55" s="131"/>
      <c r="M55" s="131"/>
      <c r="N55" s="131"/>
      <c r="O55" s="131"/>
      <c r="P55" s="131"/>
      <c r="Q55" s="131"/>
      <c r="R55" s="84"/>
      <c r="S55" s="131"/>
      <c r="T55" s="84"/>
      <c r="U55" s="84"/>
      <c r="V55" s="131"/>
      <c r="W55" s="131"/>
      <c r="X55" s="131"/>
      <c r="Y55" s="131"/>
      <c r="Z55" s="131"/>
      <c r="AA55" s="131"/>
      <c r="AB55" s="131"/>
      <c r="AC55" s="131"/>
      <c r="AD55" s="131"/>
      <c r="AE55" s="131"/>
      <c r="AF55" s="84"/>
      <c r="AG55" s="131"/>
      <c r="AH55" s="84"/>
      <c r="AI55" s="131"/>
      <c r="AJ55" s="84"/>
      <c r="AK55" s="84"/>
      <c r="AL55" s="85"/>
      <c r="AM55" s="84"/>
      <c r="AN55" s="85"/>
      <c r="AO55" s="84"/>
      <c r="AP55" s="84"/>
      <c r="AQ55" s="85"/>
      <c r="AR55" s="85"/>
      <c r="AS55" s="85"/>
      <c r="AT55" s="85"/>
      <c r="AU55" s="84"/>
      <c r="AV55" s="85"/>
      <c r="AW55" s="84"/>
      <c r="AX55" s="85"/>
      <c r="AY55" s="84"/>
      <c r="AZ55" s="84"/>
      <c r="BA55" s="85"/>
      <c r="BB55" s="84"/>
      <c r="BC55" s="84"/>
      <c r="BD55" s="84"/>
      <c r="BE55" s="84"/>
      <c r="BF55" s="85"/>
      <c r="BG55" s="84"/>
      <c r="BH55" s="84"/>
      <c r="BI55" s="84"/>
    </row>
    <row r="56" spans="1:61" x14ac:dyDescent="0.2">
      <c r="A56" s="84"/>
      <c r="B56" s="226"/>
      <c r="C56" s="226"/>
      <c r="D56" s="84"/>
      <c r="E56" s="84"/>
      <c r="F56" s="84"/>
      <c r="G56" s="84"/>
      <c r="H56" s="84"/>
      <c r="I56" s="131"/>
      <c r="J56" s="131"/>
      <c r="K56" s="131"/>
      <c r="L56" s="131"/>
      <c r="M56" s="131"/>
      <c r="N56" s="131"/>
      <c r="O56" s="131"/>
      <c r="P56" s="131"/>
      <c r="Q56" s="131"/>
      <c r="R56" s="84"/>
      <c r="S56" s="131"/>
      <c r="T56" s="84"/>
      <c r="U56" s="84"/>
      <c r="V56" s="131"/>
      <c r="W56" s="131"/>
      <c r="X56" s="131"/>
      <c r="Y56" s="131"/>
      <c r="Z56" s="131"/>
      <c r="AA56" s="131"/>
      <c r="AB56" s="131"/>
      <c r="AC56" s="131"/>
      <c r="AD56" s="131"/>
      <c r="AE56" s="131"/>
      <c r="AF56" s="84"/>
      <c r="AG56" s="131"/>
      <c r="AH56" s="84"/>
      <c r="AI56" s="131"/>
      <c r="AJ56" s="84"/>
      <c r="AK56" s="84"/>
      <c r="AL56" s="85"/>
      <c r="AM56" s="84"/>
      <c r="AN56" s="85"/>
      <c r="AO56" s="84"/>
      <c r="AP56" s="84"/>
      <c r="AQ56" s="85"/>
      <c r="AR56" s="85"/>
      <c r="AS56" s="85"/>
      <c r="AT56" s="85"/>
      <c r="AU56" s="84"/>
      <c r="AV56" s="85"/>
      <c r="AW56" s="84"/>
      <c r="AX56" s="85"/>
      <c r="AY56" s="84"/>
      <c r="AZ56" s="84"/>
      <c r="BA56" s="85"/>
      <c r="BB56" s="84"/>
      <c r="BC56" s="84"/>
      <c r="BD56" s="84"/>
      <c r="BE56" s="84"/>
      <c r="BF56" s="85"/>
      <c r="BG56" s="84"/>
      <c r="BH56" s="84"/>
      <c r="BI56" s="84"/>
    </row>
    <row r="57" spans="1:61" x14ac:dyDescent="0.2">
      <c r="A57" s="84"/>
      <c r="B57" s="226"/>
      <c r="C57" s="226"/>
      <c r="D57" s="84"/>
      <c r="E57" s="84"/>
      <c r="F57" s="84"/>
      <c r="G57" s="84"/>
      <c r="H57" s="84"/>
      <c r="I57" s="131"/>
      <c r="J57" s="131"/>
      <c r="K57" s="131"/>
      <c r="L57" s="131"/>
      <c r="M57" s="131"/>
      <c r="N57" s="131"/>
      <c r="O57" s="131"/>
      <c r="P57" s="131"/>
      <c r="Q57" s="131"/>
      <c r="R57" s="84"/>
      <c r="S57" s="131"/>
      <c r="T57" s="84"/>
      <c r="U57" s="84"/>
      <c r="V57" s="131"/>
      <c r="W57" s="131"/>
      <c r="X57" s="131"/>
      <c r="Y57" s="131"/>
      <c r="Z57" s="131"/>
      <c r="AA57" s="131"/>
      <c r="AB57" s="131"/>
      <c r="AC57" s="131"/>
      <c r="AD57" s="131"/>
      <c r="AE57" s="131"/>
      <c r="AF57" s="84"/>
      <c r="AG57" s="131"/>
      <c r="AH57" s="84"/>
      <c r="AI57" s="131"/>
      <c r="AJ57" s="84"/>
      <c r="AK57" s="84"/>
      <c r="AL57" s="85"/>
      <c r="AM57" s="84"/>
      <c r="AN57" s="85"/>
      <c r="AO57" s="84"/>
      <c r="AP57" s="84"/>
      <c r="AQ57" s="85"/>
      <c r="AR57" s="85"/>
      <c r="AS57" s="85"/>
      <c r="AT57" s="85"/>
      <c r="AU57" s="84"/>
      <c r="AV57" s="85"/>
      <c r="AW57" s="84"/>
      <c r="AX57" s="85"/>
      <c r="AY57" s="84"/>
      <c r="AZ57" s="84"/>
      <c r="BA57" s="85"/>
      <c r="BB57" s="84"/>
      <c r="BC57" s="84"/>
      <c r="BD57" s="84"/>
      <c r="BE57" s="84"/>
      <c r="BF57" s="85"/>
      <c r="BG57" s="84"/>
      <c r="BH57" s="84"/>
      <c r="BI57" s="84"/>
    </row>
    <row r="58" spans="1:61" x14ac:dyDescent="0.2">
      <c r="A58" s="84"/>
      <c r="B58" s="226"/>
      <c r="C58" s="226"/>
      <c r="D58" s="84"/>
      <c r="E58" s="84"/>
      <c r="F58" s="84"/>
      <c r="G58" s="84"/>
      <c r="H58" s="84"/>
      <c r="I58" s="131"/>
      <c r="J58" s="131"/>
      <c r="K58" s="131"/>
      <c r="L58" s="131"/>
      <c r="M58" s="131"/>
      <c r="N58" s="131"/>
      <c r="O58" s="131"/>
      <c r="P58" s="131"/>
      <c r="Q58" s="131"/>
      <c r="R58" s="84"/>
      <c r="S58" s="131"/>
      <c r="T58" s="84"/>
      <c r="U58" s="84"/>
      <c r="V58" s="131"/>
      <c r="W58" s="131"/>
      <c r="X58" s="131"/>
      <c r="Y58" s="131"/>
      <c r="Z58" s="131"/>
      <c r="AA58" s="131"/>
      <c r="AB58" s="131"/>
      <c r="AC58" s="131"/>
      <c r="AD58" s="131"/>
      <c r="AE58" s="131"/>
      <c r="AF58" s="84"/>
      <c r="AG58" s="131"/>
      <c r="AH58" s="84"/>
      <c r="AI58" s="131"/>
      <c r="AJ58" s="84"/>
      <c r="AK58" s="84"/>
      <c r="AL58" s="85"/>
      <c r="AM58" s="84"/>
      <c r="AN58" s="85"/>
      <c r="AO58" s="84"/>
      <c r="AP58" s="84"/>
      <c r="AQ58" s="85"/>
      <c r="AR58" s="85"/>
      <c r="AS58" s="85"/>
      <c r="AT58" s="85"/>
      <c r="AU58" s="84"/>
      <c r="AV58" s="85"/>
      <c r="AW58" s="84"/>
      <c r="AX58" s="85"/>
      <c r="AY58" s="84"/>
      <c r="AZ58" s="84"/>
      <c r="BA58" s="85"/>
      <c r="BB58" s="84"/>
      <c r="BC58" s="84"/>
      <c r="BD58" s="84"/>
      <c r="BE58" s="84"/>
      <c r="BF58" s="85"/>
      <c r="BG58" s="84"/>
      <c r="BH58" s="84"/>
      <c r="BI58" s="84"/>
    </row>
    <row r="59" spans="1:61" x14ac:dyDescent="0.2">
      <c r="A59" s="84"/>
      <c r="B59" s="226"/>
      <c r="C59" s="226"/>
      <c r="D59" s="84"/>
      <c r="E59" s="84"/>
      <c r="F59" s="84"/>
      <c r="G59" s="84"/>
      <c r="H59" s="84"/>
      <c r="I59" s="131"/>
      <c r="J59" s="131"/>
      <c r="K59" s="131"/>
      <c r="L59" s="131"/>
      <c r="M59" s="131"/>
      <c r="N59" s="131"/>
      <c r="O59" s="131"/>
      <c r="P59" s="131"/>
      <c r="Q59" s="131"/>
      <c r="R59" s="84"/>
      <c r="S59" s="131"/>
      <c r="T59" s="84"/>
      <c r="U59" s="84"/>
      <c r="V59" s="131"/>
      <c r="W59" s="131"/>
      <c r="X59" s="131"/>
      <c r="Y59" s="131"/>
      <c r="Z59" s="131"/>
      <c r="AA59" s="131"/>
      <c r="AB59" s="131"/>
      <c r="AC59" s="131"/>
      <c r="AD59" s="131"/>
      <c r="AE59" s="131"/>
      <c r="AF59" s="84"/>
      <c r="AG59" s="131"/>
      <c r="AH59" s="84"/>
      <c r="AI59" s="131"/>
      <c r="AJ59" s="84"/>
      <c r="AK59" s="84"/>
      <c r="AL59" s="85"/>
      <c r="AM59" s="84"/>
      <c r="AN59" s="85"/>
      <c r="AO59" s="84"/>
      <c r="AP59" s="84"/>
      <c r="AQ59" s="85"/>
      <c r="AR59" s="85"/>
      <c r="AS59" s="85"/>
      <c r="AT59" s="85"/>
      <c r="AU59" s="84"/>
      <c r="AV59" s="85"/>
      <c r="AW59" s="84"/>
      <c r="AX59" s="85"/>
      <c r="AY59" s="84"/>
      <c r="AZ59" s="84"/>
      <c r="BA59" s="85"/>
      <c r="BB59" s="84"/>
      <c r="BC59" s="84"/>
      <c r="BD59" s="84"/>
      <c r="BE59" s="84"/>
      <c r="BF59" s="85"/>
      <c r="BG59" s="84"/>
      <c r="BH59" s="84"/>
      <c r="BI59" s="84"/>
    </row>
    <row r="60" spans="1:61" x14ac:dyDescent="0.2">
      <c r="A60" s="84"/>
      <c r="B60" s="226"/>
      <c r="C60" s="226"/>
      <c r="D60" s="84"/>
      <c r="E60" s="84"/>
      <c r="F60" s="84"/>
      <c r="G60" s="84"/>
      <c r="H60" s="84"/>
      <c r="I60" s="131"/>
      <c r="J60" s="131"/>
      <c r="K60" s="131"/>
      <c r="L60" s="131"/>
      <c r="M60" s="131"/>
      <c r="N60" s="131"/>
      <c r="O60" s="131"/>
      <c r="P60" s="131"/>
      <c r="Q60" s="131"/>
      <c r="R60" s="84"/>
      <c r="S60" s="131"/>
      <c r="T60" s="84"/>
      <c r="U60" s="84"/>
      <c r="V60" s="131"/>
      <c r="W60" s="131"/>
      <c r="X60" s="131"/>
      <c r="Y60" s="131"/>
      <c r="Z60" s="131"/>
      <c r="AA60" s="131"/>
      <c r="AB60" s="131"/>
      <c r="AC60" s="131"/>
      <c r="AD60" s="131"/>
      <c r="AE60" s="131"/>
      <c r="AF60" s="84"/>
      <c r="AG60" s="131"/>
      <c r="AH60" s="84"/>
      <c r="AI60" s="131"/>
      <c r="AJ60" s="84"/>
      <c r="AK60" s="84"/>
      <c r="AL60" s="85"/>
      <c r="AM60" s="84"/>
      <c r="AN60" s="85"/>
      <c r="AO60" s="84"/>
      <c r="AP60" s="84"/>
      <c r="AQ60" s="85"/>
      <c r="AR60" s="85"/>
      <c r="AS60" s="85"/>
      <c r="AT60" s="85"/>
      <c r="AU60" s="84"/>
      <c r="AV60" s="85"/>
      <c r="AW60" s="84"/>
      <c r="AX60" s="85"/>
      <c r="AY60" s="84"/>
      <c r="AZ60" s="84"/>
      <c r="BA60" s="85"/>
      <c r="BB60" s="84"/>
      <c r="BC60" s="84"/>
      <c r="BD60" s="84"/>
      <c r="BE60" s="84"/>
      <c r="BF60" s="85"/>
      <c r="BG60" s="84"/>
      <c r="BH60" s="84"/>
      <c r="BI60" s="84"/>
    </row>
  </sheetData>
  <mergeCells count="18">
    <mergeCell ref="AL2:AO2"/>
    <mergeCell ref="B2:D5"/>
    <mergeCell ref="G2:G4"/>
    <mergeCell ref="I2:T2"/>
    <mergeCell ref="V2:AE2"/>
    <mergeCell ref="AG2:AJ2"/>
    <mergeCell ref="I3:T4"/>
    <mergeCell ref="V3:AE4"/>
    <mergeCell ref="AG3:AJ4"/>
    <mergeCell ref="AL3:AO4"/>
    <mergeCell ref="AQ3:AT4"/>
    <mergeCell ref="BA3:BD4"/>
    <mergeCell ref="BF3:BG4"/>
    <mergeCell ref="AQ2:AT2"/>
    <mergeCell ref="AV2:AY2"/>
    <mergeCell ref="BA2:BD2"/>
    <mergeCell ref="BF2:BG2"/>
    <mergeCell ref="AV3:AY4"/>
  </mergeCells>
  <conditionalFormatting sqref="G36:BG36">
    <cfRule type="cellIs" dxfId="23" priority="2" operator="lessThan">
      <formula>0</formula>
    </cfRule>
  </conditionalFormatting>
  <dataValidations count="1">
    <dataValidation type="list" allowBlank="1" showInputMessage="1" showErrorMessage="1" sqref="BA2" xr:uid="{00000000-0002-0000-0100-000000000000}">
      <formula1>#REF!</formula1>
    </dataValidation>
  </dataValidations>
  <pageMargins left="0.25" right="0.25" top="0.75" bottom="0.75" header="0.3" footer="0.3"/>
  <pageSetup scale="6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8129" r:id="rId4" name="Check Box 1">
              <controlPr defaultSize="0" autoFill="0" autoLine="0" autoPict="0">
                <anchor moveWithCells="1">
                  <from>
                    <xdr:col>0</xdr:col>
                    <xdr:colOff>0</xdr:colOff>
                    <xdr:row>6</xdr:row>
                    <xdr:rowOff>19050</xdr:rowOff>
                  </from>
                  <to>
                    <xdr:col>1</xdr:col>
                    <xdr:colOff>47625</xdr:colOff>
                    <xdr:row>6</xdr:row>
                    <xdr:rowOff>171450</xdr:rowOff>
                  </to>
                </anchor>
              </controlPr>
            </control>
          </mc:Choice>
        </mc:AlternateContent>
        <mc:AlternateContent xmlns:mc="http://schemas.openxmlformats.org/markup-compatibility/2006">
          <mc:Choice Requires="x14">
            <control shapeId="48130" r:id="rId5" name="Check Box 2">
              <controlPr defaultSize="0" autoFill="0" autoLine="0" autoPict="0">
                <anchor moveWithCells="1">
                  <from>
                    <xdr:col>0</xdr:col>
                    <xdr:colOff>0</xdr:colOff>
                    <xdr:row>7</xdr:row>
                    <xdr:rowOff>9525</xdr:rowOff>
                  </from>
                  <to>
                    <xdr:col>1</xdr:col>
                    <xdr:colOff>47625</xdr:colOff>
                    <xdr:row>7</xdr:row>
                    <xdr:rowOff>161925</xdr:rowOff>
                  </to>
                </anchor>
              </controlPr>
            </control>
          </mc:Choice>
        </mc:AlternateContent>
        <mc:AlternateContent xmlns:mc="http://schemas.openxmlformats.org/markup-compatibility/2006">
          <mc:Choice Requires="x14">
            <control shapeId="48131" r:id="rId6" name="Check Box 3">
              <controlPr defaultSize="0" autoFill="0" autoLine="0" autoPict="0">
                <anchor moveWithCells="1">
                  <from>
                    <xdr:col>0</xdr:col>
                    <xdr:colOff>0</xdr:colOff>
                    <xdr:row>8</xdr:row>
                    <xdr:rowOff>9525</xdr:rowOff>
                  </from>
                  <to>
                    <xdr:col>1</xdr:col>
                    <xdr:colOff>47625</xdr:colOff>
                    <xdr:row>8</xdr:row>
                    <xdr:rowOff>161925</xdr:rowOff>
                  </to>
                </anchor>
              </controlPr>
            </control>
          </mc:Choice>
        </mc:AlternateContent>
        <mc:AlternateContent xmlns:mc="http://schemas.openxmlformats.org/markup-compatibility/2006">
          <mc:Choice Requires="x14">
            <control shapeId="48132" r:id="rId7" name="Check Box 4">
              <controlPr defaultSize="0" autoFill="0" autoLine="0" autoPict="0">
                <anchor moveWithCells="1">
                  <from>
                    <xdr:col>0</xdr:col>
                    <xdr:colOff>0</xdr:colOff>
                    <xdr:row>9</xdr:row>
                    <xdr:rowOff>9525</xdr:rowOff>
                  </from>
                  <to>
                    <xdr:col>1</xdr:col>
                    <xdr:colOff>57150</xdr:colOff>
                    <xdr:row>9</xdr:row>
                    <xdr:rowOff>161925</xdr:rowOff>
                  </to>
                </anchor>
              </controlPr>
            </control>
          </mc:Choice>
        </mc:AlternateContent>
        <mc:AlternateContent xmlns:mc="http://schemas.openxmlformats.org/markup-compatibility/2006">
          <mc:Choice Requires="x14">
            <control shapeId="48133" r:id="rId8" name="Check Box 5">
              <controlPr defaultSize="0" autoFill="0" autoLine="0" autoPict="0">
                <anchor moveWithCells="1">
                  <from>
                    <xdr:col>0</xdr:col>
                    <xdr:colOff>0</xdr:colOff>
                    <xdr:row>10</xdr:row>
                    <xdr:rowOff>19050</xdr:rowOff>
                  </from>
                  <to>
                    <xdr:col>1</xdr:col>
                    <xdr:colOff>47625</xdr:colOff>
                    <xdr:row>10</xdr:row>
                    <xdr:rowOff>171450</xdr:rowOff>
                  </to>
                </anchor>
              </controlPr>
            </control>
          </mc:Choice>
        </mc:AlternateContent>
        <mc:AlternateContent xmlns:mc="http://schemas.openxmlformats.org/markup-compatibility/2006">
          <mc:Choice Requires="x14">
            <control shapeId="48134" r:id="rId9" name="Check Box 6">
              <controlPr defaultSize="0" autoFill="0" autoLine="0" autoPict="0">
                <anchor moveWithCells="1">
                  <from>
                    <xdr:col>0</xdr:col>
                    <xdr:colOff>0</xdr:colOff>
                    <xdr:row>11</xdr:row>
                    <xdr:rowOff>9525</xdr:rowOff>
                  </from>
                  <to>
                    <xdr:col>1</xdr:col>
                    <xdr:colOff>57150</xdr:colOff>
                    <xdr:row>11</xdr:row>
                    <xdr:rowOff>161925</xdr:rowOff>
                  </to>
                </anchor>
              </controlPr>
            </control>
          </mc:Choice>
        </mc:AlternateContent>
        <mc:AlternateContent xmlns:mc="http://schemas.openxmlformats.org/markup-compatibility/2006">
          <mc:Choice Requires="x14">
            <control shapeId="48135" r:id="rId10" name="Check Box 7">
              <controlPr defaultSize="0" autoFill="0" autoLine="0" autoPict="0">
                <anchor moveWithCells="1">
                  <from>
                    <xdr:col>0</xdr:col>
                    <xdr:colOff>0</xdr:colOff>
                    <xdr:row>12</xdr:row>
                    <xdr:rowOff>9525</xdr:rowOff>
                  </from>
                  <to>
                    <xdr:col>1</xdr:col>
                    <xdr:colOff>47625</xdr:colOff>
                    <xdr:row>12</xdr:row>
                    <xdr:rowOff>161925</xdr:rowOff>
                  </to>
                </anchor>
              </controlPr>
            </control>
          </mc:Choice>
        </mc:AlternateContent>
        <mc:AlternateContent xmlns:mc="http://schemas.openxmlformats.org/markup-compatibility/2006">
          <mc:Choice Requires="x14">
            <control shapeId="48136" r:id="rId11" name="Check Box 8">
              <controlPr defaultSize="0" autoFill="0" autoLine="0" autoPict="0">
                <anchor moveWithCells="1">
                  <from>
                    <xdr:col>0</xdr:col>
                    <xdr:colOff>0</xdr:colOff>
                    <xdr:row>13</xdr:row>
                    <xdr:rowOff>19050</xdr:rowOff>
                  </from>
                  <to>
                    <xdr:col>1</xdr:col>
                    <xdr:colOff>47625</xdr:colOff>
                    <xdr:row>13</xdr:row>
                    <xdr:rowOff>171450</xdr:rowOff>
                  </to>
                </anchor>
              </controlPr>
            </control>
          </mc:Choice>
        </mc:AlternateContent>
        <mc:AlternateContent xmlns:mc="http://schemas.openxmlformats.org/markup-compatibility/2006">
          <mc:Choice Requires="x14">
            <control shapeId="48137" r:id="rId12" name="Check Box 9">
              <controlPr defaultSize="0" autoFill="0" autoLine="0" autoPict="0">
                <anchor moveWithCells="1">
                  <from>
                    <xdr:col>0</xdr:col>
                    <xdr:colOff>0</xdr:colOff>
                    <xdr:row>14</xdr:row>
                    <xdr:rowOff>19050</xdr:rowOff>
                  </from>
                  <to>
                    <xdr:col>1</xdr:col>
                    <xdr:colOff>47625</xdr:colOff>
                    <xdr:row>14</xdr:row>
                    <xdr:rowOff>171450</xdr:rowOff>
                  </to>
                </anchor>
              </controlPr>
            </control>
          </mc:Choice>
        </mc:AlternateContent>
        <mc:AlternateContent xmlns:mc="http://schemas.openxmlformats.org/markup-compatibility/2006">
          <mc:Choice Requires="x14">
            <control shapeId="48138" r:id="rId13" name="Check Box 10">
              <controlPr defaultSize="0" autoFill="0" autoLine="0" autoPict="0">
                <anchor moveWithCells="1">
                  <from>
                    <xdr:col>0</xdr:col>
                    <xdr:colOff>0</xdr:colOff>
                    <xdr:row>15</xdr:row>
                    <xdr:rowOff>9525</xdr:rowOff>
                  </from>
                  <to>
                    <xdr:col>1</xdr:col>
                    <xdr:colOff>47625</xdr:colOff>
                    <xdr:row>15</xdr:row>
                    <xdr:rowOff>161925</xdr:rowOff>
                  </to>
                </anchor>
              </controlPr>
            </control>
          </mc:Choice>
        </mc:AlternateContent>
        <mc:AlternateContent xmlns:mc="http://schemas.openxmlformats.org/markup-compatibility/2006">
          <mc:Choice Requires="x14">
            <control shapeId="48139" r:id="rId14" name="Check Box 11">
              <controlPr defaultSize="0" autoFill="0" autoLine="0" autoPict="0">
                <anchor moveWithCells="1">
                  <from>
                    <xdr:col>0</xdr:col>
                    <xdr:colOff>0</xdr:colOff>
                    <xdr:row>16</xdr:row>
                    <xdr:rowOff>19050</xdr:rowOff>
                  </from>
                  <to>
                    <xdr:col>1</xdr:col>
                    <xdr:colOff>47625</xdr:colOff>
                    <xdr:row>16</xdr:row>
                    <xdr:rowOff>171450</xdr:rowOff>
                  </to>
                </anchor>
              </controlPr>
            </control>
          </mc:Choice>
        </mc:AlternateContent>
        <mc:AlternateContent xmlns:mc="http://schemas.openxmlformats.org/markup-compatibility/2006">
          <mc:Choice Requires="x14">
            <control shapeId="48140" r:id="rId15" name="Check Box 12">
              <controlPr defaultSize="0" autoFill="0" autoLine="0" autoPict="0">
                <anchor moveWithCells="1">
                  <from>
                    <xdr:col>0</xdr:col>
                    <xdr:colOff>0</xdr:colOff>
                    <xdr:row>17</xdr:row>
                    <xdr:rowOff>19050</xdr:rowOff>
                  </from>
                  <to>
                    <xdr:col>1</xdr:col>
                    <xdr:colOff>47625</xdr:colOff>
                    <xdr:row>17</xdr:row>
                    <xdr:rowOff>171450</xdr:rowOff>
                  </to>
                </anchor>
              </controlPr>
            </control>
          </mc:Choice>
        </mc:AlternateContent>
        <mc:AlternateContent xmlns:mc="http://schemas.openxmlformats.org/markup-compatibility/2006">
          <mc:Choice Requires="x14">
            <control shapeId="48141" r:id="rId16" name="Check Box 13">
              <controlPr defaultSize="0" autoFill="0" autoLine="0" autoPict="0">
                <anchor moveWithCells="1">
                  <from>
                    <xdr:col>0</xdr:col>
                    <xdr:colOff>0</xdr:colOff>
                    <xdr:row>18</xdr:row>
                    <xdr:rowOff>19050</xdr:rowOff>
                  </from>
                  <to>
                    <xdr:col>1</xdr:col>
                    <xdr:colOff>47625</xdr:colOff>
                    <xdr:row>18</xdr:row>
                    <xdr:rowOff>171450</xdr:rowOff>
                  </to>
                </anchor>
              </controlPr>
            </control>
          </mc:Choice>
        </mc:AlternateContent>
        <mc:AlternateContent xmlns:mc="http://schemas.openxmlformats.org/markup-compatibility/2006">
          <mc:Choice Requires="x14">
            <control shapeId="48142" r:id="rId17" name="Check Box 14">
              <controlPr defaultSize="0" autoFill="0" autoLine="0" autoPict="0">
                <anchor moveWithCells="1">
                  <from>
                    <xdr:col>0</xdr:col>
                    <xdr:colOff>0</xdr:colOff>
                    <xdr:row>19</xdr:row>
                    <xdr:rowOff>19050</xdr:rowOff>
                  </from>
                  <to>
                    <xdr:col>1</xdr:col>
                    <xdr:colOff>47625</xdr:colOff>
                    <xdr:row>19</xdr:row>
                    <xdr:rowOff>171450</xdr:rowOff>
                  </to>
                </anchor>
              </controlPr>
            </control>
          </mc:Choice>
        </mc:AlternateContent>
        <mc:AlternateContent xmlns:mc="http://schemas.openxmlformats.org/markup-compatibility/2006">
          <mc:Choice Requires="x14">
            <control shapeId="48143" r:id="rId18" name="Check Box 15">
              <controlPr defaultSize="0" autoFill="0" autoLine="0" autoPict="0">
                <anchor moveWithCells="1">
                  <from>
                    <xdr:col>0</xdr:col>
                    <xdr:colOff>0</xdr:colOff>
                    <xdr:row>20</xdr:row>
                    <xdr:rowOff>9525</xdr:rowOff>
                  </from>
                  <to>
                    <xdr:col>1</xdr:col>
                    <xdr:colOff>47625</xdr:colOff>
                    <xdr:row>20</xdr:row>
                    <xdr:rowOff>161925</xdr:rowOff>
                  </to>
                </anchor>
              </controlPr>
            </control>
          </mc:Choice>
        </mc:AlternateContent>
        <mc:AlternateContent xmlns:mc="http://schemas.openxmlformats.org/markup-compatibility/2006">
          <mc:Choice Requires="x14">
            <control shapeId="48144" r:id="rId19" name="Check Box 16">
              <controlPr defaultSize="0" autoFill="0" autoLine="0" autoPict="0">
                <anchor moveWithCells="1">
                  <from>
                    <xdr:col>0</xdr:col>
                    <xdr:colOff>0</xdr:colOff>
                    <xdr:row>21</xdr:row>
                    <xdr:rowOff>19050</xdr:rowOff>
                  </from>
                  <to>
                    <xdr:col>1</xdr:col>
                    <xdr:colOff>47625</xdr:colOff>
                    <xdr:row>22</xdr:row>
                    <xdr:rowOff>0</xdr:rowOff>
                  </to>
                </anchor>
              </controlPr>
            </control>
          </mc:Choice>
        </mc:AlternateContent>
        <mc:AlternateContent xmlns:mc="http://schemas.openxmlformats.org/markup-compatibility/2006">
          <mc:Choice Requires="x14">
            <control shapeId="48145" r:id="rId20" name="Check Box 17">
              <controlPr defaultSize="0" autoFill="0" autoLine="0" autoPict="0">
                <anchor moveWithCells="1">
                  <from>
                    <xdr:col>0</xdr:col>
                    <xdr:colOff>0</xdr:colOff>
                    <xdr:row>22</xdr:row>
                    <xdr:rowOff>19050</xdr:rowOff>
                  </from>
                  <to>
                    <xdr:col>1</xdr:col>
                    <xdr:colOff>47625</xdr:colOff>
                    <xdr:row>23</xdr:row>
                    <xdr:rowOff>0</xdr:rowOff>
                  </to>
                </anchor>
              </controlPr>
            </control>
          </mc:Choice>
        </mc:AlternateContent>
        <mc:AlternateContent xmlns:mc="http://schemas.openxmlformats.org/markup-compatibility/2006">
          <mc:Choice Requires="x14">
            <control shapeId="48146" r:id="rId21" name="Check Box 18">
              <controlPr defaultSize="0" autoFill="0" autoLine="0" autoPict="0">
                <anchor moveWithCells="1">
                  <from>
                    <xdr:col>0</xdr:col>
                    <xdr:colOff>0</xdr:colOff>
                    <xdr:row>23</xdr:row>
                    <xdr:rowOff>19050</xdr:rowOff>
                  </from>
                  <to>
                    <xdr:col>1</xdr:col>
                    <xdr:colOff>66675</xdr:colOff>
                    <xdr:row>24</xdr:row>
                    <xdr:rowOff>0</xdr:rowOff>
                  </to>
                </anchor>
              </controlPr>
            </control>
          </mc:Choice>
        </mc:AlternateContent>
        <mc:AlternateContent xmlns:mc="http://schemas.openxmlformats.org/markup-compatibility/2006">
          <mc:Choice Requires="x14">
            <control shapeId="48147" r:id="rId22" name="Check Box 19">
              <controlPr defaultSize="0" autoFill="0" autoLine="0" autoPict="0">
                <anchor moveWithCells="1">
                  <from>
                    <xdr:col>0</xdr:col>
                    <xdr:colOff>0</xdr:colOff>
                    <xdr:row>24</xdr:row>
                    <xdr:rowOff>19050</xdr:rowOff>
                  </from>
                  <to>
                    <xdr:col>1</xdr:col>
                    <xdr:colOff>47625</xdr:colOff>
                    <xdr:row>25</xdr:row>
                    <xdr:rowOff>0</xdr:rowOff>
                  </to>
                </anchor>
              </controlPr>
            </control>
          </mc:Choice>
        </mc:AlternateContent>
        <mc:AlternateContent xmlns:mc="http://schemas.openxmlformats.org/markup-compatibility/2006">
          <mc:Choice Requires="x14">
            <control shapeId="48148" r:id="rId23" name="Check Box 20">
              <controlPr defaultSize="0" autoFill="0" autoLine="0" autoPict="0">
                <anchor moveWithCells="1">
                  <from>
                    <xdr:col>0</xdr:col>
                    <xdr:colOff>0</xdr:colOff>
                    <xdr:row>25</xdr:row>
                    <xdr:rowOff>19050</xdr:rowOff>
                  </from>
                  <to>
                    <xdr:col>1</xdr:col>
                    <xdr:colOff>66675</xdr:colOff>
                    <xdr:row>26</xdr:row>
                    <xdr:rowOff>0</xdr:rowOff>
                  </to>
                </anchor>
              </controlPr>
            </control>
          </mc:Choice>
        </mc:AlternateContent>
        <mc:AlternateContent xmlns:mc="http://schemas.openxmlformats.org/markup-compatibility/2006">
          <mc:Choice Requires="x14">
            <control shapeId="48149" r:id="rId24" name="Check Box 21">
              <controlPr defaultSize="0" autoFill="0" autoLine="0" autoPict="0">
                <anchor moveWithCells="1">
                  <from>
                    <xdr:col>0</xdr:col>
                    <xdr:colOff>0</xdr:colOff>
                    <xdr:row>26</xdr:row>
                    <xdr:rowOff>19050</xdr:rowOff>
                  </from>
                  <to>
                    <xdr:col>1</xdr:col>
                    <xdr:colOff>47625</xdr:colOff>
                    <xdr:row>26</xdr:row>
                    <xdr:rowOff>171450</xdr:rowOff>
                  </to>
                </anchor>
              </controlPr>
            </control>
          </mc:Choice>
        </mc:AlternateContent>
        <mc:AlternateContent xmlns:mc="http://schemas.openxmlformats.org/markup-compatibility/2006">
          <mc:Choice Requires="x14">
            <control shapeId="48150" r:id="rId25" name="Check Box 22">
              <controlPr defaultSize="0" autoFill="0" autoLine="0" autoPict="0">
                <anchor moveWithCells="1">
                  <from>
                    <xdr:col>0</xdr:col>
                    <xdr:colOff>0</xdr:colOff>
                    <xdr:row>27</xdr:row>
                    <xdr:rowOff>19050</xdr:rowOff>
                  </from>
                  <to>
                    <xdr:col>1</xdr:col>
                    <xdr:colOff>47625</xdr:colOff>
                    <xdr:row>27</xdr:row>
                    <xdr:rowOff>171450</xdr:rowOff>
                  </to>
                </anchor>
              </controlPr>
            </control>
          </mc:Choice>
        </mc:AlternateContent>
        <mc:AlternateContent xmlns:mc="http://schemas.openxmlformats.org/markup-compatibility/2006">
          <mc:Choice Requires="x14">
            <control shapeId="48151" r:id="rId26" name="Check Box 23">
              <controlPr defaultSize="0" autoFill="0" autoLine="0" autoPict="0">
                <anchor moveWithCells="1">
                  <from>
                    <xdr:col>0</xdr:col>
                    <xdr:colOff>0</xdr:colOff>
                    <xdr:row>28</xdr:row>
                    <xdr:rowOff>9525</xdr:rowOff>
                  </from>
                  <to>
                    <xdr:col>1</xdr:col>
                    <xdr:colOff>57150</xdr:colOff>
                    <xdr:row>28</xdr:row>
                    <xdr:rowOff>161925</xdr:rowOff>
                  </to>
                </anchor>
              </controlPr>
            </control>
          </mc:Choice>
        </mc:AlternateContent>
        <mc:AlternateContent xmlns:mc="http://schemas.openxmlformats.org/markup-compatibility/2006">
          <mc:Choice Requires="x14">
            <control shapeId="48152" r:id="rId27" name="Check Box 24">
              <controlPr defaultSize="0" autoFill="0" autoLine="0" autoPict="0">
                <anchor moveWithCells="1">
                  <from>
                    <xdr:col>0</xdr:col>
                    <xdr:colOff>0</xdr:colOff>
                    <xdr:row>29</xdr:row>
                    <xdr:rowOff>19050</xdr:rowOff>
                  </from>
                  <to>
                    <xdr:col>1</xdr:col>
                    <xdr:colOff>57150</xdr:colOff>
                    <xdr:row>29</xdr:row>
                    <xdr:rowOff>171450</xdr:rowOff>
                  </to>
                </anchor>
              </controlPr>
            </control>
          </mc:Choice>
        </mc:AlternateContent>
        <mc:AlternateContent xmlns:mc="http://schemas.openxmlformats.org/markup-compatibility/2006">
          <mc:Choice Requires="x14">
            <control shapeId="48153" r:id="rId28" name="Check Box 25">
              <controlPr defaultSize="0" autoFill="0" autoLine="0" autoPict="0">
                <anchor moveWithCells="1">
                  <from>
                    <xdr:col>0</xdr:col>
                    <xdr:colOff>0</xdr:colOff>
                    <xdr:row>30</xdr:row>
                    <xdr:rowOff>19050</xdr:rowOff>
                  </from>
                  <to>
                    <xdr:col>1</xdr:col>
                    <xdr:colOff>47625</xdr:colOff>
                    <xdr:row>30</xdr:row>
                    <xdr:rowOff>171450</xdr:rowOff>
                  </to>
                </anchor>
              </controlPr>
            </control>
          </mc:Choice>
        </mc:AlternateContent>
        <mc:AlternateContent xmlns:mc="http://schemas.openxmlformats.org/markup-compatibility/2006">
          <mc:Choice Requires="x14">
            <control shapeId="48154" r:id="rId29" name="Check Box 26">
              <controlPr defaultSize="0" autoFill="0" autoLine="0" autoPict="0">
                <anchor moveWithCells="1">
                  <from>
                    <xdr:col>0</xdr:col>
                    <xdr:colOff>0</xdr:colOff>
                    <xdr:row>31</xdr:row>
                    <xdr:rowOff>28575</xdr:rowOff>
                  </from>
                  <to>
                    <xdr:col>1</xdr:col>
                    <xdr:colOff>47625</xdr:colOff>
                    <xdr:row>31</xdr:row>
                    <xdr:rowOff>171450</xdr:rowOff>
                  </to>
                </anchor>
              </controlPr>
            </control>
          </mc:Choice>
        </mc:AlternateContent>
        <mc:AlternateContent xmlns:mc="http://schemas.openxmlformats.org/markup-compatibility/2006">
          <mc:Choice Requires="x14">
            <control shapeId="48155" r:id="rId30" name="Check Box 27">
              <controlPr defaultSize="0" autoFill="0" autoLine="0" autoPict="0">
                <anchor moveWithCells="1">
                  <from>
                    <xdr:col>0</xdr:col>
                    <xdr:colOff>0</xdr:colOff>
                    <xdr:row>32</xdr:row>
                    <xdr:rowOff>19050</xdr:rowOff>
                  </from>
                  <to>
                    <xdr:col>1</xdr:col>
                    <xdr:colOff>47625</xdr:colOff>
                    <xdr:row>32</xdr:row>
                    <xdr:rowOff>171450</xdr:rowOff>
                  </to>
                </anchor>
              </controlPr>
            </control>
          </mc:Choice>
        </mc:AlternateContent>
        <mc:AlternateContent xmlns:mc="http://schemas.openxmlformats.org/markup-compatibility/2006">
          <mc:Choice Requires="x14">
            <control shapeId="48156" r:id="rId31" name="Check Box 28">
              <controlPr defaultSize="0" autoFill="0" autoLine="0" autoPict="0">
                <anchor moveWithCells="1">
                  <from>
                    <xdr:col>0</xdr:col>
                    <xdr:colOff>0</xdr:colOff>
                    <xdr:row>33</xdr:row>
                    <xdr:rowOff>19050</xdr:rowOff>
                  </from>
                  <to>
                    <xdr:col>1</xdr:col>
                    <xdr:colOff>47625</xdr:colOff>
                    <xdr:row>33</xdr:row>
                    <xdr:rowOff>171450</xdr:rowOff>
                  </to>
                </anchor>
              </controlPr>
            </control>
          </mc:Choice>
        </mc:AlternateContent>
        <mc:AlternateContent xmlns:mc="http://schemas.openxmlformats.org/markup-compatibility/2006">
          <mc:Choice Requires="x14">
            <control shapeId="48157" r:id="rId32" name="Check Box 29">
              <controlPr defaultSize="0" autoFill="0" autoLine="0" autoPict="0">
                <anchor moveWithCells="1">
                  <from>
                    <xdr:col>0</xdr:col>
                    <xdr:colOff>0</xdr:colOff>
                    <xdr:row>34</xdr:row>
                    <xdr:rowOff>19050</xdr:rowOff>
                  </from>
                  <to>
                    <xdr:col>1</xdr:col>
                    <xdr:colOff>47625</xdr:colOff>
                    <xdr:row>34</xdr:row>
                    <xdr:rowOff>171450</xdr:rowOff>
                  </to>
                </anchor>
              </controlPr>
            </control>
          </mc:Choice>
        </mc:AlternateContent>
        <mc:AlternateContent xmlns:mc="http://schemas.openxmlformats.org/markup-compatibility/2006">
          <mc:Choice Requires="x14">
            <control shapeId="48158" r:id="rId33" name="Check Box 30">
              <controlPr defaultSize="0" autoFill="0" autoLine="0" autoPict="0">
                <anchor moveWithCells="1">
                  <from>
                    <xdr:col>0</xdr:col>
                    <xdr:colOff>0</xdr:colOff>
                    <xdr:row>35</xdr:row>
                    <xdr:rowOff>19050</xdr:rowOff>
                  </from>
                  <to>
                    <xdr:col>1</xdr:col>
                    <xdr:colOff>47625</xdr:colOff>
                    <xdr:row>35</xdr:row>
                    <xdr:rowOff>171450</xdr:rowOff>
                  </to>
                </anchor>
              </controlPr>
            </control>
          </mc:Choice>
        </mc:AlternateContent>
        <mc:AlternateContent xmlns:mc="http://schemas.openxmlformats.org/markup-compatibility/2006">
          <mc:Choice Requires="x14">
            <control shapeId="48159" r:id="rId34" name="Check Box 31">
              <controlPr defaultSize="0" autoFill="0" autoLine="0" autoPict="0">
                <anchor moveWithCells="1">
                  <from>
                    <xdr:col>0</xdr:col>
                    <xdr:colOff>0</xdr:colOff>
                    <xdr:row>36</xdr:row>
                    <xdr:rowOff>19050</xdr:rowOff>
                  </from>
                  <to>
                    <xdr:col>1</xdr:col>
                    <xdr:colOff>47625</xdr:colOff>
                    <xdr:row>36</xdr:row>
                    <xdr:rowOff>171450</xdr:rowOff>
                  </to>
                </anchor>
              </controlPr>
            </control>
          </mc:Choice>
        </mc:AlternateContent>
        <mc:AlternateContent xmlns:mc="http://schemas.openxmlformats.org/markup-compatibility/2006">
          <mc:Choice Requires="x14">
            <control shapeId="48160" r:id="rId35" name="Check Box 32">
              <controlPr defaultSize="0" autoFill="0" autoLine="0" autoPict="0">
                <anchor moveWithCells="1">
                  <from>
                    <xdr:col>0</xdr:col>
                    <xdr:colOff>0</xdr:colOff>
                    <xdr:row>37</xdr:row>
                    <xdr:rowOff>19050</xdr:rowOff>
                  </from>
                  <to>
                    <xdr:col>1</xdr:col>
                    <xdr:colOff>47625</xdr:colOff>
                    <xdr:row>37</xdr:row>
                    <xdr:rowOff>171450</xdr:rowOff>
                  </to>
                </anchor>
              </controlPr>
            </control>
          </mc:Choice>
        </mc:AlternateContent>
        <mc:AlternateContent xmlns:mc="http://schemas.openxmlformats.org/markup-compatibility/2006">
          <mc:Choice Requires="x14">
            <control shapeId="48161" r:id="rId36" name="Check Box 33">
              <controlPr defaultSize="0" autoFill="0" autoLine="0" autoPict="0">
                <anchor moveWithCells="1">
                  <from>
                    <xdr:col>0</xdr:col>
                    <xdr:colOff>0</xdr:colOff>
                    <xdr:row>38</xdr:row>
                    <xdr:rowOff>9525</xdr:rowOff>
                  </from>
                  <to>
                    <xdr:col>1</xdr:col>
                    <xdr:colOff>47625</xdr:colOff>
                    <xdr:row>38</xdr:row>
                    <xdr:rowOff>161925</xdr:rowOff>
                  </to>
                </anchor>
              </controlPr>
            </control>
          </mc:Choice>
        </mc:AlternateContent>
        <mc:AlternateContent xmlns:mc="http://schemas.openxmlformats.org/markup-compatibility/2006">
          <mc:Choice Requires="x14">
            <control shapeId="48162" r:id="rId37" name="Check Box 34">
              <controlPr defaultSize="0" autoFill="0" autoLine="0" autoPict="0">
                <anchor moveWithCells="1">
                  <from>
                    <xdr:col>0</xdr:col>
                    <xdr:colOff>0</xdr:colOff>
                    <xdr:row>39</xdr:row>
                    <xdr:rowOff>19050</xdr:rowOff>
                  </from>
                  <to>
                    <xdr:col>1</xdr:col>
                    <xdr:colOff>57150</xdr:colOff>
                    <xdr:row>39</xdr:row>
                    <xdr:rowOff>161925</xdr:rowOff>
                  </to>
                </anchor>
              </controlPr>
            </control>
          </mc:Choice>
        </mc:AlternateContent>
        <mc:AlternateContent xmlns:mc="http://schemas.openxmlformats.org/markup-compatibility/2006">
          <mc:Choice Requires="x14">
            <control shapeId="48163" r:id="rId38" name="Check Box 35">
              <controlPr defaultSize="0" autoFill="0" autoLine="0" autoPict="0">
                <anchor moveWithCells="1">
                  <from>
                    <xdr:col>0</xdr:col>
                    <xdr:colOff>0</xdr:colOff>
                    <xdr:row>40</xdr:row>
                    <xdr:rowOff>19050</xdr:rowOff>
                  </from>
                  <to>
                    <xdr:col>1</xdr:col>
                    <xdr:colOff>57150</xdr:colOff>
                    <xdr:row>40</xdr:row>
                    <xdr:rowOff>171450</xdr:rowOff>
                  </to>
                </anchor>
              </controlPr>
            </control>
          </mc:Choice>
        </mc:AlternateContent>
        <mc:AlternateContent xmlns:mc="http://schemas.openxmlformats.org/markup-compatibility/2006">
          <mc:Choice Requires="x14">
            <control shapeId="48164" r:id="rId39" name="Check Box 36">
              <controlPr defaultSize="0" autoFill="0" autoLine="0" autoPict="0">
                <anchor moveWithCells="1">
                  <from>
                    <xdr:col>0</xdr:col>
                    <xdr:colOff>0</xdr:colOff>
                    <xdr:row>41</xdr:row>
                    <xdr:rowOff>19050</xdr:rowOff>
                  </from>
                  <to>
                    <xdr:col>1</xdr:col>
                    <xdr:colOff>57150</xdr:colOff>
                    <xdr:row>41</xdr:row>
                    <xdr:rowOff>171450</xdr:rowOff>
                  </to>
                </anchor>
              </controlPr>
            </control>
          </mc:Choice>
        </mc:AlternateContent>
        <mc:AlternateContent xmlns:mc="http://schemas.openxmlformats.org/markup-compatibility/2006">
          <mc:Choice Requires="x14">
            <control shapeId="48165" r:id="rId40" name="Check Box 37">
              <controlPr defaultSize="0" autoFill="0" autoLine="0" autoPict="0">
                <anchor moveWithCells="1">
                  <from>
                    <xdr:col>0</xdr:col>
                    <xdr:colOff>0</xdr:colOff>
                    <xdr:row>42</xdr:row>
                    <xdr:rowOff>9525</xdr:rowOff>
                  </from>
                  <to>
                    <xdr:col>1</xdr:col>
                    <xdr:colOff>57150</xdr:colOff>
                    <xdr:row>42</xdr:row>
                    <xdr:rowOff>171450</xdr:rowOff>
                  </to>
                </anchor>
              </controlPr>
            </control>
          </mc:Choice>
        </mc:AlternateContent>
        <mc:AlternateContent xmlns:mc="http://schemas.openxmlformats.org/markup-compatibility/2006">
          <mc:Choice Requires="x14">
            <control shapeId="48166" r:id="rId41" name="Check Box 38">
              <controlPr defaultSize="0" autoFill="0" autoLine="0" autoPict="0">
                <anchor moveWithCells="1">
                  <from>
                    <xdr:col>0</xdr:col>
                    <xdr:colOff>0</xdr:colOff>
                    <xdr:row>43</xdr:row>
                    <xdr:rowOff>19050</xdr:rowOff>
                  </from>
                  <to>
                    <xdr:col>1</xdr:col>
                    <xdr:colOff>57150</xdr:colOff>
                    <xdr:row>43</xdr:row>
                    <xdr:rowOff>171450</xdr:rowOff>
                  </to>
                </anchor>
              </controlPr>
            </control>
          </mc:Choice>
        </mc:AlternateContent>
        <mc:AlternateContent xmlns:mc="http://schemas.openxmlformats.org/markup-compatibility/2006">
          <mc:Choice Requires="x14">
            <control shapeId="48167" r:id="rId42" name="Check Box 39">
              <controlPr defaultSize="0" autoFill="0" autoLine="0" autoPict="0">
                <anchor moveWithCells="1">
                  <from>
                    <xdr:col>0</xdr:col>
                    <xdr:colOff>0</xdr:colOff>
                    <xdr:row>44</xdr:row>
                    <xdr:rowOff>9525</xdr:rowOff>
                  </from>
                  <to>
                    <xdr:col>1</xdr:col>
                    <xdr:colOff>57150</xdr:colOff>
                    <xdr:row>44</xdr:row>
                    <xdr:rowOff>171450</xdr:rowOff>
                  </to>
                </anchor>
              </controlPr>
            </control>
          </mc:Choice>
        </mc:AlternateContent>
        <mc:AlternateContent xmlns:mc="http://schemas.openxmlformats.org/markup-compatibility/2006">
          <mc:Choice Requires="x14">
            <control shapeId="48168" r:id="rId43" name="Check Box 40">
              <controlPr defaultSize="0" autoFill="0" autoLine="0" autoPict="0">
                <anchor moveWithCells="1">
                  <from>
                    <xdr:col>0</xdr:col>
                    <xdr:colOff>0</xdr:colOff>
                    <xdr:row>45</xdr:row>
                    <xdr:rowOff>19050</xdr:rowOff>
                  </from>
                  <to>
                    <xdr:col>1</xdr:col>
                    <xdr:colOff>57150</xdr:colOff>
                    <xdr:row>45</xdr:row>
                    <xdr:rowOff>171450</xdr:rowOff>
                  </to>
                </anchor>
              </controlPr>
            </control>
          </mc:Choice>
        </mc:AlternateContent>
        <mc:AlternateContent xmlns:mc="http://schemas.openxmlformats.org/markup-compatibility/2006">
          <mc:Choice Requires="x14">
            <control shapeId="48169" r:id="rId44" name="Check Box 41">
              <controlPr defaultSize="0" autoFill="0" autoLine="0" autoPict="0">
                <anchor moveWithCells="1">
                  <from>
                    <xdr:col>0</xdr:col>
                    <xdr:colOff>0</xdr:colOff>
                    <xdr:row>46</xdr:row>
                    <xdr:rowOff>9525</xdr:rowOff>
                  </from>
                  <to>
                    <xdr:col>1</xdr:col>
                    <xdr:colOff>57150</xdr:colOff>
                    <xdr:row>46</xdr:row>
                    <xdr:rowOff>161925</xdr:rowOff>
                  </to>
                </anchor>
              </controlPr>
            </control>
          </mc:Choice>
        </mc:AlternateContent>
        <mc:AlternateContent xmlns:mc="http://schemas.openxmlformats.org/markup-compatibility/2006">
          <mc:Choice Requires="x14">
            <control shapeId="48170" r:id="rId45" name="Check Box 42">
              <controlPr defaultSize="0" autoFill="0" autoLine="0" autoPict="0">
                <anchor moveWithCells="1">
                  <from>
                    <xdr:col>0</xdr:col>
                    <xdr:colOff>0</xdr:colOff>
                    <xdr:row>47</xdr:row>
                    <xdr:rowOff>9525</xdr:rowOff>
                  </from>
                  <to>
                    <xdr:col>1</xdr:col>
                    <xdr:colOff>57150</xdr:colOff>
                    <xdr:row>47</xdr:row>
                    <xdr:rowOff>161925</xdr:rowOff>
                  </to>
                </anchor>
              </controlPr>
            </control>
          </mc:Choice>
        </mc:AlternateContent>
        <mc:AlternateContent xmlns:mc="http://schemas.openxmlformats.org/markup-compatibility/2006">
          <mc:Choice Requires="x14">
            <control shapeId="48171" r:id="rId46" name="Check Box 43">
              <controlPr defaultSize="0" autoFill="0" autoLine="0" autoPict="0">
                <anchor moveWithCells="1">
                  <from>
                    <xdr:col>0</xdr:col>
                    <xdr:colOff>0</xdr:colOff>
                    <xdr:row>48</xdr:row>
                    <xdr:rowOff>0</xdr:rowOff>
                  </from>
                  <to>
                    <xdr:col>1</xdr:col>
                    <xdr:colOff>57150</xdr:colOff>
                    <xdr:row>48</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1000000}">
          <x14:formula1>
            <xm:f>Validation!$Q$28:$Q$29</xm:f>
          </x14:formula1>
          <xm:sqref>AL2 AQ2</xm:sqref>
        </x14:dataValidation>
        <x14:dataValidation type="list" allowBlank="1" showInputMessage="1" showErrorMessage="1" xr:uid="{00000000-0002-0000-0100-000002000000}">
          <x14:formula1>
            <xm:f>Validation!$Q$5:$Q$12</xm:f>
          </x14:formula1>
          <xm:sqref>I2 AG2:AJ2 V2</xm:sqref>
        </x14:dataValidation>
        <x14:dataValidation type="list" allowBlank="1" showInputMessage="1" showErrorMessage="1" xr:uid="{00000000-0002-0000-0100-000003000000}">
          <x14:formula1>
            <xm:f>Validation!$C$40</xm:f>
          </x14:formula1>
          <xm:sqref>BF2</xm:sqref>
        </x14:dataValidation>
        <x14:dataValidation type="list" allowBlank="1" showInputMessage="1" showErrorMessage="1" xr:uid="{00000000-0002-0000-0100-000004000000}">
          <x14:formula1>
            <xm:f>Validation!$Q$33:$Q$36</xm:f>
          </x14:formula1>
          <xm:sqref>AV2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pageSetUpPr fitToPage="1"/>
  </sheetPr>
  <dimension ref="A1:BJ60"/>
  <sheetViews>
    <sheetView showGridLines="0" zoomScale="85" zoomScaleNormal="85" workbookViewId="0">
      <pane xSplit="8" ySplit="6" topLeftCell="I7" activePane="bottomRight" state="frozen"/>
      <selection pane="topRight" activeCell="F1" sqref="F1"/>
      <selection pane="bottomLeft" activeCell="A7" sqref="A7"/>
      <selection pane="bottomRight" activeCell="J21" sqref="J21"/>
    </sheetView>
  </sheetViews>
  <sheetFormatPr defaultColWidth="0" defaultRowHeight="14.25" zeroHeight="1" outlineLevelCol="1" x14ac:dyDescent="0.2"/>
  <cols>
    <col min="1" max="1" width="1" customWidth="1" outlineLevel="1"/>
    <col min="2" max="2" width="4" customWidth="1" outlineLevel="1"/>
    <col min="3" max="3" width="17" style="229" customWidth="1" outlineLevel="1"/>
    <col min="4" max="4" width="8.09765625" style="229" customWidth="1" outlineLevel="1"/>
    <col min="5" max="5" width="7.796875" customWidth="1" outlineLevel="1"/>
    <col min="6" max="6" width="6.8984375" customWidth="1" outlineLevel="1"/>
    <col min="7" max="7" width="1.69921875" customWidth="1"/>
    <col min="8" max="8" width="33.69921875" customWidth="1"/>
    <col min="9" max="9" width="0.796875" customWidth="1"/>
    <col min="10" max="10" width="9.8984375" customWidth="1" outlineLevel="1"/>
    <col min="11" max="11" width="6.3984375" customWidth="1" outlineLevel="1"/>
    <col min="12" max="12" width="9.8984375" customWidth="1" outlineLevel="1"/>
    <col min="13" max="13" width="6.3984375" customWidth="1" outlineLevel="1"/>
    <col min="14" max="14" width="9.8984375" customWidth="1" outlineLevel="1"/>
    <col min="15" max="16" width="8.296875" customWidth="1" outlineLevel="1"/>
    <col min="17" max="17" width="6.3984375" customWidth="1" outlineLevel="1"/>
    <col min="18" max="18" width="9.8984375" style="130" customWidth="1" outlineLevel="1"/>
    <col min="19" max="19" width="6.19921875" customWidth="1" outlineLevel="1"/>
    <col min="20" max="20" width="8.296875" style="130" customWidth="1" outlineLevel="1"/>
    <col min="21" max="21" width="6.19921875" customWidth="1" outlineLevel="1"/>
    <col min="22" max="22" width="1.69921875" customWidth="1"/>
    <col min="23" max="23" width="8.296875" customWidth="1" outlineLevel="1"/>
    <col min="24" max="24" width="6.3984375" customWidth="1" outlineLevel="1"/>
    <col min="25" max="25" width="8.296875" customWidth="1" outlineLevel="1"/>
    <col min="26" max="26" width="6.3984375" customWidth="1" outlineLevel="1"/>
    <col min="27" max="27" width="8.296875" customWidth="1" outlineLevel="1"/>
    <col min="28" max="28" width="6.3984375" customWidth="1" outlineLevel="1"/>
    <col min="29" max="29" width="8.296875" customWidth="1" outlineLevel="1"/>
    <col min="30" max="30" width="6.3984375" customWidth="1" outlineLevel="1"/>
    <col min="31" max="31" width="8.59765625" customWidth="1" outlineLevel="1"/>
    <col min="32" max="32" width="6.3984375" customWidth="1" outlineLevel="1"/>
    <col min="33" max="33" width="1.69921875" customWidth="1"/>
    <col min="34" max="34" width="9.8984375" style="130" customWidth="1" outlineLevel="1"/>
    <col min="35" max="35" width="6.09765625" customWidth="1" outlineLevel="1"/>
    <col min="36" max="36" width="9.8984375" style="130" customWidth="1" outlineLevel="1"/>
    <col min="37" max="37" width="6.19921875" customWidth="1" outlineLevel="1"/>
    <col min="38" max="38" width="1.69921875" customWidth="1"/>
    <col min="39" max="39" width="9.8984375" customWidth="1" outlineLevel="1"/>
    <col min="40" max="40" width="6.3984375" customWidth="1" outlineLevel="1"/>
    <col min="41" max="41" width="9.8984375" customWidth="1" outlineLevel="1"/>
    <col min="42" max="42" width="6.3984375" customWidth="1" outlineLevel="1"/>
    <col min="43" max="43" width="1.69921875" customWidth="1"/>
    <col min="44" max="44" width="10.5" hidden="1" customWidth="1" outlineLevel="1"/>
    <col min="45" max="45" width="6.3984375" hidden="1" customWidth="1" outlineLevel="1"/>
    <col min="46" max="46" width="10.5" hidden="1" customWidth="1" outlineLevel="1"/>
    <col min="47" max="47" width="6.3984375" hidden="1" customWidth="1" outlineLevel="1"/>
    <col min="48" max="48" width="1.69921875" customWidth="1" collapsed="1"/>
    <col min="49" max="49" width="9.8984375" hidden="1" customWidth="1" outlineLevel="1"/>
    <col min="50" max="50" width="6.3984375" hidden="1" customWidth="1" outlineLevel="1"/>
    <col min="51" max="51" width="9.8984375" hidden="1" customWidth="1" outlineLevel="1"/>
    <col min="52" max="52" width="6.3984375" hidden="1" customWidth="1" outlineLevel="1"/>
    <col min="53" max="53" width="1.69921875" customWidth="1" collapsed="1"/>
    <col min="54" max="54" width="9.8984375" hidden="1" customWidth="1" outlineLevel="1"/>
    <col min="55" max="55" width="6.3984375" hidden="1" customWidth="1" outlineLevel="1"/>
    <col min="56" max="56" width="9.8984375" hidden="1" customWidth="1" outlineLevel="1"/>
    <col min="57" max="57" width="6.3984375" hidden="1" customWidth="1" outlineLevel="1"/>
    <col min="58" max="58" width="1.69921875" customWidth="1" collapsed="1"/>
    <col min="59" max="59" width="9.8984375" customWidth="1" outlineLevel="1"/>
    <col min="60" max="60" width="6.3984375" customWidth="1" outlineLevel="1"/>
    <col min="61" max="62" width="1.69921875" customWidth="1"/>
    <col min="63" max="16384" width="8.796875" hidden="1"/>
  </cols>
  <sheetData>
    <row r="1" spans="1:62" ht="15" thickBot="1" x14ac:dyDescent="0.25">
      <c r="A1" s="84"/>
      <c r="B1" s="84"/>
      <c r="C1" s="226"/>
      <c r="D1" s="226"/>
      <c r="E1" s="84"/>
      <c r="F1" s="84"/>
      <c r="G1" s="84"/>
      <c r="H1" s="84"/>
      <c r="I1" s="84"/>
      <c r="J1" s="84"/>
      <c r="K1" s="84"/>
      <c r="L1" s="84"/>
      <c r="M1" s="84"/>
      <c r="N1" s="84"/>
      <c r="O1" s="84"/>
      <c r="P1" s="84"/>
      <c r="Q1" s="84"/>
      <c r="R1" s="131"/>
      <c r="S1" s="84"/>
      <c r="T1" s="131"/>
      <c r="U1" s="84"/>
      <c r="V1" s="84"/>
      <c r="W1" s="84"/>
      <c r="X1" s="84"/>
      <c r="Y1" s="84"/>
      <c r="Z1" s="131"/>
      <c r="AA1" s="84"/>
      <c r="AB1" s="131"/>
      <c r="AC1" s="84"/>
      <c r="AD1" s="131"/>
      <c r="AE1" s="84"/>
      <c r="AF1" s="131"/>
      <c r="AG1" s="131"/>
      <c r="AH1" s="131"/>
      <c r="AI1" s="84"/>
      <c r="AJ1" s="131"/>
      <c r="AK1" s="84"/>
      <c r="AL1" s="131"/>
      <c r="AM1" s="84"/>
      <c r="AN1" s="84"/>
      <c r="AO1" s="84"/>
      <c r="AP1" s="84"/>
      <c r="AQ1" s="84"/>
      <c r="AR1" s="84"/>
      <c r="AS1" s="84"/>
      <c r="AT1" s="84"/>
      <c r="AU1" s="84"/>
      <c r="AV1" s="84"/>
      <c r="AW1" s="84"/>
      <c r="AX1" s="84"/>
      <c r="AY1" s="84"/>
      <c r="AZ1" s="84"/>
      <c r="BA1" s="84"/>
      <c r="BB1" s="84"/>
      <c r="BC1" s="84"/>
      <c r="BD1" s="84"/>
      <c r="BE1" s="84"/>
      <c r="BF1" s="84"/>
      <c r="BG1" s="84"/>
      <c r="BH1" s="84"/>
      <c r="BI1" s="84"/>
      <c r="BJ1" s="84"/>
    </row>
    <row r="2" spans="1:62" ht="15" customHeight="1" x14ac:dyDescent="0.2">
      <c r="A2" s="84"/>
      <c r="B2" s="501" t="s">
        <v>401</v>
      </c>
      <c r="C2" s="502"/>
      <c r="D2" s="502"/>
      <c r="E2" s="503"/>
      <c r="F2" s="84"/>
      <c r="G2" s="84"/>
      <c r="H2" s="397" t="s">
        <v>17</v>
      </c>
      <c r="I2" s="84"/>
      <c r="J2" s="400" t="s">
        <v>259</v>
      </c>
      <c r="K2" s="400"/>
      <c r="L2" s="400"/>
      <c r="M2" s="400"/>
      <c r="N2" s="400"/>
      <c r="O2" s="400"/>
      <c r="P2" s="400"/>
      <c r="Q2" s="400"/>
      <c r="R2" s="400"/>
      <c r="S2" s="400"/>
      <c r="T2" s="400"/>
      <c r="U2" s="400"/>
      <c r="V2" s="84"/>
      <c r="W2" s="400" t="s">
        <v>256</v>
      </c>
      <c r="X2" s="400"/>
      <c r="Y2" s="400"/>
      <c r="Z2" s="400"/>
      <c r="AA2" s="400"/>
      <c r="AB2" s="400"/>
      <c r="AC2" s="400"/>
      <c r="AD2" s="400"/>
      <c r="AE2" s="400"/>
      <c r="AF2" s="400"/>
      <c r="AG2" s="131"/>
      <c r="AH2" s="400" t="s">
        <v>258</v>
      </c>
      <c r="AI2" s="400"/>
      <c r="AJ2" s="400"/>
      <c r="AK2" s="400"/>
      <c r="AL2" s="131"/>
      <c r="AM2" s="400" t="s">
        <v>261</v>
      </c>
      <c r="AN2" s="400"/>
      <c r="AO2" s="400"/>
      <c r="AP2" s="400"/>
      <c r="AQ2" s="84"/>
      <c r="AR2" s="400" t="s">
        <v>263</v>
      </c>
      <c r="AS2" s="400"/>
      <c r="AT2" s="400"/>
      <c r="AU2" s="400"/>
      <c r="AV2" s="84"/>
      <c r="AW2" s="400" t="s">
        <v>266</v>
      </c>
      <c r="AX2" s="400"/>
      <c r="AY2" s="400"/>
      <c r="AZ2" s="400"/>
      <c r="BA2" s="84"/>
      <c r="BB2" s="400" t="s">
        <v>267</v>
      </c>
      <c r="BC2" s="400"/>
      <c r="BD2" s="400"/>
      <c r="BE2" s="400"/>
      <c r="BF2" s="84"/>
      <c r="BG2" s="401" t="s">
        <v>269</v>
      </c>
      <c r="BH2" s="500"/>
      <c r="BI2" s="84"/>
      <c r="BJ2" s="84"/>
    </row>
    <row r="3" spans="1:62" ht="15" customHeight="1" x14ac:dyDescent="0.2">
      <c r="A3" s="84"/>
      <c r="B3" s="504"/>
      <c r="C3" s="505"/>
      <c r="D3" s="505"/>
      <c r="E3" s="506"/>
      <c r="F3" s="84"/>
      <c r="G3" s="84"/>
      <c r="H3" s="398"/>
      <c r="I3" s="84"/>
      <c r="J3" s="496" t="s">
        <v>387</v>
      </c>
      <c r="K3" s="496"/>
      <c r="L3" s="496"/>
      <c r="M3" s="496"/>
      <c r="N3" s="496"/>
      <c r="O3" s="496"/>
      <c r="P3" s="496"/>
      <c r="Q3" s="496"/>
      <c r="R3" s="496"/>
      <c r="S3" s="496"/>
      <c r="T3" s="496"/>
      <c r="U3" s="496"/>
      <c r="V3" s="84"/>
      <c r="W3" s="496" t="s">
        <v>388</v>
      </c>
      <c r="X3" s="496"/>
      <c r="Y3" s="496"/>
      <c r="Z3" s="496"/>
      <c r="AA3" s="496"/>
      <c r="AB3" s="496"/>
      <c r="AC3" s="496"/>
      <c r="AD3" s="496"/>
      <c r="AE3" s="496"/>
      <c r="AF3" s="496"/>
      <c r="AG3" s="131"/>
      <c r="AH3" s="496" t="s">
        <v>46</v>
      </c>
      <c r="AI3" s="496"/>
      <c r="AJ3" s="496"/>
      <c r="AK3" s="496"/>
      <c r="AL3" s="131"/>
      <c r="AM3" s="497" t="s">
        <v>260</v>
      </c>
      <c r="AN3" s="497"/>
      <c r="AO3" s="497"/>
      <c r="AP3" s="497"/>
      <c r="AQ3" s="84"/>
      <c r="AR3" s="497" t="s">
        <v>151</v>
      </c>
      <c r="AS3" s="497"/>
      <c r="AT3" s="497"/>
      <c r="AU3" s="497"/>
      <c r="AV3" s="84"/>
      <c r="AW3" s="498" t="s">
        <v>88</v>
      </c>
      <c r="AX3" s="498"/>
      <c r="AY3" s="498"/>
      <c r="AZ3" s="498"/>
      <c r="BA3" s="84"/>
      <c r="BB3" s="498" t="s">
        <v>88</v>
      </c>
      <c r="BC3" s="498"/>
      <c r="BD3" s="498"/>
      <c r="BE3" s="498"/>
      <c r="BF3" s="84"/>
      <c r="BG3" s="499" t="s">
        <v>389</v>
      </c>
      <c r="BH3" s="499"/>
      <c r="BI3" s="84"/>
      <c r="BJ3" s="84"/>
    </row>
    <row r="4" spans="1:62" ht="15" customHeight="1" thickBot="1" x14ac:dyDescent="0.25">
      <c r="A4" s="84"/>
      <c r="B4" s="504"/>
      <c r="C4" s="505"/>
      <c r="D4" s="505"/>
      <c r="E4" s="506"/>
      <c r="F4" s="84"/>
      <c r="G4" s="84"/>
      <c r="H4" s="399"/>
      <c r="I4" s="84"/>
      <c r="J4" s="496"/>
      <c r="K4" s="496"/>
      <c r="L4" s="496"/>
      <c r="M4" s="496"/>
      <c r="N4" s="496"/>
      <c r="O4" s="496"/>
      <c r="P4" s="496"/>
      <c r="Q4" s="496"/>
      <c r="R4" s="496"/>
      <c r="S4" s="496"/>
      <c r="T4" s="496"/>
      <c r="U4" s="496"/>
      <c r="V4" s="84"/>
      <c r="W4" s="496"/>
      <c r="X4" s="496"/>
      <c r="Y4" s="496"/>
      <c r="Z4" s="496"/>
      <c r="AA4" s="496"/>
      <c r="AB4" s="496"/>
      <c r="AC4" s="496"/>
      <c r="AD4" s="496"/>
      <c r="AE4" s="496"/>
      <c r="AF4" s="496"/>
      <c r="AG4" s="131"/>
      <c r="AH4" s="496"/>
      <c r="AI4" s="496"/>
      <c r="AJ4" s="496"/>
      <c r="AK4" s="496"/>
      <c r="AL4" s="131"/>
      <c r="AM4" s="497"/>
      <c r="AN4" s="497"/>
      <c r="AO4" s="497"/>
      <c r="AP4" s="497"/>
      <c r="AQ4" s="84"/>
      <c r="AR4" s="497"/>
      <c r="AS4" s="497"/>
      <c r="AT4" s="497"/>
      <c r="AU4" s="497"/>
      <c r="AV4" s="84"/>
      <c r="AW4" s="498"/>
      <c r="AX4" s="498"/>
      <c r="AY4" s="498"/>
      <c r="AZ4" s="498"/>
      <c r="BA4" s="84"/>
      <c r="BB4" s="498"/>
      <c r="BC4" s="498"/>
      <c r="BD4" s="498"/>
      <c r="BE4" s="498"/>
      <c r="BF4" s="84"/>
      <c r="BG4" s="499"/>
      <c r="BH4" s="499"/>
      <c r="BI4" s="84"/>
      <c r="BJ4" s="84"/>
    </row>
    <row r="5" spans="1:62" s="83" customFormat="1" ht="15" thickBot="1" x14ac:dyDescent="0.25">
      <c r="A5" s="84"/>
      <c r="B5" s="507"/>
      <c r="C5" s="508"/>
      <c r="D5" s="508"/>
      <c r="E5" s="509"/>
      <c r="F5" s="84"/>
      <c r="G5" s="84"/>
      <c r="H5" s="242" t="s">
        <v>26</v>
      </c>
      <c r="I5" s="84"/>
      <c r="J5" s="105" t="s">
        <v>27</v>
      </c>
      <c r="K5" s="106">
        <v>36</v>
      </c>
      <c r="L5" s="105" t="s">
        <v>28</v>
      </c>
      <c r="M5" s="106">
        <v>24</v>
      </c>
      <c r="N5" s="105" t="s">
        <v>29</v>
      </c>
      <c r="O5" s="106">
        <v>12</v>
      </c>
      <c r="P5" s="105" t="s">
        <v>390</v>
      </c>
      <c r="Q5" s="106">
        <v>12</v>
      </c>
      <c r="R5" s="202" t="s">
        <v>402</v>
      </c>
      <c r="S5" s="106">
        <v>6</v>
      </c>
      <c r="T5" s="202" t="s">
        <v>392</v>
      </c>
      <c r="U5" s="106">
        <v>6</v>
      </c>
      <c r="V5" s="84"/>
      <c r="W5" s="105" t="s">
        <v>393</v>
      </c>
      <c r="X5" s="106">
        <v>48</v>
      </c>
      <c r="Y5" s="105" t="s">
        <v>394</v>
      </c>
      <c r="Z5" s="106">
        <v>36</v>
      </c>
      <c r="AA5" s="105" t="s">
        <v>28</v>
      </c>
      <c r="AB5" s="106">
        <v>24</v>
      </c>
      <c r="AC5" s="105" t="s">
        <v>30</v>
      </c>
      <c r="AD5" s="106">
        <v>12</v>
      </c>
      <c r="AE5" s="105" t="s">
        <v>395</v>
      </c>
      <c r="AF5" s="106">
        <v>6</v>
      </c>
      <c r="AG5" s="131"/>
      <c r="AH5" s="202" t="s">
        <v>396</v>
      </c>
      <c r="AI5" s="106">
        <v>4</v>
      </c>
      <c r="AJ5" s="202" t="s">
        <v>249</v>
      </c>
      <c r="AK5" s="106">
        <v>1</v>
      </c>
      <c r="AL5" s="131"/>
      <c r="AM5" s="105" t="s">
        <v>30</v>
      </c>
      <c r="AN5" s="106">
        <v>12</v>
      </c>
      <c r="AO5" s="105" t="s">
        <v>397</v>
      </c>
      <c r="AP5" s="106">
        <v>6</v>
      </c>
      <c r="AQ5" s="84"/>
      <c r="AR5" s="105" t="s">
        <v>396</v>
      </c>
      <c r="AS5" s="106">
        <v>4</v>
      </c>
      <c r="AT5" s="105" t="s">
        <v>249</v>
      </c>
      <c r="AU5" s="106">
        <v>1</v>
      </c>
      <c r="AV5" s="84"/>
      <c r="AW5" s="105" t="s">
        <v>30</v>
      </c>
      <c r="AX5" s="106">
        <v>12</v>
      </c>
      <c r="AY5" s="105" t="s">
        <v>397</v>
      </c>
      <c r="AZ5" s="106">
        <v>6</v>
      </c>
      <c r="BA5" s="84"/>
      <c r="BB5" s="105" t="s">
        <v>396</v>
      </c>
      <c r="BC5" s="106">
        <v>4</v>
      </c>
      <c r="BD5" s="105" t="s">
        <v>249</v>
      </c>
      <c r="BE5" s="106">
        <v>1</v>
      </c>
      <c r="BF5" s="84"/>
      <c r="BG5" s="105" t="s">
        <v>249</v>
      </c>
      <c r="BH5" s="106">
        <v>1</v>
      </c>
      <c r="BI5" s="84"/>
      <c r="BJ5" s="84"/>
    </row>
    <row r="6" spans="1:62" x14ac:dyDescent="0.2">
      <c r="A6" s="84"/>
      <c r="B6" s="159" t="s">
        <v>403</v>
      </c>
      <c r="C6" s="227" t="s">
        <v>22</v>
      </c>
      <c r="D6" s="227" t="s">
        <v>2</v>
      </c>
      <c r="E6" s="159" t="s">
        <v>32</v>
      </c>
      <c r="F6" s="159"/>
      <c r="G6" s="84"/>
      <c r="H6" s="243" t="s">
        <v>404</v>
      </c>
      <c r="I6" s="84"/>
      <c r="J6" s="96">
        <v>43.088601470432941</v>
      </c>
      <c r="K6" s="97">
        <f>J6/J6</f>
        <v>1</v>
      </c>
      <c r="L6" s="96">
        <v>60.455144957761348</v>
      </c>
      <c r="M6" s="97">
        <f>L6/L6</f>
        <v>1</v>
      </c>
      <c r="N6" s="96">
        <v>116.8602899155227</v>
      </c>
      <c r="O6" s="97">
        <f>N6/N6</f>
        <v>1</v>
      </c>
      <c r="P6" s="96">
        <f>N6</f>
        <v>116.8602899155227</v>
      </c>
      <c r="Q6" s="97">
        <f>P6/P6</f>
        <v>1</v>
      </c>
      <c r="R6" s="96">
        <v>226.2205798310454</v>
      </c>
      <c r="S6" s="97">
        <f>R6/R6</f>
        <v>1</v>
      </c>
      <c r="T6" s="96">
        <f>R6</f>
        <v>226.2205798310454</v>
      </c>
      <c r="U6" s="97">
        <f>T6/T6</f>
        <v>1</v>
      </c>
      <c r="V6" s="84"/>
      <c r="W6" s="96">
        <f>AC6*0.18+2</f>
        <v>22.448052184794086</v>
      </c>
      <c r="X6" s="97">
        <f>W6/W6</f>
        <v>1</v>
      </c>
      <c r="Y6" s="96">
        <f>AC6*0.3+2</f>
        <v>36.080086974656808</v>
      </c>
      <c r="Z6" s="97">
        <f>Y6/Y6</f>
        <v>1</v>
      </c>
      <c r="AA6" s="96">
        <f>AC6*0.5+2</f>
        <v>58.800144957761354</v>
      </c>
      <c r="AB6" s="97">
        <f>AA6/AA6</f>
        <v>1</v>
      </c>
      <c r="AC6" s="96">
        <v>113.60028991552271</v>
      </c>
      <c r="AD6" s="97">
        <f>AC6/AC6</f>
        <v>1</v>
      </c>
      <c r="AE6" s="96">
        <v>222.51625128205166</v>
      </c>
      <c r="AF6" s="97">
        <f>AE6/AE6</f>
        <v>1</v>
      </c>
      <c r="AG6" s="131"/>
      <c r="AH6" s="96">
        <v>447.4411596620908</v>
      </c>
      <c r="AI6" s="97">
        <f>AH6/AH6</f>
        <v>1</v>
      </c>
      <c r="AJ6" s="96">
        <v>1400</v>
      </c>
      <c r="AK6" s="97">
        <f>AJ6/AJ6</f>
        <v>1</v>
      </c>
      <c r="AL6" s="131"/>
      <c r="AM6" s="96">
        <v>128.5</v>
      </c>
      <c r="AN6" s="97">
        <f>AM6/AM6</f>
        <v>1</v>
      </c>
      <c r="AO6" s="96">
        <v>236.17</v>
      </c>
      <c r="AP6" s="97">
        <f>AO6/AO6</f>
        <v>1</v>
      </c>
      <c r="AQ6" s="84"/>
      <c r="AR6" s="96">
        <v>535.95000000000005</v>
      </c>
      <c r="AS6" s="97">
        <f>AR6/AR6</f>
        <v>1</v>
      </c>
      <c r="AT6" s="96">
        <v>1977.79</v>
      </c>
      <c r="AU6" s="97">
        <f>AT6/AT6</f>
        <v>1</v>
      </c>
      <c r="AV6" s="84"/>
      <c r="AW6" s="96">
        <v>144.608</v>
      </c>
      <c r="AX6" s="97">
        <f>AW6/AW6</f>
        <v>1</v>
      </c>
      <c r="AY6" s="96">
        <v>278.21600000000001</v>
      </c>
      <c r="AZ6" s="97">
        <f>AY6/AY6</f>
        <v>1</v>
      </c>
      <c r="BA6" s="84"/>
      <c r="BB6" s="96">
        <v>551.43200000000002</v>
      </c>
      <c r="BC6" s="97">
        <f>BB6/BB6</f>
        <v>1</v>
      </c>
      <c r="BD6" s="96">
        <v>2150</v>
      </c>
      <c r="BE6" s="97">
        <f>BD6/BD6</f>
        <v>1</v>
      </c>
      <c r="BF6" s="84"/>
      <c r="BG6" s="96">
        <v>1250</v>
      </c>
      <c r="BH6" s="97">
        <f>BG6/BG6</f>
        <v>1</v>
      </c>
      <c r="BI6" s="84"/>
      <c r="BJ6" s="84"/>
    </row>
    <row r="7" spans="1:62" x14ac:dyDescent="0.2">
      <c r="A7" s="84"/>
      <c r="B7" s="222"/>
      <c r="C7" s="228" t="str">
        <f>'Pricing Trends'!R13</f>
        <v>RBD SOYA BEAN OIL</v>
      </c>
      <c r="D7" s="249">
        <f>'Pricing Trends'!S13</f>
        <v>45314</v>
      </c>
      <c r="E7" s="223">
        <f>'Pricing Trends'!U13</f>
        <v>69.078871899999996</v>
      </c>
      <c r="F7" s="220" t="b">
        <v>1</v>
      </c>
      <c r="G7" s="84"/>
      <c r="H7" s="244" t="s">
        <v>405</v>
      </c>
      <c r="I7" s="84"/>
      <c r="J7" s="191">
        <f>J6*0.92*0.98</f>
        <v>38.848683085742337</v>
      </c>
      <c r="K7" s="188">
        <f>J7/J7</f>
        <v>1</v>
      </c>
      <c r="L7" s="191">
        <f>L6*0.92*0.98</f>
        <v>54.506358693917633</v>
      </c>
      <c r="M7" s="188">
        <f>L7/L7</f>
        <v>1</v>
      </c>
      <c r="N7" s="191">
        <f>N6*0.92*0.98</f>
        <v>105.36123738783526</v>
      </c>
      <c r="O7" s="188">
        <f>N7/N7</f>
        <v>1</v>
      </c>
      <c r="P7" s="191">
        <f>P6*0.92*0.98</f>
        <v>105.36123738783526</v>
      </c>
      <c r="Q7" s="188">
        <f>P7/P7</f>
        <v>1</v>
      </c>
      <c r="R7" s="191">
        <f>R6*0.92*0.98</f>
        <v>203.96047477567052</v>
      </c>
      <c r="S7" s="188">
        <f>R7/R7</f>
        <v>1</v>
      </c>
      <c r="T7" s="191">
        <f>T6*0.92*0.98</f>
        <v>203.96047477567052</v>
      </c>
      <c r="U7" s="188">
        <f>T7/T7</f>
        <v>1</v>
      </c>
      <c r="V7" s="84"/>
      <c r="W7" s="191">
        <f>W6*0.92*0.98</f>
        <v>20.23916384981035</v>
      </c>
      <c r="X7" s="188">
        <f>W7/W7</f>
        <v>1</v>
      </c>
      <c r="Y7" s="191">
        <f>Y6*0.92*0.98</f>
        <v>32.529806416350574</v>
      </c>
      <c r="Z7" s="188">
        <f>Y7/Y7</f>
        <v>1</v>
      </c>
      <c r="AA7" s="191">
        <f>AA6*0.92*0.98</f>
        <v>53.014210693917633</v>
      </c>
      <c r="AB7" s="188">
        <f>AA7/AA7</f>
        <v>1</v>
      </c>
      <c r="AC7" s="191">
        <f>AC6*0.92*0.98</f>
        <v>102.42202138783527</v>
      </c>
      <c r="AD7" s="188">
        <f>AC7/AC7</f>
        <v>1</v>
      </c>
      <c r="AE7" s="191">
        <f>AE6*0.92*0.98</f>
        <v>200.6206521558978</v>
      </c>
      <c r="AF7" s="188">
        <f>AE7/AE7</f>
        <v>1</v>
      </c>
      <c r="AG7" s="131"/>
      <c r="AH7" s="191">
        <f>AH6*0.92*0.98</f>
        <v>403.41294955134111</v>
      </c>
      <c r="AI7" s="188">
        <f>AH7/AH7</f>
        <v>1</v>
      </c>
      <c r="AJ7" s="191">
        <f>AJ6*0.95</f>
        <v>1330</v>
      </c>
      <c r="AK7" s="188">
        <f>AJ7/AJ7</f>
        <v>1</v>
      </c>
      <c r="AL7" s="131"/>
      <c r="AM7" s="191">
        <f>AM6*0.92*0.98</f>
        <v>115.8556</v>
      </c>
      <c r="AN7" s="188">
        <f>AM7/AM7</f>
        <v>1</v>
      </c>
      <c r="AO7" s="191">
        <f>AO6*0.92*0.98</f>
        <v>212.93087199999999</v>
      </c>
      <c r="AP7" s="188">
        <f>AO7/AO7</f>
        <v>1</v>
      </c>
      <c r="AQ7" s="84"/>
      <c r="AR7" s="191">
        <f>AR6*0.92*0.98</f>
        <v>483.21252000000004</v>
      </c>
      <c r="AS7" s="188">
        <f>AR7/AR7</f>
        <v>1</v>
      </c>
      <c r="AT7" s="191">
        <f>AT6*0.95</f>
        <v>1878.9005</v>
      </c>
      <c r="AU7" s="188">
        <f>AT7/AT7</f>
        <v>1</v>
      </c>
      <c r="AV7" s="84"/>
      <c r="AW7" s="191">
        <f>AW6*0.92*0.98</f>
        <v>130.3785728</v>
      </c>
      <c r="AX7" s="188">
        <f>AW7/AW7</f>
        <v>1</v>
      </c>
      <c r="AY7" s="191">
        <f>AY6*0.92*0.98</f>
        <v>250.83954560000004</v>
      </c>
      <c r="AZ7" s="188">
        <f>AY7/AY7</f>
        <v>1</v>
      </c>
      <c r="BA7" s="84"/>
      <c r="BB7" s="191">
        <f>BB6*0.92*0.98</f>
        <v>497.17109120000003</v>
      </c>
      <c r="BC7" s="188">
        <f>BB7/BB7</f>
        <v>1</v>
      </c>
      <c r="BD7" s="191">
        <f>BD6*0.95</f>
        <v>2042.5</v>
      </c>
      <c r="BE7" s="188">
        <f>BD7/BD7</f>
        <v>1</v>
      </c>
      <c r="BF7" s="84"/>
      <c r="BG7" s="191">
        <f>BG6*0.95</f>
        <v>1187.5</v>
      </c>
      <c r="BH7" s="188">
        <f>BG7/BG7</f>
        <v>1</v>
      </c>
      <c r="BI7" s="84"/>
      <c r="BJ7" s="84"/>
    </row>
    <row r="8" spans="1:62" x14ac:dyDescent="0.2">
      <c r="A8" s="84"/>
      <c r="B8" s="222"/>
      <c r="C8" s="228" t="str">
        <f>'Pricing Trends'!R14</f>
        <v>RBD SOYA BEAN OIL</v>
      </c>
      <c r="D8" s="249">
        <f>'Pricing Trends'!S14</f>
        <v>45256</v>
      </c>
      <c r="E8" s="223">
        <f>'Pricing Trends'!U14</f>
        <v>68.754339999999999</v>
      </c>
      <c r="F8" s="220" t="b">
        <v>1</v>
      </c>
      <c r="G8" s="84"/>
      <c r="H8" s="245" t="s">
        <v>45</v>
      </c>
      <c r="I8" s="84"/>
      <c r="J8" s="265">
        <f>IFERROR(VLOOKUP($J$2&amp;$H8,Validation!$E:$O,4,FALSE),0)</f>
        <v>0</v>
      </c>
      <c r="K8" s="99">
        <f>J8/J$6</f>
        <v>0</v>
      </c>
      <c r="L8" s="265">
        <f>IFERROR(VLOOKUP($J$2&amp;$H8,Validation!$E:$O,5,FALSE),0)</f>
        <v>0</v>
      </c>
      <c r="M8" s="99">
        <f>L8/L$6</f>
        <v>0</v>
      </c>
      <c r="N8" s="265">
        <f>IFERROR(VLOOKUP($J$2&amp;$H8,Validation!$E:$O,6,FALSE),0)</f>
        <v>0</v>
      </c>
      <c r="O8" s="99">
        <f>N8/N$6</f>
        <v>0</v>
      </c>
      <c r="P8" s="265">
        <f>IFERROR(VLOOKUP($J$2&amp;$H8,Validation!$E:$O,6,FALSE),0)</f>
        <v>0</v>
      </c>
      <c r="Q8" s="99">
        <f>P8/P$6</f>
        <v>0</v>
      </c>
      <c r="R8" s="266">
        <f>IFERROR(VLOOKUP($J$2&amp;$H8,Validation!$E:$O,7,FALSE),0)</f>
        <v>0</v>
      </c>
      <c r="S8" s="99">
        <f>R8/R$6</f>
        <v>0</v>
      </c>
      <c r="T8" s="266">
        <f>IFERROR(VLOOKUP($J$2&amp;$H8,Validation!$E:$O,7,FALSE),0)</f>
        <v>0</v>
      </c>
      <c r="U8" s="99">
        <f>T8/T$6</f>
        <v>0</v>
      </c>
      <c r="V8" s="84"/>
      <c r="W8" s="265">
        <f>IFERROR(VLOOKUP($W$2&amp;$H8,Validation!$E:$O,9,FALSE),0)</f>
        <v>3.7302590825999995</v>
      </c>
      <c r="X8" s="99">
        <f>W8/W$6</f>
        <v>0.16617295130518323</v>
      </c>
      <c r="Y8" s="265">
        <f>IFERROR(VLOOKUP($W$2&amp;$H8,Validation!$E:$O,10,FALSE),0)</f>
        <v>6.217098470999999</v>
      </c>
      <c r="Z8" s="99">
        <f>Y8/Y$6</f>
        <v>0.17231384379330852</v>
      </c>
      <c r="AA8" s="265">
        <f>IFERROR(VLOOKUP($W$2&amp;$H8,Validation!$E:$O,5,FALSE),0)</f>
        <v>10.361830784999999</v>
      </c>
      <c r="AB8" s="99">
        <f>AA8/AA$6</f>
        <v>0.17622117755735708</v>
      </c>
      <c r="AC8" s="265">
        <f>IFERROR(VLOOKUP($W$2&amp;$H8,Validation!$E:$O,6,FALSE),0)</f>
        <v>20.723661569999997</v>
      </c>
      <c r="AD8" s="99">
        <f>AC8/AC$6</f>
        <v>0.18242613276260883</v>
      </c>
      <c r="AE8" s="265">
        <f>IFERROR(VLOOKUP($W$2&amp;$H8,Validation!$E:$O,7,FALSE),0)</f>
        <v>41.447323139999995</v>
      </c>
      <c r="AF8" s="99">
        <f>AE8/AE$6</f>
        <v>0.18626649919363966</v>
      </c>
      <c r="AG8" s="131"/>
      <c r="AH8" s="266">
        <f>IFERROR(VLOOKUP($AH$2&amp;$H8,Validation!E:O,8,FALSE),0)</f>
        <v>0</v>
      </c>
      <c r="AI8" s="99">
        <f t="shared" ref="AI8:AI17" si="0">AH8/AH$6</f>
        <v>0</v>
      </c>
      <c r="AJ8" s="266">
        <f>IFERROR(VLOOKUP($AH$2&amp;$H8,Validation!E:O,11,FALSE),0)</f>
        <v>0</v>
      </c>
      <c r="AK8" s="99">
        <f t="shared" ref="AK8:AK17" si="1">AJ8/AJ$6</f>
        <v>0</v>
      </c>
      <c r="AL8" s="131"/>
      <c r="AM8" s="265">
        <f>IFERROR(VLOOKUP($AM$2&amp;$H8,Validation!$E:$O,6,FALSE),0)</f>
        <v>0</v>
      </c>
      <c r="AN8" s="99">
        <f>AM8/AM$6</f>
        <v>0</v>
      </c>
      <c r="AO8" s="265">
        <f>IFERROR(VLOOKUP($AM$2&amp;$H8,Validation!$E:$O,7,FALSE),0)</f>
        <v>0</v>
      </c>
      <c r="AP8" s="99">
        <f>AO8/AO$6</f>
        <v>0</v>
      </c>
      <c r="AQ8" s="84"/>
      <c r="AR8" s="265">
        <f>IFERROR(VLOOKUP($AR$2&amp;$H8,Validation!$E:$O,8,FALSE),0)</f>
        <v>0</v>
      </c>
      <c r="AS8" s="99">
        <f>AR8/AR$6</f>
        <v>0</v>
      </c>
      <c r="AT8" s="265">
        <f>IFERROR(VLOOKUP($AR$2&amp;$H8,Validation!$E:$O,11,FALSE),0)</f>
        <v>0</v>
      </c>
      <c r="AU8" s="99">
        <f>AT8/AT$6</f>
        <v>0</v>
      </c>
      <c r="AV8" s="84"/>
      <c r="AW8" s="265">
        <f>IFERROR(VLOOKUP($AW$2&amp;$H8,Validation!$E:$O,6,FALSE),0)</f>
        <v>55.263097520000002</v>
      </c>
      <c r="AX8" s="99">
        <f>AW8/AW$6</f>
        <v>0.38215795474662534</v>
      </c>
      <c r="AY8" s="265">
        <f>IFERROR(VLOOKUP($AW$2&amp;$H8,Validation!$E:$O,7,FALSE),0)</f>
        <v>110.52619504</v>
      </c>
      <c r="AZ8" s="99">
        <f>AY8/AY$6</f>
        <v>0.39726757282111741</v>
      </c>
      <c r="BA8" s="84"/>
      <c r="BB8" s="265">
        <f>IFERROR(VLOOKUP($BB$2&amp;$H8,Validation!$E:$L,8,FALSE),0)</f>
        <v>276.31548759999998</v>
      </c>
      <c r="BC8" s="99">
        <f>BB8/BB$6</f>
        <v>0.50108714691929368</v>
      </c>
      <c r="BD8" s="265">
        <f>IFERROR(VLOOKUP($BB$2&amp;$H8,Validation!$E:$O,11,FALSE),0)</f>
        <v>1229.3292622253257</v>
      </c>
      <c r="BE8" s="99">
        <f>BD8/BD$6</f>
        <v>0.57178105219782593</v>
      </c>
      <c r="BF8" s="84"/>
      <c r="BG8" s="265">
        <f>IFERROR(VLOOKUP($BG$2&amp;$H8,Validation!E:O,11,FALSE),0)</f>
        <v>0</v>
      </c>
      <c r="BH8" s="99">
        <f>BG8/BG$6</f>
        <v>0</v>
      </c>
      <c r="BI8" s="84"/>
      <c r="BJ8" s="84"/>
    </row>
    <row r="9" spans="1:62" x14ac:dyDescent="0.2">
      <c r="A9" s="84"/>
      <c r="B9" s="222"/>
      <c r="C9" s="228" t="str">
        <f>'Pricing Trends'!R15</f>
        <v>RBD SOYA BEAN OIL</v>
      </c>
      <c r="D9" s="249">
        <f>'Pricing Trends'!S15</f>
        <v>45132</v>
      </c>
      <c r="E9" s="223">
        <f>'Pricing Trends'!U15</f>
        <v>64.592929999999996</v>
      </c>
      <c r="F9" s="220" t="b">
        <v>0</v>
      </c>
      <c r="G9" s="84"/>
      <c r="H9" s="245" t="s">
        <v>54</v>
      </c>
      <c r="I9" s="84"/>
      <c r="J9" s="265">
        <f>IFERROR(VLOOKUP($J$2&amp;$H9,Validation!$E:$O,4,FALSE),0)</f>
        <v>0</v>
      </c>
      <c r="K9" s="99">
        <f t="shared" ref="K9:K17" si="2">J9/J$6</f>
        <v>0</v>
      </c>
      <c r="L9" s="265">
        <f>IFERROR(VLOOKUP($J$2&amp;$H9,Validation!$E:$O,5,FALSE),0)</f>
        <v>0</v>
      </c>
      <c r="M9" s="99">
        <f t="shared" ref="M9:M17" si="3">L9/L$6</f>
        <v>0</v>
      </c>
      <c r="N9" s="265">
        <f>IFERROR(VLOOKUP($J$2&amp;$H9,Validation!$E:$O,6,FALSE),0)</f>
        <v>0</v>
      </c>
      <c r="O9" s="99">
        <f t="shared" ref="O9:O17" si="4">N9/N$6</f>
        <v>0</v>
      </c>
      <c r="P9" s="265">
        <f>IFERROR(VLOOKUP($J$2&amp;$H9,Validation!$E:$O,6,FALSE),0)</f>
        <v>0</v>
      </c>
      <c r="Q9" s="99">
        <f t="shared" ref="Q9:Q17" si="5">P9/P$6</f>
        <v>0</v>
      </c>
      <c r="R9" s="266">
        <f>IFERROR(VLOOKUP($J$2&amp;$H9,Validation!$E:$O,7,FALSE),0)</f>
        <v>0</v>
      </c>
      <c r="S9" s="99">
        <f t="shared" ref="S9:S17" si="6">R9/R$6</f>
        <v>0</v>
      </c>
      <c r="T9" s="266">
        <f>IFERROR(VLOOKUP($J$2&amp;$H9,Validation!$E:$O,7,FALSE),0)</f>
        <v>0</v>
      </c>
      <c r="U9" s="99">
        <f t="shared" ref="U9:U17" si="7">T9/T$6</f>
        <v>0</v>
      </c>
      <c r="V9" s="84"/>
      <c r="W9" s="265">
        <f>IFERROR(VLOOKUP($W$2&amp;$H9,Validation!$E:$O,9,FALSE),0)</f>
        <v>0</v>
      </c>
      <c r="X9" s="99">
        <f t="shared" ref="X9:X17" si="8">W9/W$6</f>
        <v>0</v>
      </c>
      <c r="Y9" s="265">
        <f>IFERROR(VLOOKUP($W$2&amp;$H9,Validation!$E:$O,10,FALSE),0)</f>
        <v>0</v>
      </c>
      <c r="Z9" s="99">
        <f t="shared" ref="Z9:Z17" si="9">Y9/Y$6</f>
        <v>0</v>
      </c>
      <c r="AA9" s="265">
        <f>IFERROR(VLOOKUP($W$2&amp;$H9,Validation!$E:$O,5,FALSE),0)</f>
        <v>0</v>
      </c>
      <c r="AB9" s="99">
        <f t="shared" ref="AB9:AB17" si="10">AA9/AA$6</f>
        <v>0</v>
      </c>
      <c r="AC9" s="265">
        <f>IFERROR(VLOOKUP($W$2&amp;$H9,Validation!$E:$O,6,FALSE),0)</f>
        <v>0</v>
      </c>
      <c r="AD9" s="99">
        <f t="shared" ref="AD9:AD17" si="11">AC9/AC$6</f>
        <v>0</v>
      </c>
      <c r="AE9" s="265">
        <f>IFERROR(VLOOKUP($W$2&amp;$H9,Validation!$E:$O,7,FALSE),0)</f>
        <v>0</v>
      </c>
      <c r="AF9" s="99">
        <f t="shared" ref="AF9:AF17" si="12">AE9/AE$6</f>
        <v>0</v>
      </c>
      <c r="AG9" s="131"/>
      <c r="AH9" s="266">
        <f>IFERROR(VLOOKUP($AH$2&amp;$H9,Validation!E:O,8,FALSE),0)</f>
        <v>0</v>
      </c>
      <c r="AI9" s="99">
        <f t="shared" si="0"/>
        <v>0</v>
      </c>
      <c r="AJ9" s="266">
        <f>IFERROR(VLOOKUP($AH$2&amp;$H9,Validation!E:O,11,FALSE),0)</f>
        <v>0</v>
      </c>
      <c r="AK9" s="99">
        <f t="shared" si="1"/>
        <v>0</v>
      </c>
      <c r="AL9" s="131"/>
      <c r="AM9" s="265">
        <f>IFERROR(VLOOKUP($AM$2&amp;$H9,Validation!$E:$O,6,FALSE),0)</f>
        <v>0</v>
      </c>
      <c r="AN9" s="99">
        <f t="shared" ref="AN9:AN17" si="13">AM9/AM$6</f>
        <v>0</v>
      </c>
      <c r="AO9" s="265">
        <f>IFERROR(VLOOKUP($AM$2&amp;$H9,Validation!$E:$O,7,FALSE),0)</f>
        <v>0</v>
      </c>
      <c r="AP9" s="99">
        <f t="shared" ref="AP9:AP17" si="14">AO9/AO$6</f>
        <v>0</v>
      </c>
      <c r="AQ9" s="84"/>
      <c r="AR9" s="265">
        <f>IFERROR(VLOOKUP($AR$2&amp;$H9,Validation!$E:$O,8,FALSE),0)</f>
        <v>0</v>
      </c>
      <c r="AS9" s="99">
        <f t="shared" ref="AS9:AS17" si="15">AR9/AR$6</f>
        <v>0</v>
      </c>
      <c r="AT9" s="265">
        <f>IFERROR(VLOOKUP($AR$2&amp;$H9,Validation!$E:$O,11,FALSE),0)</f>
        <v>0</v>
      </c>
      <c r="AU9" s="99">
        <f t="shared" ref="AU9:AU17" si="16">AT9/AT$6</f>
        <v>0</v>
      </c>
      <c r="AV9" s="84"/>
      <c r="AW9" s="265">
        <f>IFERROR(VLOOKUP($AW$2&amp;$H9,Validation!$E:$O,6,FALSE),0)</f>
        <v>0</v>
      </c>
      <c r="AX9" s="99">
        <f t="shared" ref="AX9:AX17" si="17">AW9/AW$6</f>
        <v>0</v>
      </c>
      <c r="AY9" s="265">
        <f>IFERROR(VLOOKUP($AW$2&amp;$H9,Validation!$E:$O,7,FALSE),0)</f>
        <v>0</v>
      </c>
      <c r="AZ9" s="99">
        <f t="shared" ref="AZ9:AZ17" si="18">AY9/AY$6</f>
        <v>0</v>
      </c>
      <c r="BA9" s="84"/>
      <c r="BB9" s="265">
        <f>IFERROR(VLOOKUP($BB$2&amp;$H9,Validation!$E:$L,8,FALSE),0)</f>
        <v>0</v>
      </c>
      <c r="BC9" s="99">
        <f t="shared" ref="BC9:BC17" si="19">BB9/BB$6</f>
        <v>0</v>
      </c>
      <c r="BD9" s="265">
        <f>IFERROR(VLOOKUP($BB$2&amp;$H9,Validation!$E:$O,11,FALSE),0)</f>
        <v>0</v>
      </c>
      <c r="BE9" s="99">
        <f t="shared" ref="BE9:BE17" si="20">BD9/BD$6</f>
        <v>0</v>
      </c>
      <c r="BF9" s="84"/>
      <c r="BG9" s="265">
        <f>IFERROR(VLOOKUP($BG$2&amp;$H9,Validation!E:O,11,FALSE),0)</f>
        <v>0</v>
      </c>
      <c r="BH9" s="99">
        <f t="shared" ref="BH9:BH17" si="21">BG9/BG$6</f>
        <v>0</v>
      </c>
      <c r="BI9" s="84"/>
      <c r="BJ9" s="84"/>
    </row>
    <row r="10" spans="1:62" x14ac:dyDescent="0.2">
      <c r="A10" s="84"/>
      <c r="B10" s="222"/>
      <c r="C10" s="228" t="str">
        <f>'Pricing Trends'!R16</f>
        <v>RBD SOYA BEAN OIL</v>
      </c>
      <c r="D10" s="249">
        <f>'Pricing Trends'!S16</f>
        <v>44961</v>
      </c>
      <c r="E10" s="223">
        <f>'Pricing Trends'!U16</f>
        <v>81.901482099999996</v>
      </c>
      <c r="F10" s="220" t="b">
        <v>0</v>
      </c>
      <c r="G10" s="84"/>
      <c r="H10" s="245" t="s">
        <v>58</v>
      </c>
      <c r="I10" s="84"/>
      <c r="J10" s="265">
        <f>IFERROR(VLOOKUP($J$2&amp;$H10,Validation!$E:$O,4,FALSE),0)</f>
        <v>21.228605999999999</v>
      </c>
      <c r="K10" s="99">
        <f t="shared" si="2"/>
        <v>0.49267335851145927</v>
      </c>
      <c r="L10" s="265">
        <f>IFERROR(VLOOKUP($J$2&amp;$H10,Validation!$E:$O,5,FALSE),0)</f>
        <v>30.32658</v>
      </c>
      <c r="M10" s="99">
        <f t="shared" si="3"/>
        <v>0.50163770215402681</v>
      </c>
      <c r="N10" s="265">
        <f>IFERROR(VLOOKUP($J$2&amp;$H10,Validation!$E:$O,6,FALSE),0)</f>
        <v>60.65316</v>
      </c>
      <c r="O10" s="99">
        <f t="shared" si="4"/>
        <v>0.51902284380644315</v>
      </c>
      <c r="P10" s="265">
        <f>IFERROR(VLOOKUP($J$2&amp;$H10,Validation!$E:$O,6,FALSE),0)</f>
        <v>60.65316</v>
      </c>
      <c r="Q10" s="99">
        <f t="shared" si="5"/>
        <v>0.51902284380644315</v>
      </c>
      <c r="R10" s="266">
        <f>IFERROR(VLOOKUP($J$2&amp;$H10,Validation!$E:$O,7,FALSE),0)</f>
        <v>121.30632</v>
      </c>
      <c r="S10" s="99">
        <f t="shared" si="6"/>
        <v>0.53623025849636918</v>
      </c>
      <c r="T10" s="266">
        <f>IFERROR(VLOOKUP($J$2&amp;$H10,Validation!$E:$O,7,FALSE),0)</f>
        <v>121.30632</v>
      </c>
      <c r="U10" s="99">
        <f t="shared" si="7"/>
        <v>0.53623025849636918</v>
      </c>
      <c r="V10" s="84"/>
      <c r="W10" s="265">
        <f>IFERROR(VLOOKUP($W$2&amp;$H10,Validation!$E:$O,9,FALSE),0)</f>
        <v>7.6422981599999993</v>
      </c>
      <c r="X10" s="99">
        <f t="shared" si="8"/>
        <v>0.34044370964073029</v>
      </c>
      <c r="Y10" s="265">
        <f>IFERROR(VLOOKUP($W$2&amp;$H10,Validation!$E:$O,10,FALSE),0)</f>
        <v>12.737163599999999</v>
      </c>
      <c r="Z10" s="99">
        <f t="shared" si="9"/>
        <v>0.35302474766612324</v>
      </c>
      <c r="AA10" s="265">
        <f>IFERROR(VLOOKUP($W$2&amp;$H10,Validation!$E:$O,5,FALSE),0)</f>
        <v>21.228605999999999</v>
      </c>
      <c r="AB10" s="99">
        <f t="shared" si="10"/>
        <v>0.36102982425042335</v>
      </c>
      <c r="AC10" s="265">
        <f>IFERROR(VLOOKUP($W$2&amp;$H10,Validation!$E:$O,6,FALSE),0)</f>
        <v>42.457211999999998</v>
      </c>
      <c r="AD10" s="99">
        <f t="shared" si="11"/>
        <v>0.3737421095630365</v>
      </c>
      <c r="AE10" s="265">
        <f>IFERROR(VLOOKUP($W$2&amp;$H10,Validation!$E:$O,7,FALSE),0)</f>
        <v>84.914423999999997</v>
      </c>
      <c r="AF10" s="99">
        <f t="shared" si="12"/>
        <v>0.38160998808292107</v>
      </c>
      <c r="AG10" s="131"/>
      <c r="AH10" s="266">
        <f>IFERROR(VLOOKUP($AH$2&amp;$H10,Validation!E:O,8,FALSE),0)</f>
        <v>0</v>
      </c>
      <c r="AI10" s="99">
        <f t="shared" si="0"/>
        <v>0</v>
      </c>
      <c r="AJ10" s="266">
        <f>IFERROR(VLOOKUP($AH$2&amp;$H10,Validation!E:O,11,FALSE),0)</f>
        <v>0</v>
      </c>
      <c r="AK10" s="99">
        <f t="shared" si="1"/>
        <v>0</v>
      </c>
      <c r="AL10" s="131"/>
      <c r="AM10" s="265">
        <f>IFERROR(VLOOKUP($AM$2&amp;$H10,Validation!$E:$O,6,FALSE),0)</f>
        <v>12.130632</v>
      </c>
      <c r="AN10" s="99">
        <f t="shared" si="13"/>
        <v>9.4401805447470816E-2</v>
      </c>
      <c r="AO10" s="265">
        <f>IFERROR(VLOOKUP($AM$2&amp;$H10,Validation!$E:$O,7,FALSE),0)</f>
        <v>24.261264000000001</v>
      </c>
      <c r="AP10" s="99">
        <f t="shared" si="14"/>
        <v>0.10272796714231275</v>
      </c>
      <c r="AQ10" s="84"/>
      <c r="AR10" s="265">
        <f>IFERROR(VLOOKUP($AR$2&amp;$H10,Validation!$E:$O,8,FALSE),0)</f>
        <v>0</v>
      </c>
      <c r="AS10" s="99">
        <f t="shared" si="15"/>
        <v>0</v>
      </c>
      <c r="AT10" s="265">
        <f>IFERROR(VLOOKUP($AR$2&amp;$H10,Validation!$E:$O,11,FALSE),0)</f>
        <v>0</v>
      </c>
      <c r="AU10" s="99">
        <f t="shared" si="16"/>
        <v>0</v>
      </c>
      <c r="AV10" s="84"/>
      <c r="AW10" s="265">
        <f>IFERROR(VLOOKUP($AW$2&amp;$H10,Validation!$E:$O,6,FALSE),0)</f>
        <v>12.130632</v>
      </c>
      <c r="AX10" s="99">
        <f t="shared" si="17"/>
        <v>8.3886313343660104E-2</v>
      </c>
      <c r="AY10" s="265">
        <f>IFERROR(VLOOKUP($AW$2&amp;$H10,Validation!$E:$O,7,FALSE),0)</f>
        <v>24.261264000000001</v>
      </c>
      <c r="AZ10" s="99">
        <f t="shared" si="18"/>
        <v>8.7202978980360585E-2</v>
      </c>
      <c r="BA10" s="84"/>
      <c r="BB10" s="265">
        <f>IFERROR(VLOOKUP($BB$2&amp;$H10,Validation!$E:$L,8,FALSE),0)</f>
        <v>0</v>
      </c>
      <c r="BC10" s="99">
        <f t="shared" si="19"/>
        <v>0</v>
      </c>
      <c r="BD10" s="265">
        <f>IFERROR(VLOOKUP($BB$2&amp;$H10,Validation!$E:$O,11,FALSE),0)</f>
        <v>0</v>
      </c>
      <c r="BE10" s="99">
        <f t="shared" si="20"/>
        <v>0</v>
      </c>
      <c r="BF10" s="84"/>
      <c r="BG10" s="265">
        <f>IFERROR(VLOOKUP($BG$2&amp;$H10,Validation!E:O,11,FALSE),0)</f>
        <v>0</v>
      </c>
      <c r="BH10" s="99">
        <f t="shared" si="21"/>
        <v>0</v>
      </c>
      <c r="BI10" s="84"/>
      <c r="BJ10" s="84"/>
    </row>
    <row r="11" spans="1:62" x14ac:dyDescent="0.2">
      <c r="A11" s="84"/>
      <c r="B11" s="222"/>
      <c r="C11" s="228">
        <f>'Pricing Trends'!R17</f>
        <v>0</v>
      </c>
      <c r="D11" s="249">
        <f>'Pricing Trends'!S17</f>
        <v>0</v>
      </c>
      <c r="E11" s="223">
        <f>'Pricing Trends'!U17</f>
        <v>0</v>
      </c>
      <c r="F11" s="220" t="b">
        <v>0</v>
      </c>
      <c r="G11" s="84"/>
      <c r="H11" s="245" t="s">
        <v>62</v>
      </c>
      <c r="I11" s="84"/>
      <c r="J11" s="265">
        <f>IFERROR(VLOOKUP($J$2&amp;$H11,Validation!$E:$O,4,FALSE),0)</f>
        <v>0</v>
      </c>
      <c r="K11" s="99">
        <f t="shared" si="2"/>
        <v>0</v>
      </c>
      <c r="L11" s="265">
        <f>IFERROR(VLOOKUP($J$2&amp;$H11,Validation!$E:$O,5,FALSE),0)</f>
        <v>0</v>
      </c>
      <c r="M11" s="99">
        <f t="shared" si="3"/>
        <v>0</v>
      </c>
      <c r="N11" s="265">
        <f>IFERROR(VLOOKUP($J$2&amp;$H11,Validation!$E:$O,6,FALSE),0)</f>
        <v>0</v>
      </c>
      <c r="O11" s="99">
        <f t="shared" si="4"/>
        <v>0</v>
      </c>
      <c r="P11" s="265">
        <f>IFERROR(VLOOKUP($J$2&amp;$H11,Validation!$E:$O,6,FALSE),0)</f>
        <v>0</v>
      </c>
      <c r="Q11" s="99">
        <f t="shared" si="5"/>
        <v>0</v>
      </c>
      <c r="R11" s="266">
        <f>IFERROR(VLOOKUP($J$2&amp;$H11,Validation!$E:$O,7,FALSE),0)</f>
        <v>0</v>
      </c>
      <c r="S11" s="99">
        <f t="shared" si="6"/>
        <v>0</v>
      </c>
      <c r="T11" s="266">
        <f>IFERROR(VLOOKUP($J$2&amp;$H11,Validation!$E:$O,7,FALSE),0)</f>
        <v>0</v>
      </c>
      <c r="U11" s="99">
        <f t="shared" si="7"/>
        <v>0</v>
      </c>
      <c r="V11" s="84"/>
      <c r="W11" s="265">
        <f>IFERROR(VLOOKUP($W$2&amp;$H11,Validation!$E:$O,9,FALSE),0)</f>
        <v>0</v>
      </c>
      <c r="X11" s="99">
        <f t="shared" si="8"/>
        <v>0</v>
      </c>
      <c r="Y11" s="265">
        <f>IFERROR(VLOOKUP($W$2&amp;$H11,Validation!$E:$O,10,FALSE),0)</f>
        <v>0</v>
      </c>
      <c r="Z11" s="99">
        <f t="shared" si="9"/>
        <v>0</v>
      </c>
      <c r="AA11" s="265">
        <f>IFERROR(VLOOKUP($W$2&amp;$H11,Validation!$E:$O,5,FALSE),0)</f>
        <v>0</v>
      </c>
      <c r="AB11" s="99">
        <f t="shared" si="10"/>
        <v>0</v>
      </c>
      <c r="AC11" s="265">
        <f>IFERROR(VLOOKUP($W$2&amp;$H11,Validation!$E:$O,6,FALSE),0)</f>
        <v>0</v>
      </c>
      <c r="AD11" s="99">
        <f t="shared" si="11"/>
        <v>0</v>
      </c>
      <c r="AE11" s="265">
        <f>IFERROR(VLOOKUP($W$2&amp;$H11,Validation!$E:$O,7,FALSE),0)</f>
        <v>0</v>
      </c>
      <c r="AF11" s="99">
        <f t="shared" si="12"/>
        <v>0</v>
      </c>
      <c r="AG11" s="131"/>
      <c r="AH11" s="266">
        <f>IFERROR(VLOOKUP($AH$2&amp;$H11,Validation!E:O,8,FALSE),0)</f>
        <v>0</v>
      </c>
      <c r="AI11" s="99">
        <f t="shared" si="0"/>
        <v>0</v>
      </c>
      <c r="AJ11" s="266">
        <f>IFERROR(VLOOKUP($AH$2&amp;$H11,Validation!E:O,11,FALSE),0)</f>
        <v>0</v>
      </c>
      <c r="AK11" s="99">
        <f t="shared" si="1"/>
        <v>0</v>
      </c>
      <c r="AL11" s="131"/>
      <c r="AM11" s="265">
        <f>IFERROR(VLOOKUP($AM$2&amp;$H11,Validation!$E:$O,6,FALSE),0)</f>
        <v>66.576033005083374</v>
      </c>
      <c r="AN11" s="99">
        <f t="shared" si="13"/>
        <v>0.5181014241640729</v>
      </c>
      <c r="AO11" s="265">
        <f>IFERROR(VLOOKUP($AM$2&amp;$H11,Validation!$E:$O,7,FALSE),0)</f>
        <v>133.15206601016675</v>
      </c>
      <c r="AP11" s="99">
        <f t="shared" si="14"/>
        <v>0.56379754418498007</v>
      </c>
      <c r="AQ11" s="84"/>
      <c r="AR11" s="265">
        <f>IFERROR(VLOOKUP($AR$2&amp;$H11,Validation!$E:$O,8,FALSE),0)</f>
        <v>332.88016502541683</v>
      </c>
      <c r="AS11" s="99">
        <f t="shared" si="15"/>
        <v>0.62110302271744899</v>
      </c>
      <c r="AT11" s="265">
        <f>IFERROR(VLOOKUP($AR$2&amp;$H11,Validation!$E:$O,11,FALSE),0)</f>
        <v>1480.9858514790699</v>
      </c>
      <c r="AU11" s="99">
        <f t="shared" si="16"/>
        <v>0.74880844350465414</v>
      </c>
      <c r="AV11" s="84"/>
      <c r="AW11" s="265">
        <f>IFERROR(VLOOKUP($AW$2&amp;$H11,Validation!$E:$O,6,FALSE),0)</f>
        <v>0</v>
      </c>
      <c r="AX11" s="99">
        <f t="shared" si="17"/>
        <v>0</v>
      </c>
      <c r="AY11" s="265">
        <f>IFERROR(VLOOKUP($AW$2&amp;$H11,Validation!$E:$O,7,FALSE),0)</f>
        <v>0</v>
      </c>
      <c r="AZ11" s="99">
        <f t="shared" si="18"/>
        <v>0</v>
      </c>
      <c r="BA11" s="84"/>
      <c r="BB11" s="265">
        <f>IFERROR(VLOOKUP($BB$2&amp;$H11,Validation!$E:$L,8,FALSE),0)</f>
        <v>0</v>
      </c>
      <c r="BC11" s="99">
        <f t="shared" si="19"/>
        <v>0</v>
      </c>
      <c r="BD11" s="265">
        <f>IFERROR(VLOOKUP($BB$2&amp;$H11,Validation!$E:$O,11,FALSE),0)</f>
        <v>0</v>
      </c>
      <c r="BE11" s="99">
        <f t="shared" si="20"/>
        <v>0</v>
      </c>
      <c r="BF11" s="84"/>
      <c r="BG11" s="265">
        <f>IFERROR(VLOOKUP($BG$2&amp;$H11,Validation!E:O,11,FALSE),0)</f>
        <v>0</v>
      </c>
      <c r="BH11" s="99">
        <f t="shared" si="21"/>
        <v>0</v>
      </c>
      <c r="BI11" s="84"/>
      <c r="BJ11" s="84"/>
    </row>
    <row r="12" spans="1:62" x14ac:dyDescent="0.2">
      <c r="A12" s="84"/>
      <c r="B12" s="222"/>
      <c r="C12" s="228" t="str">
        <f>'Pricing Trends'!R18</f>
        <v>RBD COCONUT OIL</v>
      </c>
      <c r="D12" s="249">
        <f>'Pricing Trends'!S18</f>
        <v>45468</v>
      </c>
      <c r="E12" s="223">
        <f>'Pricing Trends'!U18</f>
        <v>64.678485570000007</v>
      </c>
      <c r="F12" s="220" t="b">
        <v>0</v>
      </c>
      <c r="G12" s="84"/>
      <c r="H12" s="245" t="s">
        <v>67</v>
      </c>
      <c r="I12" s="84"/>
      <c r="J12" s="265">
        <f>IFERROR(VLOOKUP($J$2&amp;$H12,Validation!$E:$O,4,FALSE),0)</f>
        <v>0</v>
      </c>
      <c r="K12" s="99">
        <f t="shared" si="2"/>
        <v>0</v>
      </c>
      <c r="L12" s="265">
        <f>IFERROR(VLOOKUP($J$2&amp;$H12,Validation!$E:$O,5,FALSE),0)</f>
        <v>0</v>
      </c>
      <c r="M12" s="99">
        <f t="shared" si="3"/>
        <v>0</v>
      </c>
      <c r="N12" s="265">
        <f>IFERROR(VLOOKUP($J$2&amp;$H12,Validation!$E:$O,6,FALSE),0)</f>
        <v>0</v>
      </c>
      <c r="O12" s="99">
        <f t="shared" si="4"/>
        <v>0</v>
      </c>
      <c r="P12" s="265">
        <f>IFERROR(VLOOKUP($J$2&amp;$H12,Validation!$E:$O,6,FALSE),0)</f>
        <v>0</v>
      </c>
      <c r="Q12" s="99">
        <f t="shared" si="5"/>
        <v>0</v>
      </c>
      <c r="R12" s="266">
        <f>IFERROR(VLOOKUP($J$2&amp;$H12,Validation!$E:$O,7,FALSE),0)</f>
        <v>0</v>
      </c>
      <c r="S12" s="99">
        <f t="shared" si="6"/>
        <v>0</v>
      </c>
      <c r="T12" s="266">
        <f>IFERROR(VLOOKUP($J$2&amp;$H12,Validation!$E:$O,7,FALSE),0)</f>
        <v>0</v>
      </c>
      <c r="U12" s="99">
        <f t="shared" si="7"/>
        <v>0</v>
      </c>
      <c r="V12" s="84"/>
      <c r="W12" s="265">
        <f>IFERROR(VLOOKUP($W$2&amp;$H12,Validation!$E:$O,9,FALSE),0)</f>
        <v>0</v>
      </c>
      <c r="X12" s="99">
        <f t="shared" si="8"/>
        <v>0</v>
      </c>
      <c r="Y12" s="265">
        <f>IFERROR(VLOOKUP($W$2&amp;$H12,Validation!$E:$O,10,FALSE),0)</f>
        <v>0</v>
      </c>
      <c r="Z12" s="99">
        <f t="shared" si="9"/>
        <v>0</v>
      </c>
      <c r="AA12" s="265">
        <f>IFERROR(VLOOKUP($W$2&amp;$H12,Validation!$E:$O,5,FALSE),0)</f>
        <v>0</v>
      </c>
      <c r="AB12" s="99">
        <f t="shared" si="10"/>
        <v>0</v>
      </c>
      <c r="AC12" s="265">
        <f>IFERROR(VLOOKUP($W$2&amp;$H12,Validation!$E:$O,6,FALSE),0)</f>
        <v>0</v>
      </c>
      <c r="AD12" s="99">
        <f t="shared" si="11"/>
        <v>0</v>
      </c>
      <c r="AE12" s="265">
        <f>IFERROR(VLOOKUP($W$2&amp;$H12,Validation!$E:$O,7,FALSE),0)</f>
        <v>0</v>
      </c>
      <c r="AF12" s="99">
        <f t="shared" si="12"/>
        <v>0</v>
      </c>
      <c r="AG12" s="131"/>
      <c r="AH12" s="266">
        <f>IFERROR(VLOOKUP($AH$2&amp;$H12,Validation!E:O,8,FALSE),0)</f>
        <v>0</v>
      </c>
      <c r="AI12" s="99">
        <f t="shared" si="0"/>
        <v>0</v>
      </c>
      <c r="AJ12" s="266">
        <f>IFERROR(VLOOKUP($AH$2&amp;$H12,Validation!E:O,11,FALSE),0)</f>
        <v>0</v>
      </c>
      <c r="AK12" s="99">
        <f t="shared" si="1"/>
        <v>0</v>
      </c>
      <c r="AL12" s="131"/>
      <c r="AM12" s="265">
        <f>IFERROR(VLOOKUP($AM$2&amp;$H12,Validation!$E:$O,6,FALSE),0)</f>
        <v>0</v>
      </c>
      <c r="AN12" s="99">
        <f t="shared" si="13"/>
        <v>0</v>
      </c>
      <c r="AO12" s="265">
        <f>IFERROR(VLOOKUP($AM$2&amp;$H12,Validation!$E:$O,7,FALSE),0)</f>
        <v>0</v>
      </c>
      <c r="AP12" s="99">
        <f t="shared" si="14"/>
        <v>0</v>
      </c>
      <c r="AQ12" s="84"/>
      <c r="AR12" s="265">
        <f>IFERROR(VLOOKUP($AR$2&amp;$H12,Validation!$E:$O,8,FALSE),0)</f>
        <v>0</v>
      </c>
      <c r="AS12" s="99">
        <f t="shared" si="15"/>
        <v>0</v>
      </c>
      <c r="AT12" s="265">
        <f>IFERROR(VLOOKUP($AR$2&amp;$H12,Validation!$E:$O,11,FALSE),0)</f>
        <v>0</v>
      </c>
      <c r="AU12" s="99">
        <f t="shared" si="16"/>
        <v>0</v>
      </c>
      <c r="AV12" s="84"/>
      <c r="AW12" s="265">
        <f>IFERROR(VLOOKUP($AW$2&amp;$H12,Validation!$E:$O,6,FALSE),0)</f>
        <v>0</v>
      </c>
      <c r="AX12" s="99">
        <f t="shared" si="17"/>
        <v>0</v>
      </c>
      <c r="AY12" s="265">
        <f>IFERROR(VLOOKUP($AW$2&amp;$H12,Validation!$E:$O,7,FALSE),0)</f>
        <v>0</v>
      </c>
      <c r="AZ12" s="99">
        <f t="shared" si="18"/>
        <v>0</v>
      </c>
      <c r="BA12" s="84"/>
      <c r="BB12" s="265">
        <f>IFERROR(VLOOKUP($J$2&amp;$H12,Validation!$E:$K,4,FALSE),0)</f>
        <v>0</v>
      </c>
      <c r="BC12" s="99">
        <f t="shared" si="19"/>
        <v>0</v>
      </c>
      <c r="BD12" s="265">
        <f>IFERROR(VLOOKUP($BB$2&amp;$H12,Validation!$E:$O,11,FALSE),0)</f>
        <v>0</v>
      </c>
      <c r="BE12" s="99">
        <f t="shared" si="20"/>
        <v>0</v>
      </c>
      <c r="BF12" s="84"/>
      <c r="BG12" s="265">
        <f>IFERROR(VLOOKUP($BG$2&amp;$H12,Validation!E:O,11,FALSE),0)</f>
        <v>1519.02</v>
      </c>
      <c r="BH12" s="99">
        <f t="shared" si="21"/>
        <v>1.2152160000000001</v>
      </c>
      <c r="BI12" s="84"/>
      <c r="BJ12" s="84"/>
    </row>
    <row r="13" spans="1:62" x14ac:dyDescent="0.2">
      <c r="A13" s="84"/>
      <c r="B13" s="222"/>
      <c r="C13" s="228" t="str">
        <f>'Pricing Trends'!R19</f>
        <v>RBD COCONUT OIL</v>
      </c>
      <c r="D13" s="249">
        <f>'Pricing Trends'!S19</f>
        <v>45222</v>
      </c>
      <c r="E13" s="223">
        <f>'Pricing Trends'!U19</f>
        <v>51.478299999999997</v>
      </c>
      <c r="F13" s="220" t="b">
        <v>0</v>
      </c>
      <c r="G13" s="84"/>
      <c r="H13" s="245" t="s">
        <v>73</v>
      </c>
      <c r="I13" s="84"/>
      <c r="J13" s="98">
        <f>IFERROR(VLOOKUP("350ML LABEL PALM",'Pricing Trends'!$K:$N,4,FALSE),0)</f>
        <v>0.3</v>
      </c>
      <c r="K13" s="99">
        <f t="shared" si="2"/>
        <v>6.9623981694058373E-3</v>
      </c>
      <c r="L13" s="98">
        <f>IFERROR(VLOOKUP("500ML LABEL PALM",'Pricing Trends'!$K:$N,4,FALSE),0)</f>
        <v>0.45</v>
      </c>
      <c r="M13" s="99">
        <f t="shared" si="3"/>
        <v>7.4435352080357243E-3</v>
      </c>
      <c r="N13" s="98">
        <f>IFERROR(VLOOKUP("1LITER LABEL PALM",'Pricing Trends'!$K:$N,4,FALSE),0)</f>
        <v>0.55000000000000004</v>
      </c>
      <c r="O13" s="99">
        <f t="shared" si="4"/>
        <v>4.7064747177812949E-3</v>
      </c>
      <c r="P13" s="98">
        <f>IFERROR(VLOOKUP("1LITER LABEL PALM MZL",'Pricing Trends'!$K:$N,4,FALSE),0)</f>
        <v>0.7</v>
      </c>
      <c r="Q13" s="99">
        <f t="shared" si="5"/>
        <v>5.990058731721648E-3</v>
      </c>
      <c r="R13" s="94">
        <f>IFERROR(VLOOKUP("2LITERS LABEL PALM",'Pricing Trends'!$K:$N,4,FALSE),0)</f>
        <v>1.02</v>
      </c>
      <c r="S13" s="99">
        <f t="shared" si="6"/>
        <v>4.5088735992180502E-3</v>
      </c>
      <c r="T13" s="94">
        <f>IFERROR(VLOOKUP("2LITERS LABEL PALM MZL",'Pricing Trends'!$K:$N,4,FALSE),0)</f>
        <v>0</v>
      </c>
      <c r="U13" s="99">
        <f t="shared" si="7"/>
        <v>0</v>
      </c>
      <c r="V13" s="84"/>
      <c r="W13" s="252"/>
      <c r="X13" s="99">
        <f t="shared" si="8"/>
        <v>0</v>
      </c>
      <c r="Y13" s="252"/>
      <c r="Z13" s="99">
        <f t="shared" si="9"/>
        <v>0</v>
      </c>
      <c r="AA13" s="252"/>
      <c r="AB13" s="99">
        <f t="shared" si="10"/>
        <v>0</v>
      </c>
      <c r="AC13" s="252"/>
      <c r="AD13" s="99">
        <f t="shared" si="11"/>
        <v>0</v>
      </c>
      <c r="AE13" s="252"/>
      <c r="AF13" s="99">
        <f t="shared" si="12"/>
        <v>0</v>
      </c>
      <c r="AG13" s="131"/>
      <c r="AH13" s="94">
        <f>IFERROR(VLOOKUP("4LITERS LABEL PALM",'Pricing Trends'!$K:$N,4,FALSE),0)</f>
        <v>7</v>
      </c>
      <c r="AI13" s="99">
        <f t="shared" si="0"/>
        <v>1.5644515147614998E-2</v>
      </c>
      <c r="AJ13" s="251"/>
      <c r="AK13" s="99">
        <f t="shared" si="1"/>
        <v>0</v>
      </c>
      <c r="AL13" s="131"/>
      <c r="AM13" s="98">
        <f>IFERROR(VLOOKUP("1LITER LABEL CANOLEIN",'Pricing Trends'!$K:$N,4,FALSE),0)</f>
        <v>0.72</v>
      </c>
      <c r="AN13" s="99">
        <f t="shared" si="13"/>
        <v>5.6031128404669256E-3</v>
      </c>
      <c r="AO13" s="98">
        <f>IFERROR(VLOOKUP("2LITERS LABEL CANOLEIN",'Pricing Trends'!$K:$N,4,FALSE),0)</f>
        <v>1.05</v>
      </c>
      <c r="AP13" s="99">
        <f t="shared" si="14"/>
        <v>4.4459499513062632E-3</v>
      </c>
      <c r="AQ13" s="84"/>
      <c r="AR13" s="98">
        <f>IFERROR(VLOOKUP("4LITERS LABEL CANOLA",'Pricing Trends'!$K:$N,4,FALSE),0)</f>
        <v>7</v>
      </c>
      <c r="AS13" s="99">
        <f t="shared" si="15"/>
        <v>1.3060919861927417E-2</v>
      </c>
      <c r="AT13" s="252"/>
      <c r="AU13" s="99">
        <f t="shared" si="16"/>
        <v>0</v>
      </c>
      <c r="AV13" s="84"/>
      <c r="AW13" s="98">
        <f>IFERROR(VLOOKUP("1LITER LABEL SOYA",'Pricing Trends'!$K:$N,4,FALSE),0)</f>
        <v>0.72</v>
      </c>
      <c r="AX13" s="99">
        <f t="shared" si="17"/>
        <v>4.9789776499225488E-3</v>
      </c>
      <c r="AY13" s="98">
        <f>IFERROR(VLOOKUP("2LITERS LABEL SOYA",'Pricing Trends'!$K:$N,4,FALSE),0)</f>
        <v>1.05</v>
      </c>
      <c r="AZ13" s="99">
        <f t="shared" si="18"/>
        <v>3.7740460649279698E-3</v>
      </c>
      <c r="BA13" s="84"/>
      <c r="BB13" s="98">
        <f>IFERROR(VLOOKUP("4LITERS LABEL SOYA",'Pricing Trends'!$K:$N,4,FALSE),0)</f>
        <v>7</v>
      </c>
      <c r="BC13" s="99">
        <f t="shared" si="19"/>
        <v>1.269422159033208E-2</v>
      </c>
      <c r="BD13" s="252"/>
      <c r="BE13" s="99">
        <f t="shared" si="20"/>
        <v>0</v>
      </c>
      <c r="BF13" s="84"/>
      <c r="BG13" s="252"/>
      <c r="BH13" s="99">
        <f t="shared" si="21"/>
        <v>0</v>
      </c>
      <c r="BI13" s="84"/>
      <c r="BJ13" s="84"/>
    </row>
    <row r="14" spans="1:62" x14ac:dyDescent="0.2">
      <c r="A14" s="84"/>
      <c r="B14" s="222"/>
      <c r="C14" s="228" t="str">
        <f>'Pricing Trends'!R20</f>
        <v>RBD COCONUT OIL</v>
      </c>
      <c r="D14" s="249">
        <f>'Pricing Trends'!S20</f>
        <v>45133</v>
      </c>
      <c r="E14" s="223">
        <f>'Pricing Trends'!U20</f>
        <v>54.558999999999997</v>
      </c>
      <c r="F14" s="220" t="b">
        <v>0</v>
      </c>
      <c r="G14" s="84"/>
      <c r="H14" s="245" t="s">
        <v>77</v>
      </c>
      <c r="I14" s="84"/>
      <c r="J14" s="98">
        <f>IFERROR(VLOOKUP("350ML BOTTLE PALM [SWAK]",'Pricing Trends'!$A:$D,4,FALSE),0)</f>
        <v>3.35</v>
      </c>
      <c r="K14" s="99">
        <f t="shared" si="2"/>
        <v>7.7746779558365189E-2</v>
      </c>
      <c r="L14" s="98">
        <f>IFERROR(VLOOKUP("500ML BOTTLE PALM [SWAK]",'Pricing Trends'!$A:$D,4,FALSE),0)</f>
        <v>3.65</v>
      </c>
      <c r="M14" s="99">
        <f t="shared" si="3"/>
        <v>6.0375341131845318E-2</v>
      </c>
      <c r="N14" s="98">
        <f>IFERROR(VLOOKUP("1LITER BOTTLE PALM [SWAK]",'Pricing Trends'!$A:$D,4,FALSE),0)</f>
        <v>6.55</v>
      </c>
      <c r="O14" s="99">
        <f t="shared" si="4"/>
        <v>5.6049835275395421E-2</v>
      </c>
      <c r="P14" s="98">
        <f>IFERROR(VLOOKUP("1LITER BOTTLE PALM [MZL]",'Pricing Trends'!$A:$D,4,FALSE),0)</f>
        <v>0</v>
      </c>
      <c r="Q14" s="99">
        <f t="shared" si="5"/>
        <v>0</v>
      </c>
      <c r="R14" s="94">
        <f>IFERROR(VLOOKUP("2LITERS BOTTLE PALM [NUTRI]",'Pricing Trends'!$A:$D,4,FALSE),0)</f>
        <v>15.75</v>
      </c>
      <c r="S14" s="99">
        <f t="shared" si="6"/>
        <v>6.9622312929102245E-2</v>
      </c>
      <c r="T14" s="94">
        <f>IFERROR(VLOOKUP("2LITERS BOTTLE PALM [MZL]",'Pricing Trends'!$A:$D,4,FALSE),0)</f>
        <v>0</v>
      </c>
      <c r="U14" s="99">
        <f t="shared" si="7"/>
        <v>0</v>
      </c>
      <c r="V14" s="84"/>
      <c r="W14" s="98">
        <f>IFERROR(VLOOKUP("180ML POUCH PALM [SUP]",'Pricing Trends'!$A:$D,4,FALSE),0)</f>
        <v>2.1</v>
      </c>
      <c r="X14" s="99">
        <f t="shared" si="8"/>
        <v>9.354931923325191E-2</v>
      </c>
      <c r="Y14" s="98">
        <f>IFERROR(VLOOKUP("300ML POUCH PALM [SUP]",'Pricing Trends'!$A:$D,4,FALSE),0)</f>
        <v>2.6</v>
      </c>
      <c r="Z14" s="99">
        <f t="shared" si="9"/>
        <v>7.2061910544347602E-2</v>
      </c>
      <c r="AA14" s="98">
        <f>IFERROR(VLOOKUP("500ML POUCH PALM [SUP]",'Pricing Trends'!$A:$D,4,FALSE),0)</f>
        <v>0</v>
      </c>
      <c r="AB14" s="99">
        <f t="shared" si="10"/>
        <v>0</v>
      </c>
      <c r="AC14" s="98">
        <f>IFERROR(VLOOKUP("1LITER POUCH PALM [SUP]",'Pricing Trends'!$A:$D,4,FALSE),0)</f>
        <v>4.7</v>
      </c>
      <c r="AD14" s="99">
        <f t="shared" si="11"/>
        <v>4.1373133849351006E-2</v>
      </c>
      <c r="AE14" s="98">
        <f>IFERROR(VLOOKUP("2LITERS POUCH PALM [SUP]",'Pricing Trends'!$A:$D,4,FALSE),0)</f>
        <v>6.17</v>
      </c>
      <c r="AF14" s="99">
        <f t="shared" si="12"/>
        <v>2.7728311817455453E-2</v>
      </c>
      <c r="AG14" s="131"/>
      <c r="AH14" s="94">
        <f>IFERROR(VLOOKUP("4LITERS BOTTLE GODZILLA",'Pricing Trends'!$A:$D,4,FALSE),0)</f>
        <v>32.479999999999997</v>
      </c>
      <c r="AI14" s="99">
        <f t="shared" si="0"/>
        <v>7.259055028493358E-2</v>
      </c>
      <c r="AJ14" s="251"/>
      <c r="AK14" s="99">
        <f t="shared" si="1"/>
        <v>0</v>
      </c>
      <c r="AL14" s="131"/>
      <c r="AM14" s="98">
        <f>IFERROR(VLOOKUP("1LITER BOTTLE CANSOY [NUTRI]",'Pricing Trends'!$A:$D,4,FALSE),0)</f>
        <v>6.6</v>
      </c>
      <c r="AN14" s="99">
        <f t="shared" si="13"/>
        <v>5.1361867704280154E-2</v>
      </c>
      <c r="AO14" s="98">
        <f>IFERROR(VLOOKUP("2LITERS BOTTLE CANOLEIN [ROUND]",'Pricing Trends'!$A:$D,4,FALSE),0)</f>
        <v>18.100000000000001</v>
      </c>
      <c r="AP14" s="99">
        <f t="shared" si="14"/>
        <v>7.6639708684422242E-2</v>
      </c>
      <c r="AQ14" s="84"/>
      <c r="AR14" s="98">
        <f>IFERROR(VLOOKUP("4LITERS BOTTLE GODZILLA",'Pricing Trends'!$A:$D,4,FALSE),0)</f>
        <v>32.479999999999997</v>
      </c>
      <c r="AS14" s="99">
        <f t="shared" si="15"/>
        <v>6.0602668159343211E-2</v>
      </c>
      <c r="AT14" s="252"/>
      <c r="AU14" s="99">
        <f t="shared" si="16"/>
        <v>0</v>
      </c>
      <c r="AV14" s="84"/>
      <c r="AW14" s="98">
        <f>IFERROR(VLOOKUP("1LITER BOTTLE CANSOY [NUTRI]",'Pricing Trends'!$A:$D,4,FALSE),0)</f>
        <v>6.6</v>
      </c>
      <c r="AX14" s="99">
        <f t="shared" si="17"/>
        <v>4.5640628457623365E-2</v>
      </c>
      <c r="AY14" s="98">
        <f>IFERROR(VLOOKUP("2LITERS BOTTLE SOYA [ROUND]",'Pricing Trends'!$A:$D,4,FALSE),0)</f>
        <v>19</v>
      </c>
      <c r="AZ14" s="99">
        <f t="shared" si="18"/>
        <v>6.8292262127268022E-2</v>
      </c>
      <c r="BA14" s="84"/>
      <c r="BB14" s="98">
        <f>IFERROR(VLOOKUP("4LITERS BOTTLE GODZILLA",'Pricing Trends'!$A:$D,4,FALSE),0)</f>
        <v>32.479999999999997</v>
      </c>
      <c r="BC14" s="99">
        <f t="shared" si="19"/>
        <v>5.8901188179140848E-2</v>
      </c>
      <c r="BD14" s="252"/>
      <c r="BE14" s="99">
        <f t="shared" si="20"/>
        <v>0</v>
      </c>
      <c r="BF14" s="84"/>
      <c r="BG14" s="252"/>
      <c r="BH14" s="99">
        <f t="shared" si="21"/>
        <v>0</v>
      </c>
      <c r="BI14" s="84"/>
      <c r="BJ14" s="84"/>
    </row>
    <row r="15" spans="1:62" x14ac:dyDescent="0.2">
      <c r="A15" s="84"/>
      <c r="B15" s="222"/>
      <c r="C15" s="228" t="str">
        <f>'Pricing Trends'!R21</f>
        <v>RBD COCONUT OIL</v>
      </c>
      <c r="D15" s="249">
        <f>'Pricing Trends'!S21</f>
        <v>44965</v>
      </c>
      <c r="E15" s="223">
        <f>'Pricing Trends'!U21</f>
        <v>52.798299999999998</v>
      </c>
      <c r="F15" s="220" t="b">
        <v>0</v>
      </c>
      <c r="G15" s="84"/>
      <c r="H15" s="245" t="s">
        <v>80</v>
      </c>
      <c r="I15" s="84"/>
      <c r="J15" s="98">
        <f>IFERROR(VLOOKUP("350ML BOX PALM",'Pricing Trends'!$F:$I,4,FALSE),0)/K5</f>
        <v>0.80555555555555558</v>
      </c>
      <c r="K15" s="99">
        <f t="shared" si="2"/>
        <v>1.869532841784901E-2</v>
      </c>
      <c r="L15" s="98">
        <f>IFERROR(VLOOKUP("500ML BOX PALM",'Pricing Trends'!$F:$I,4,FALSE),0)/M5</f>
        <v>0.86249999999999993</v>
      </c>
      <c r="M15" s="99">
        <f t="shared" si="3"/>
        <v>1.4266775815401804E-2</v>
      </c>
      <c r="N15" s="98">
        <f>IFERROR(VLOOKUP("1LITER BOX PALM",'Pricing Trends'!$F:$I,4,FALSE),0)/O5</f>
        <v>2.5833333333333335</v>
      </c>
      <c r="O15" s="99">
        <f t="shared" si="4"/>
        <v>2.2106169128972751E-2</v>
      </c>
      <c r="P15" s="98">
        <f>IFERROR(VLOOKUP("1LITER BOX PALM MZL",'Pricing Trends'!$F:$I,4,FALSE),0)/Q5</f>
        <v>1.375</v>
      </c>
      <c r="Q15" s="99">
        <f t="shared" si="5"/>
        <v>1.1766186794453237E-2</v>
      </c>
      <c r="R15" s="94">
        <f>IFERROR(VLOOKUP("2LITERS BOX PALM",'Pricing Trends'!$F:$I,4,FALSE),0)/S5</f>
        <v>4.5</v>
      </c>
      <c r="S15" s="99">
        <f t="shared" si="6"/>
        <v>1.9892089408314929E-2</v>
      </c>
      <c r="T15" s="94">
        <f>IFERROR(VLOOKUP("2LITERS BOX PALM MZL",'Pricing Trends'!$F:$I,4,FALSE),0)/U5</f>
        <v>2.8333333333333335</v>
      </c>
      <c r="U15" s="99">
        <f t="shared" si="7"/>
        <v>1.2524648886716807E-2</v>
      </c>
      <c r="V15" s="84"/>
      <c r="W15" s="98">
        <f>IFERROR(VLOOKUP("180ML BOX PALM SUP",'Pricing Trends'!$F:$I,4,FALSE),0)/X5</f>
        <v>0.52083333333333337</v>
      </c>
      <c r="X15" s="99">
        <f t="shared" si="8"/>
        <v>2.3201716079675576E-2</v>
      </c>
      <c r="Y15" s="98">
        <f>IFERROR(VLOOKUP("300ML BOX PALM SUP",'Pricing Trends'!$F:$I,4,FALSE),0)/Z5</f>
        <v>0.69444444444444442</v>
      </c>
      <c r="Z15" s="99">
        <f t="shared" si="9"/>
        <v>1.9247305166759508E-2</v>
      </c>
      <c r="AA15" s="98">
        <f>IFERROR(VLOOKUP("500ML BOX PALM SUP",'Pricing Trends'!$F:$I,4,FALSE),0)/AB5</f>
        <v>0.91666666666666663</v>
      </c>
      <c r="AB15" s="99">
        <f t="shared" si="10"/>
        <v>1.5589530728625709E-2</v>
      </c>
      <c r="AC15" s="98">
        <f>IFERROR(VLOOKUP("1LITER BOX PALM SUP",'Pricing Trends'!$F:$I,4,FALSE),0)/AD5</f>
        <v>2.5833333333333335</v>
      </c>
      <c r="AD15" s="99">
        <f t="shared" si="11"/>
        <v>2.2740552293083E-2</v>
      </c>
      <c r="AE15" s="98">
        <f>IFERROR(VLOOKUP("2LITERS BOX PALM SUP",'Pricing Trends'!$F:$I,4,FALSE),0)/AF5</f>
        <v>4.5</v>
      </c>
      <c r="AF15" s="99">
        <f t="shared" si="12"/>
        <v>2.02232420062479E-2</v>
      </c>
      <c r="AG15" s="131"/>
      <c r="AH15" s="94">
        <f>IFERROR(VLOOKUP("4LITERS BOX CHECK",'Pricing Trends'!$F:$I,4,FALSE),0)/AI5</f>
        <v>4</v>
      </c>
      <c r="AI15" s="99">
        <f t="shared" si="0"/>
        <v>8.9397229414942842E-3</v>
      </c>
      <c r="AJ15" s="251"/>
      <c r="AK15" s="99">
        <f t="shared" si="1"/>
        <v>0</v>
      </c>
      <c r="AL15" s="131"/>
      <c r="AM15" s="98">
        <f>IFERROR(VLOOKUP("1LITER BOX CANOLEIN",'Pricing Trends'!$F:$I,4,FALSE),0)/AN5</f>
        <v>1.25</v>
      </c>
      <c r="AN15" s="99">
        <f t="shared" si="13"/>
        <v>9.727626459143969E-3</v>
      </c>
      <c r="AO15" s="98">
        <f>IFERROR(VLOOKUP("2LITERS BOX CANOLEIN",'Pricing Trends'!$F:$I,4,FALSE),0)/AP5</f>
        <v>2.7333333333333329</v>
      </c>
      <c r="AP15" s="99">
        <f t="shared" si="14"/>
        <v>1.1573584000225824E-2</v>
      </c>
      <c r="AQ15" s="84"/>
      <c r="AR15" s="98">
        <f>IFERROR(VLOOKUP("4LITERS BOX CHECK",'Pricing Trends'!$F:$I,4,FALSE),0)/AS5</f>
        <v>4</v>
      </c>
      <c r="AS15" s="99">
        <f t="shared" si="15"/>
        <v>7.4633827782442383E-3</v>
      </c>
      <c r="AT15" s="252"/>
      <c r="AU15" s="99">
        <f t="shared" si="16"/>
        <v>0</v>
      </c>
      <c r="AV15" s="84"/>
      <c r="AW15" s="98">
        <f>IFERROR(VLOOKUP("1LITER BOX SOYA",'Pricing Trends'!$F:$I,4,FALSE),0)/AX5</f>
        <v>1.25</v>
      </c>
      <c r="AX15" s="99">
        <f t="shared" si="17"/>
        <v>8.6440584200044249E-3</v>
      </c>
      <c r="AY15" s="98">
        <f>IFERROR(VLOOKUP("2LITERS BOX CANOLEIN",'Pricing Trends'!$F:$I,4,FALSE),0)/AZ5</f>
        <v>2.7333333333333329</v>
      </c>
      <c r="AZ15" s="99">
        <f t="shared" si="18"/>
        <v>9.824500867431538E-3</v>
      </c>
      <c r="BA15" s="84"/>
      <c r="BB15" s="98">
        <f>IFERROR(VLOOKUP("4LITERS BOX CHECK",'Pricing Trends'!$F:$I,4,FALSE),0)/BC5</f>
        <v>4</v>
      </c>
      <c r="BC15" s="99">
        <f t="shared" si="19"/>
        <v>7.2538409087611888E-3</v>
      </c>
      <c r="BD15" s="252"/>
      <c r="BE15" s="99">
        <f t="shared" si="20"/>
        <v>0</v>
      </c>
      <c r="BF15" s="84"/>
      <c r="BG15" s="252"/>
      <c r="BH15" s="99">
        <f t="shared" si="21"/>
        <v>0</v>
      </c>
      <c r="BI15" s="84"/>
      <c r="BJ15" s="84"/>
    </row>
    <row r="16" spans="1:62" x14ac:dyDescent="0.2">
      <c r="A16" s="84"/>
      <c r="B16" s="222"/>
      <c r="C16" s="228">
        <f>'Pricing Trends'!R22</f>
        <v>0</v>
      </c>
      <c r="D16" s="249">
        <f>'Pricing Trends'!S22</f>
        <v>0</v>
      </c>
      <c r="E16" s="223">
        <f>'Pricing Trends'!U22</f>
        <v>0</v>
      </c>
      <c r="F16" s="220" t="b">
        <v>0</v>
      </c>
      <c r="G16" s="84"/>
      <c r="H16" s="245" t="s">
        <v>87</v>
      </c>
      <c r="I16" s="84"/>
      <c r="J16" s="98">
        <f>((IFERROR(VLOOKUP($H$16,'Pricing Trends'!$W:$Z,4,FALSE),0)/10000)*200)/K5</f>
        <v>1.3888888888888888E-2</v>
      </c>
      <c r="K16" s="99">
        <f t="shared" si="2"/>
        <v>3.2233324858360358E-4</v>
      </c>
      <c r="L16" s="98">
        <f>((IFERROR(VLOOKUP($H$16,'Pricing Trends'!$W:$Z,4,FALSE),0)/10000)*200)/M5</f>
        <v>2.0833333333333332E-2</v>
      </c>
      <c r="M16" s="99">
        <f t="shared" si="3"/>
        <v>3.4460811148313538E-4</v>
      </c>
      <c r="N16" s="98">
        <f>((IFERROR(VLOOKUP($H$16,'Pricing Trends'!$W:$Z,4,FALSE),0)/10000)*200)/O5</f>
        <v>4.1666666666666664E-2</v>
      </c>
      <c r="O16" s="99">
        <f t="shared" si="4"/>
        <v>3.565511149834314E-4</v>
      </c>
      <c r="P16" s="98">
        <f>((IFERROR(VLOOKUP($H$16,'Pricing Trends'!$W:$Z,4,FALSE),0)/10000)*200)/Q5</f>
        <v>4.1666666666666664E-2</v>
      </c>
      <c r="Q16" s="99">
        <f t="shared" si="5"/>
        <v>3.565511149834314E-4</v>
      </c>
      <c r="R16" s="98">
        <f>((IFERROR(VLOOKUP($H$16,'Pricing Trends'!$W:$Z,4,FALSE),0)/10000)*200)/S5</f>
        <v>8.3333333333333329E-2</v>
      </c>
      <c r="S16" s="99">
        <f t="shared" si="6"/>
        <v>3.6837202607990609E-4</v>
      </c>
      <c r="T16" s="98">
        <f>((IFERROR(VLOOKUP($H$16,'Pricing Trends'!$W:$Z,4,FALSE),0)/10000)*200)/U5</f>
        <v>8.3333333333333329E-2</v>
      </c>
      <c r="U16" s="99">
        <f t="shared" si="7"/>
        <v>3.6837202607990609E-4</v>
      </c>
      <c r="V16" s="84"/>
      <c r="W16" s="98">
        <f>((IFERROR(VLOOKUP($H$16,'Pricing Trends'!$W:$Z,4,FALSE),0)/10000)*200)/X5</f>
        <v>1.0416666666666666E-2</v>
      </c>
      <c r="X16" s="99">
        <f t="shared" si="8"/>
        <v>4.6403432159351142E-4</v>
      </c>
      <c r="Y16" s="98">
        <f>((IFERROR(VLOOKUP($H$16,'Pricing Trends'!$W:$Z,4,FALSE),0)/10000)*200)/Z5</f>
        <v>1.3888888888888888E-2</v>
      </c>
      <c r="Z16" s="99">
        <f t="shared" si="9"/>
        <v>3.8494610333519017E-4</v>
      </c>
      <c r="AA16" s="98">
        <f>((IFERROR(VLOOKUP($H$16,'Pricing Trends'!$W:$Z,4,FALSE),0)/10000)*200)/AB5</f>
        <v>2.0833333333333332E-2</v>
      </c>
      <c r="AB16" s="99">
        <f t="shared" si="10"/>
        <v>3.5430751655967518E-4</v>
      </c>
      <c r="AC16" s="98">
        <f>((IFERROR(VLOOKUP($H$16,'Pricing Trends'!$W:$Z,4,FALSE),0)/10000)*200)/AD5</f>
        <v>4.1666666666666664E-2</v>
      </c>
      <c r="AD16" s="99">
        <f t="shared" si="11"/>
        <v>3.6678310150133867E-4</v>
      </c>
      <c r="AE16" s="98">
        <f>((IFERROR(VLOOKUP($H$16,'Pricing Trends'!$W:$Z,4,FALSE),0)/10000)*200)/AF5</f>
        <v>8.3333333333333329E-2</v>
      </c>
      <c r="AF16" s="99">
        <f t="shared" si="12"/>
        <v>3.7450448159718331E-4</v>
      </c>
      <c r="AG16" s="131"/>
      <c r="AH16" s="98">
        <f>((IFERROR(VLOOKUP($H$16,'Pricing Trends'!$W:$Z,4,FALSE),0)/10000)*200)/AI5</f>
        <v>0.125</v>
      </c>
      <c r="AI16" s="99">
        <f t="shared" si="0"/>
        <v>2.7936634192169638E-4</v>
      </c>
      <c r="AJ16" s="251"/>
      <c r="AK16" s="99">
        <f t="shared" si="1"/>
        <v>0</v>
      </c>
      <c r="AL16" s="131"/>
      <c r="AM16" s="98">
        <f>((IFERROR(VLOOKUP($H$16,'Pricing Trends'!$W:$Z,4,FALSE),0)/10000)*200)/AN5</f>
        <v>4.1666666666666664E-2</v>
      </c>
      <c r="AN16" s="99">
        <f t="shared" si="13"/>
        <v>3.2425421530479895E-4</v>
      </c>
      <c r="AO16" s="98">
        <f>((IFERROR(VLOOKUP($H$16,'Pricing Trends'!$W:$Z,4,FALSE),0)/10000)*200)/AP5</f>
        <v>8.3333333333333329E-2</v>
      </c>
      <c r="AP16" s="99">
        <f t="shared" si="14"/>
        <v>3.5285317073859224E-4</v>
      </c>
      <c r="AQ16" s="84"/>
      <c r="AR16" s="98">
        <f>((IFERROR(VLOOKUP($H$16,'Pricing Trends'!$W:$Z,4,FALSE),0)/10000)*200)/AS5</f>
        <v>0.125</v>
      </c>
      <c r="AS16" s="99">
        <f t="shared" si="15"/>
        <v>2.3323071182013245E-4</v>
      </c>
      <c r="AT16" s="252"/>
      <c r="AU16" s="99">
        <f t="shared" si="16"/>
        <v>0</v>
      </c>
      <c r="AV16" s="84"/>
      <c r="AW16" s="98">
        <f>((IFERROR(VLOOKUP($H$16,'Pricing Trends'!$W:$Z,4,FALSE),0)/10000)*200)/AX5</f>
        <v>4.1666666666666664E-2</v>
      </c>
      <c r="AX16" s="99">
        <f t="shared" si="17"/>
        <v>2.8813528066681419E-4</v>
      </c>
      <c r="AY16" s="98">
        <f>((IFERROR(VLOOKUP($H$16,'Pricing Trends'!$W:$Z,4,FALSE),0)/10000)*200)/AZ5</f>
        <v>8.3333333333333329E-2</v>
      </c>
      <c r="AZ16" s="99">
        <f t="shared" si="18"/>
        <v>2.9952746547047375E-4</v>
      </c>
      <c r="BA16" s="84"/>
      <c r="BB16" s="98">
        <f>((IFERROR(VLOOKUP($H$16,'Pricing Trends'!$W:$Z,4,FALSE),0)/10000)*200)/BC5</f>
        <v>0.125</v>
      </c>
      <c r="BC16" s="99">
        <f t="shared" si="19"/>
        <v>2.2668252839878715E-4</v>
      </c>
      <c r="BD16" s="252"/>
      <c r="BE16" s="99">
        <f t="shared" si="20"/>
        <v>0</v>
      </c>
      <c r="BF16" s="84"/>
      <c r="BG16" s="252"/>
      <c r="BH16" s="99">
        <f t="shared" si="21"/>
        <v>0</v>
      </c>
      <c r="BI16" s="84"/>
      <c r="BJ16" s="84"/>
    </row>
    <row r="17" spans="1:62" x14ac:dyDescent="0.2">
      <c r="A17" s="84"/>
      <c r="B17" s="222"/>
      <c r="C17" s="228" t="str">
        <f>'Pricing Trends'!R23</f>
        <v>RBD PALM OLEIN (FOREIGN)</v>
      </c>
      <c r="D17" s="249">
        <f>'Pricing Trends'!S23</f>
        <v>45547</v>
      </c>
      <c r="E17" s="223">
        <f>'Pricing Trends'!U23</f>
        <v>60.65316</v>
      </c>
      <c r="F17" s="220" t="b">
        <v>0</v>
      </c>
      <c r="G17" s="84"/>
      <c r="H17" s="245" t="s">
        <v>103</v>
      </c>
      <c r="I17" s="84"/>
      <c r="J17" s="98">
        <f>((40/3000)*7)</f>
        <v>9.3333333333333338E-2</v>
      </c>
      <c r="K17" s="99">
        <f t="shared" si="2"/>
        <v>2.1660794304818164E-3</v>
      </c>
      <c r="L17" s="98">
        <f>((40/3000)*7)</f>
        <v>9.3333333333333338E-2</v>
      </c>
      <c r="M17" s="99">
        <f t="shared" si="3"/>
        <v>1.5438443394444467E-3</v>
      </c>
      <c r="N17" s="98">
        <f>((40/3000)*12)</f>
        <v>0.16</v>
      </c>
      <c r="O17" s="99">
        <f t="shared" si="4"/>
        <v>1.3691562815363767E-3</v>
      </c>
      <c r="P17" s="251"/>
      <c r="Q17" s="99">
        <f t="shared" si="5"/>
        <v>0</v>
      </c>
      <c r="R17" s="251"/>
      <c r="S17" s="99">
        <f t="shared" si="6"/>
        <v>0</v>
      </c>
      <c r="T17" s="251"/>
      <c r="U17" s="99">
        <f t="shared" si="7"/>
        <v>0</v>
      </c>
      <c r="V17" s="84"/>
      <c r="W17" s="252"/>
      <c r="X17" s="99">
        <f t="shared" si="8"/>
        <v>0</v>
      </c>
      <c r="Y17" s="252"/>
      <c r="Z17" s="99">
        <f t="shared" si="9"/>
        <v>0</v>
      </c>
      <c r="AA17" s="252"/>
      <c r="AB17" s="99">
        <f t="shared" si="10"/>
        <v>0</v>
      </c>
      <c r="AC17" s="252"/>
      <c r="AD17" s="99">
        <f t="shared" si="11"/>
        <v>0</v>
      </c>
      <c r="AE17" s="252"/>
      <c r="AF17" s="99">
        <f t="shared" si="12"/>
        <v>0</v>
      </c>
      <c r="AG17" s="131"/>
      <c r="AH17" s="251"/>
      <c r="AI17" s="99">
        <f t="shared" si="0"/>
        <v>0</v>
      </c>
      <c r="AJ17" s="251"/>
      <c r="AK17" s="99">
        <f t="shared" si="1"/>
        <v>0</v>
      </c>
      <c r="AL17" s="131"/>
      <c r="AM17" s="250"/>
      <c r="AN17" s="99">
        <f t="shared" si="13"/>
        <v>0</v>
      </c>
      <c r="AO17" s="250"/>
      <c r="AP17" s="99">
        <f t="shared" si="14"/>
        <v>0</v>
      </c>
      <c r="AQ17" s="84"/>
      <c r="AR17" s="252"/>
      <c r="AS17" s="99">
        <f t="shared" si="15"/>
        <v>0</v>
      </c>
      <c r="AT17" s="252"/>
      <c r="AU17" s="99">
        <f t="shared" si="16"/>
        <v>0</v>
      </c>
      <c r="AV17" s="84"/>
      <c r="AW17" s="252"/>
      <c r="AX17" s="99">
        <f t="shared" si="17"/>
        <v>0</v>
      </c>
      <c r="AY17" s="252"/>
      <c r="AZ17" s="99">
        <f t="shared" si="18"/>
        <v>0</v>
      </c>
      <c r="BA17" s="84"/>
      <c r="BB17" s="252"/>
      <c r="BC17" s="99">
        <f t="shared" si="19"/>
        <v>0</v>
      </c>
      <c r="BD17" s="252"/>
      <c r="BE17" s="99">
        <f t="shared" si="20"/>
        <v>0</v>
      </c>
      <c r="BF17" s="84"/>
      <c r="BG17" s="252"/>
      <c r="BH17" s="99">
        <f t="shared" si="21"/>
        <v>0</v>
      </c>
      <c r="BI17" s="84"/>
      <c r="BJ17" s="84"/>
    </row>
    <row r="18" spans="1:62" x14ac:dyDescent="0.2">
      <c r="A18" s="84"/>
      <c r="B18" s="222"/>
      <c r="C18" s="228" t="str">
        <f>'Pricing Trends'!R24</f>
        <v>RBD PALM OLEIN (FOREIGN)</v>
      </c>
      <c r="D18" s="249">
        <f>'Pricing Trends'!S24</f>
        <v>45517</v>
      </c>
      <c r="E18" s="223">
        <f>'Pricing Trends'!U24</f>
        <v>60.97</v>
      </c>
      <c r="F18" s="220" t="b">
        <v>0</v>
      </c>
      <c r="G18" s="84"/>
      <c r="H18" s="246" t="s">
        <v>112</v>
      </c>
      <c r="I18" s="84"/>
      <c r="J18" s="197">
        <f>SUM(J8:J17)</f>
        <v>25.791383777777781</v>
      </c>
      <c r="K18" s="195">
        <f>J18/J6</f>
        <v>0.59856627733614487</v>
      </c>
      <c r="L18" s="197">
        <f>SUM(L8:L17)</f>
        <v>35.403246666666668</v>
      </c>
      <c r="M18" s="195">
        <f>L18/L6</f>
        <v>0.58561180676023716</v>
      </c>
      <c r="N18" s="197">
        <f>SUM(N8:N17)</f>
        <v>70.538159999999991</v>
      </c>
      <c r="O18" s="195">
        <f>N18/N6</f>
        <v>0.60361103032511232</v>
      </c>
      <c r="P18" s="197">
        <f>SUM(P8:P17)</f>
        <v>62.769826666666667</v>
      </c>
      <c r="Q18" s="195">
        <f>P18/P6</f>
        <v>0.53713564044760143</v>
      </c>
      <c r="R18" s="197">
        <f>SUM(R8:R17)</f>
        <v>142.65965333333335</v>
      </c>
      <c r="S18" s="195">
        <f>R18/R6</f>
        <v>0.63062190645908445</v>
      </c>
      <c r="T18" s="197">
        <f>SUM(T8:T17)</f>
        <v>124.22298666666666</v>
      </c>
      <c r="U18" s="195">
        <f>T18/T6</f>
        <v>0.54912327940916583</v>
      </c>
      <c r="V18" s="84"/>
      <c r="W18" s="197">
        <f>SUM(W8:W17)</f>
        <v>14.003807242599999</v>
      </c>
      <c r="X18" s="195">
        <f>W18/W6</f>
        <v>0.62383173058043451</v>
      </c>
      <c r="Y18" s="197">
        <f>SUM(Y8:Y17)</f>
        <v>22.262595404333332</v>
      </c>
      <c r="Z18" s="195">
        <f>Y18/Y6</f>
        <v>0.61703275327387408</v>
      </c>
      <c r="AA18" s="197">
        <f>SUM(AA8:AA17)</f>
        <v>32.527936785000001</v>
      </c>
      <c r="AB18" s="195">
        <f>AA18/AA6</f>
        <v>0.55319484005296593</v>
      </c>
      <c r="AC18" s="197">
        <f>SUM(AC8:AC17)</f>
        <v>70.505873569999991</v>
      </c>
      <c r="AD18" s="195">
        <f>AC18/AC6</f>
        <v>0.62064871156958057</v>
      </c>
      <c r="AE18" s="197">
        <f>SUM(AE8:AE17)</f>
        <v>137.11508047333334</v>
      </c>
      <c r="AF18" s="195">
        <f>AE18/AE6</f>
        <v>0.61620254558186127</v>
      </c>
      <c r="AG18" s="131"/>
      <c r="AH18" s="197">
        <f>SUM(AH8:AH17)</f>
        <v>43.604999999999997</v>
      </c>
      <c r="AI18" s="195">
        <f>AH18/AH6</f>
        <v>9.7454154715964553E-2</v>
      </c>
      <c r="AJ18" s="197">
        <f>SUM(AJ8:AJ17)</f>
        <v>0</v>
      </c>
      <c r="AK18" s="195">
        <f>AJ18/AJ6</f>
        <v>0</v>
      </c>
      <c r="AL18" s="131"/>
      <c r="AM18" s="197">
        <f>SUM(AM8:AM17)</f>
        <v>87.318331671750045</v>
      </c>
      <c r="AN18" s="195">
        <f>AM18/AM6</f>
        <v>0.67952009083073961</v>
      </c>
      <c r="AO18" s="197">
        <f>SUM(AO8:AO17)</f>
        <v>179.37999667683343</v>
      </c>
      <c r="AP18" s="195">
        <f>AO18/AO6</f>
        <v>0.75953760713398588</v>
      </c>
      <c r="AQ18" s="84"/>
      <c r="AR18" s="197">
        <f>SUM(AR8:AR17)</f>
        <v>376.48516502541685</v>
      </c>
      <c r="AS18" s="195">
        <f>AR18/AR6</f>
        <v>0.70246322422878404</v>
      </c>
      <c r="AT18" s="197">
        <f>SUM(AT8:AT17)</f>
        <v>1480.9858514790699</v>
      </c>
      <c r="AU18" s="195">
        <f>AT18/AT6</f>
        <v>0.74880844350465414</v>
      </c>
      <c r="AV18" s="84"/>
      <c r="AW18" s="197">
        <f>SUM(AW8:AW17)</f>
        <v>76.005396186666673</v>
      </c>
      <c r="AX18" s="195">
        <f>AW18/AW6</f>
        <v>0.52559606789850266</v>
      </c>
      <c r="AY18" s="197">
        <f>SUM(AY8:AY17)</f>
        <v>157.65412570666669</v>
      </c>
      <c r="AZ18" s="195">
        <f>AY18/AY6</f>
        <v>0.56666088832657602</v>
      </c>
      <c r="BA18" s="84"/>
      <c r="BB18" s="197">
        <f>SUM(BB8:BB17)</f>
        <v>319.9204876</v>
      </c>
      <c r="BC18" s="195">
        <f>BB18/BB6</f>
        <v>0.58016308012592666</v>
      </c>
      <c r="BD18" s="197">
        <f>SUM(BD8:BD17)</f>
        <v>1229.3292622253257</v>
      </c>
      <c r="BE18" s="195">
        <f>BD18/BD6</f>
        <v>0.57178105219782593</v>
      </c>
      <c r="BF18" s="84"/>
      <c r="BG18" s="197">
        <f>SUM(BG8:BG17)</f>
        <v>1519.02</v>
      </c>
      <c r="BH18" s="195">
        <f>BG18/BG6</f>
        <v>1.2152160000000001</v>
      </c>
      <c r="BI18" s="84"/>
      <c r="BJ18" s="84"/>
    </row>
    <row r="19" spans="1:62" s="74" customFormat="1" x14ac:dyDescent="0.2">
      <c r="A19" s="84"/>
      <c r="B19" s="222"/>
      <c r="C19" s="228" t="str">
        <f>'Pricing Trends'!R25</f>
        <v>RBD PALM OLEIN (FOREIGN)</v>
      </c>
      <c r="D19" s="249">
        <f>'Pricing Trends'!S25</f>
        <v>45494</v>
      </c>
      <c r="E19" s="223">
        <f>'Pricing Trends'!U25</f>
        <v>60.496870000000001</v>
      </c>
      <c r="F19" s="220" t="b">
        <v>1</v>
      </c>
      <c r="G19" s="84"/>
      <c r="H19" s="243" t="s">
        <v>406</v>
      </c>
      <c r="I19" s="84"/>
      <c r="J19" s="96">
        <f>J6-J18</f>
        <v>17.29721769265516</v>
      </c>
      <c r="K19" s="97">
        <f>J19/J6</f>
        <v>0.40143372266385519</v>
      </c>
      <c r="L19" s="96">
        <f>L6-L18</f>
        <v>25.05189829109468</v>
      </c>
      <c r="M19" s="97">
        <f>L19/L6</f>
        <v>0.41438819323976278</v>
      </c>
      <c r="N19" s="96">
        <f>N6-N18</f>
        <v>46.322129915522709</v>
      </c>
      <c r="O19" s="97">
        <f>N19/N6</f>
        <v>0.39638896967488768</v>
      </c>
      <c r="P19" s="96">
        <f>P6-P18</f>
        <v>54.090463248856032</v>
      </c>
      <c r="Q19" s="97">
        <f>P19/P6</f>
        <v>0.46286435955239852</v>
      </c>
      <c r="R19" s="96">
        <f>R6-R18</f>
        <v>83.560926497712046</v>
      </c>
      <c r="S19" s="97">
        <f>R19/R6</f>
        <v>0.36937809354091555</v>
      </c>
      <c r="T19" s="96">
        <f>T6-T18</f>
        <v>101.99759316437874</v>
      </c>
      <c r="U19" s="97">
        <f>T19/T6</f>
        <v>0.45087672059083411</v>
      </c>
      <c r="V19" s="84"/>
      <c r="W19" s="96">
        <f>W6-W18</f>
        <v>8.4442449421940875</v>
      </c>
      <c r="X19" s="97">
        <f>W19/W6</f>
        <v>0.37616826941956549</v>
      </c>
      <c r="Y19" s="96">
        <f>Y6-Y18</f>
        <v>13.817491570323476</v>
      </c>
      <c r="Z19" s="97">
        <f>Y19/Y6</f>
        <v>0.38296724672612592</v>
      </c>
      <c r="AA19" s="96">
        <f>AA6-AA18</f>
        <v>26.272208172761353</v>
      </c>
      <c r="AB19" s="97">
        <f>AA19/AA6</f>
        <v>0.44680515994703413</v>
      </c>
      <c r="AC19" s="96">
        <f>AC6-AC18</f>
        <v>43.094416345522717</v>
      </c>
      <c r="AD19" s="97">
        <f>AC19/AC6</f>
        <v>0.37935128843041938</v>
      </c>
      <c r="AE19" s="96">
        <f>AE6-AE18</f>
        <v>85.401170808718319</v>
      </c>
      <c r="AF19" s="97">
        <f>AE19/AE6</f>
        <v>0.38379745441813873</v>
      </c>
      <c r="AG19" s="131"/>
      <c r="AH19" s="96">
        <f>AH6-AH18</f>
        <v>403.83615966209078</v>
      </c>
      <c r="AI19" s="97">
        <f>AH19/AH6</f>
        <v>0.90254584528403536</v>
      </c>
      <c r="AJ19" s="96">
        <f>AJ6-AJ18</f>
        <v>1400</v>
      </c>
      <c r="AK19" s="97">
        <f>AJ19/AJ6</f>
        <v>1</v>
      </c>
      <c r="AL19" s="131"/>
      <c r="AM19" s="96">
        <f>AM6-AM18</f>
        <v>41.181668328249955</v>
      </c>
      <c r="AN19" s="97">
        <f>AM19/AM6</f>
        <v>0.32047990916926034</v>
      </c>
      <c r="AO19" s="96">
        <f>AO6-AO18</f>
        <v>56.790003323166559</v>
      </c>
      <c r="AP19" s="97">
        <f>AO19/AO6</f>
        <v>0.24046239286601415</v>
      </c>
      <c r="AQ19" s="84"/>
      <c r="AR19" s="96">
        <f>AR6-AR18</f>
        <v>159.4648349745832</v>
      </c>
      <c r="AS19" s="97">
        <f>AR19/AR6</f>
        <v>0.29753677577121596</v>
      </c>
      <c r="AT19" s="96">
        <f>AT6-AT18</f>
        <v>496.80414852093008</v>
      </c>
      <c r="AU19" s="97">
        <f>AT19/AT6</f>
        <v>0.25119155649534586</v>
      </c>
      <c r="AV19" s="84"/>
      <c r="AW19" s="96">
        <f>AW6-AW18</f>
        <v>68.602603813333332</v>
      </c>
      <c r="AX19" s="97">
        <f>AW19/AW6</f>
        <v>0.47440393210149734</v>
      </c>
      <c r="AY19" s="96">
        <f>AY6-AY18</f>
        <v>120.56187429333332</v>
      </c>
      <c r="AZ19" s="97">
        <f>AY19/AY6</f>
        <v>0.43333911167342393</v>
      </c>
      <c r="BA19" s="84"/>
      <c r="BB19" s="96">
        <f>BB6-BB18</f>
        <v>231.51151240000002</v>
      </c>
      <c r="BC19" s="97">
        <f>BB19/BB6</f>
        <v>0.41983691987407334</v>
      </c>
      <c r="BD19" s="96">
        <f>BD6-BD18</f>
        <v>920.67073777467431</v>
      </c>
      <c r="BE19" s="97">
        <f>BD19/BD6</f>
        <v>0.42821894780217412</v>
      </c>
      <c r="BF19" s="84"/>
      <c r="BG19" s="96">
        <f>BG6-BG18</f>
        <v>-269.02</v>
      </c>
      <c r="BH19" s="97">
        <f>BG19/BG6</f>
        <v>-0.21521599999999999</v>
      </c>
      <c r="BI19" s="84"/>
      <c r="BJ19" s="84"/>
    </row>
    <row r="20" spans="1:62" s="74" customFormat="1" x14ac:dyDescent="0.2">
      <c r="A20" s="84"/>
      <c r="B20" s="222"/>
      <c r="C20" s="228" t="str">
        <f>'Pricing Trends'!R26</f>
        <v>RBD PALM OLEIN (FOREIGN)</v>
      </c>
      <c r="D20" s="249">
        <f>'Pricing Trends'!S26</f>
        <v>45314</v>
      </c>
      <c r="E20" s="223">
        <f>'Pricing Trends'!U26</f>
        <v>57.513559999999998</v>
      </c>
      <c r="F20" s="220" t="b">
        <v>0</v>
      </c>
      <c r="G20" s="84"/>
      <c r="H20" s="244" t="s">
        <v>407</v>
      </c>
      <c r="I20" s="84"/>
      <c r="J20" s="191">
        <f>J7-J18</f>
        <v>13.057299307964556</v>
      </c>
      <c r="K20" s="188">
        <f>J20/J7</f>
        <v>0.33610661342486153</v>
      </c>
      <c r="L20" s="191">
        <f>L7-L18</f>
        <v>19.103112027250965</v>
      </c>
      <c r="M20" s="188">
        <f>L20/L7</f>
        <v>0.35047492595359669</v>
      </c>
      <c r="N20" s="191">
        <f>N7-N18</f>
        <v>34.823077387835269</v>
      </c>
      <c r="O20" s="188">
        <f>N20/N7</f>
        <v>0.33051127958616638</v>
      </c>
      <c r="P20" s="191">
        <f>P7-P18</f>
        <v>42.591410721168593</v>
      </c>
      <c r="Q20" s="188">
        <f>P20/P7</f>
        <v>0.40424174750709685</v>
      </c>
      <c r="R20" s="191">
        <f>R7-R18</f>
        <v>61.300821442337167</v>
      </c>
      <c r="S20" s="188">
        <f>R20/R7</f>
        <v>0.30055245512523904</v>
      </c>
      <c r="T20" s="191">
        <f>T7-T18</f>
        <v>79.737488109003863</v>
      </c>
      <c r="U20" s="188">
        <f>T20/T7</f>
        <v>0.39094578592594731</v>
      </c>
      <c r="V20" s="84"/>
      <c r="W20" s="191">
        <f>W7-W18</f>
        <v>6.2353566072103508</v>
      </c>
      <c r="X20" s="188">
        <f>W20/W7</f>
        <v>0.3080837060997843</v>
      </c>
      <c r="Y20" s="191">
        <f>Y7-Y18</f>
        <v>10.267211012017242</v>
      </c>
      <c r="Z20" s="188">
        <f>Y20/Y7</f>
        <v>0.31562471908399053</v>
      </c>
      <c r="AA20" s="191">
        <f>AA7-AA18</f>
        <v>20.486273908917632</v>
      </c>
      <c r="AB20" s="188">
        <f>AA20/AA7</f>
        <v>0.38642985797142199</v>
      </c>
      <c r="AC20" s="191">
        <f>AC7-AC18</f>
        <v>31.916147817835281</v>
      </c>
      <c r="AD20" s="188">
        <f>AC20/AC7</f>
        <v>0.31161411760250596</v>
      </c>
      <c r="AE20" s="191">
        <f>AE7-AE18</f>
        <v>63.505571682564465</v>
      </c>
      <c r="AF20" s="188">
        <f>AE20/AE7</f>
        <v>0.31654553506892058</v>
      </c>
      <c r="AG20" s="131"/>
      <c r="AH20" s="191">
        <f>AH7-AH18</f>
        <v>359.8079495513411</v>
      </c>
      <c r="AI20" s="188">
        <f>AH20/AH7</f>
        <v>0.89190976628664087</v>
      </c>
      <c r="AJ20" s="191">
        <f>AJ7-AJ18</f>
        <v>1330</v>
      </c>
      <c r="AK20" s="188">
        <f>AJ20/AJ7</f>
        <v>1</v>
      </c>
      <c r="AL20" s="131"/>
      <c r="AM20" s="191">
        <f>AM7-AM18</f>
        <v>28.537268328249951</v>
      </c>
      <c r="AN20" s="188">
        <f>AM20/AM7</f>
        <v>0.24631755675383799</v>
      </c>
      <c r="AO20" s="191">
        <f>AO7-AO18</f>
        <v>33.550875323166565</v>
      </c>
      <c r="AP20" s="188">
        <f>AO20/AO7</f>
        <v>0.15756698410161288</v>
      </c>
      <c r="AQ20" s="84"/>
      <c r="AR20" s="191">
        <f>AR7-AR18</f>
        <v>106.72735497458319</v>
      </c>
      <c r="AS20" s="188">
        <f>AR20/AR7</f>
        <v>0.22087042565574083</v>
      </c>
      <c r="AT20" s="191">
        <f>AT7-AT18</f>
        <v>397.91464852093009</v>
      </c>
      <c r="AU20" s="188">
        <f>AT20/AT7</f>
        <v>0.21178058578457459</v>
      </c>
      <c r="AV20" s="84"/>
      <c r="AW20" s="191">
        <f>AW7-AW18</f>
        <v>54.373176613333328</v>
      </c>
      <c r="AX20" s="188">
        <f>AW20/AW7</f>
        <v>0.41704074101763239</v>
      </c>
      <c r="AY20" s="191">
        <f>AY7-AY18</f>
        <v>93.185419893333346</v>
      </c>
      <c r="AZ20" s="188">
        <f>AY20/AY7</f>
        <v>0.37149413450912155</v>
      </c>
      <c r="BA20" s="84"/>
      <c r="BB20" s="191">
        <f>BB7-BB18</f>
        <v>177.25060360000003</v>
      </c>
      <c r="BC20" s="188">
        <f>BB20/BB7</f>
        <v>0.35651832284169627</v>
      </c>
      <c r="BD20" s="191">
        <f>BD7-BD18</f>
        <v>813.17073777467431</v>
      </c>
      <c r="BE20" s="188">
        <f>BD20/BD7</f>
        <v>0.39812520821281483</v>
      </c>
      <c r="BF20" s="84"/>
      <c r="BG20" s="191">
        <f>BG7-BG18</f>
        <v>-331.52</v>
      </c>
      <c r="BH20" s="188">
        <f>BG20/BG7</f>
        <v>-0.27917473684210525</v>
      </c>
      <c r="BI20" s="84"/>
      <c r="BJ20" s="84"/>
    </row>
    <row r="21" spans="1:62" s="74" customFormat="1" x14ac:dyDescent="0.2">
      <c r="A21" s="84"/>
      <c r="B21" s="222"/>
      <c r="C21" s="228" t="str">
        <f>'Pricing Trends'!R27</f>
        <v>RBD PALM OLEIN (FOREIGN)</v>
      </c>
      <c r="D21" s="249">
        <f>'Pricing Trends'!S27</f>
        <v>45248</v>
      </c>
      <c r="E21" s="223">
        <f>'Pricing Trends'!U27</f>
        <v>61.450510000000001</v>
      </c>
      <c r="F21" s="220" t="b">
        <v>0</v>
      </c>
      <c r="G21" s="84"/>
      <c r="H21" s="246" t="s">
        <v>408</v>
      </c>
      <c r="I21" s="84"/>
      <c r="J21" s="197">
        <f>SUM(J22:J31)</f>
        <v>10.678266376727935</v>
      </c>
      <c r="K21" s="195">
        <f>J21/J6</f>
        <v>0.24782114091252827</v>
      </c>
      <c r="L21" s="197">
        <f>SUM(L22:L31)</f>
        <v>15.025951966754191</v>
      </c>
      <c r="M21" s="195">
        <f>L21/L6</f>
        <v>0.24854711666397436</v>
      </c>
      <c r="N21" s="197">
        <f>SUM(N22:N31)</f>
        <v>29.325403933508383</v>
      </c>
      <c r="O21" s="195">
        <f>N21/N6</f>
        <v>0.2509441312759661</v>
      </c>
      <c r="P21" s="197">
        <f>SUM(P22:P31)</f>
        <v>29.325403933508383</v>
      </c>
      <c r="Q21" s="195">
        <f>P21/P6</f>
        <v>0.2509441312759661</v>
      </c>
      <c r="R21" s="197">
        <f>SUM(R22:R31)</f>
        <v>57.475807867016769</v>
      </c>
      <c r="S21" s="195">
        <f>R21/R6</f>
        <v>0.25406975753462846</v>
      </c>
      <c r="T21" s="197">
        <f>SUM(T22:T31)</f>
        <v>57.475807867016769</v>
      </c>
      <c r="U21" s="195">
        <f>T21/T6</f>
        <v>0.25406975753462846</v>
      </c>
      <c r="V21" s="84"/>
      <c r="W21" s="197">
        <f>SUM(W22:W31)</f>
        <v>5.633219483706096</v>
      </c>
      <c r="X21" s="195">
        <f>W21/W6</f>
        <v>0.25094468942485526</v>
      </c>
      <c r="Y21" s="197">
        <f>SUM(Y22:Y31)</f>
        <v>9.0820324728434922</v>
      </c>
      <c r="Z21" s="195">
        <f>Y21/Y6</f>
        <v>0.25171869677650299</v>
      </c>
      <c r="AA21" s="197">
        <f>SUM(AA22:AA31)</f>
        <v>14.830054121405823</v>
      </c>
      <c r="AB21" s="195">
        <f>AA21/AA6</f>
        <v>0.25221118301764189</v>
      </c>
      <c r="AC21" s="197">
        <f>SUM(AC22:AC31)</f>
        <v>29.852545771413123</v>
      </c>
      <c r="AD21" s="195">
        <f>AC21/AC6</f>
        <v>0.26278582381798987</v>
      </c>
      <c r="AE21" s="197">
        <f>SUM(AE22:AE31)</f>
        <v>57.071253774254096</v>
      </c>
      <c r="AF21" s="195">
        <f>AE21/AE6</f>
        <v>0.25648128370593987</v>
      </c>
      <c r="AG21" s="131"/>
      <c r="AH21" s="197">
        <f>SUM(AH22:AH31)</f>
        <v>100.46777484491932</v>
      </c>
      <c r="AI21" s="195">
        <f>AH21/AH6</f>
        <v>0.22453851791550189</v>
      </c>
      <c r="AJ21" s="197">
        <f>SUM(AJ22:AJ31)</f>
        <v>229.3050393738271</v>
      </c>
      <c r="AK21" s="195">
        <f>AJ21/AJ6</f>
        <v>0.16378931383844794</v>
      </c>
      <c r="AL21" s="131"/>
      <c r="AM21" s="197">
        <f>SUM(AM22:AM31)</f>
        <v>31.991534034186394</v>
      </c>
      <c r="AN21" s="195">
        <f>AM21/AM6</f>
        <v>0.2489613543516451</v>
      </c>
      <c r="AO21" s="197">
        <f>SUM(AO22:AO31)</f>
        <v>60.116668068372782</v>
      </c>
      <c r="AP21" s="195">
        <f>AO21/AO6</f>
        <v>0.25454828330597784</v>
      </c>
      <c r="AQ21" s="84"/>
      <c r="AR21" s="197">
        <f>SUM(AR22:AR31)</f>
        <v>125.99760392644154</v>
      </c>
      <c r="AS21" s="195">
        <f>AR21/AR6</f>
        <v>0.23509208681116062</v>
      </c>
      <c r="AT21" s="197">
        <f>SUM(AT22:AT31)</f>
        <v>271.63825193254161</v>
      </c>
      <c r="AU21" s="195">
        <f>AT21/AT6</f>
        <v>0.13734433480427224</v>
      </c>
      <c r="AV21" s="84"/>
      <c r="AW21" s="197">
        <f>SUM(AW22:AW31)</f>
        <v>33.035284402632456</v>
      </c>
      <c r="AX21" s="195">
        <f>AW21/AW6</f>
        <v>0.22844714263825275</v>
      </c>
      <c r="AY21" s="197">
        <f>SUM(AY22:AY31)</f>
        <v>64.440568805264917</v>
      </c>
      <c r="AZ21" s="195">
        <f>AY21/AY6</f>
        <v>0.23162064297260013</v>
      </c>
      <c r="BA21" s="84"/>
      <c r="BB21" s="197">
        <f>SUM(BB22:BB31)</f>
        <v>128.13381576867187</v>
      </c>
      <c r="BC21" s="195">
        <f>BB21/BB6</f>
        <v>0.23236557865461538</v>
      </c>
      <c r="BD21" s="197">
        <f>SUM(BD22:BD31)</f>
        <v>257.18020526361556</v>
      </c>
      <c r="BE21" s="195">
        <f>BD21/BD6</f>
        <v>0.11961870012261189</v>
      </c>
      <c r="BF21" s="84"/>
      <c r="BG21" s="197">
        <f>SUM(BG22:BG31)</f>
        <v>224.8050393738271</v>
      </c>
      <c r="BH21" s="195">
        <f>BG21/BG6</f>
        <v>0.17984403149906167</v>
      </c>
      <c r="BI21" s="84"/>
      <c r="BJ21" s="84"/>
    </row>
    <row r="22" spans="1:62" x14ac:dyDescent="0.2">
      <c r="A22" s="84"/>
      <c r="B22" s="222"/>
      <c r="C22" s="228" t="str">
        <f>'Pricing Trends'!R28</f>
        <v>RBD PALM OLEIN (FOREIGN)</v>
      </c>
      <c r="D22" s="249">
        <f>'Pricing Trends'!S28</f>
        <v>45244</v>
      </c>
      <c r="E22" s="223">
        <f>'Pricing Trends'!U28</f>
        <v>63.352640000000001</v>
      </c>
      <c r="F22" s="220" t="b">
        <v>0</v>
      </c>
      <c r="G22" s="84"/>
      <c r="H22" s="247" t="s">
        <v>409</v>
      </c>
      <c r="I22" s="84"/>
      <c r="J22" s="94">
        <f>N22*0.35</f>
        <v>1.8054610777974949</v>
      </c>
      <c r="K22" s="99">
        <f>J22/J$6</f>
        <v>4.1901129676635895E-2</v>
      </c>
      <c r="L22" s="94">
        <f>N22*0.5</f>
        <v>2.5792301111392786</v>
      </c>
      <c r="M22" s="99">
        <f>L22/L$6</f>
        <v>4.2663533648646924E-2</v>
      </c>
      <c r="N22" s="94">
        <f>((IFERROR(VLOOKUP(J2&amp;$H$8,Validation!$E:$F,2,FALSE),0)*'Shipping Cost'!$E$4)+(IFERROR(VLOOKUP(J2&amp;$H$10,Validation!$E:$F,2,FALSE),0)*'Shipping Cost'!$C$4)+(IFERROR(VLOOKUP(J2&amp;$H$11,Validation!$E:$F,2,FALSE),0)*'Shipping Cost'!$D$4))</f>
        <v>5.1584602222785572</v>
      </c>
      <c r="O22" s="99">
        <f>N22/N$6</f>
        <v>4.4142113852426376E-2</v>
      </c>
      <c r="P22" s="94">
        <f>((IFERROR(VLOOKUP(J2&amp;$H$8,Validation!$E:$F,2,FALSE),0)*'Shipping Cost'!$E$4)+(IFERROR(VLOOKUP(J2&amp;$H$10,Validation!$E:$F,2,FALSE),0)*'Shipping Cost'!$C$4)+(IFERROR(VLOOKUP(J2&amp;$H$11,Validation!$E:$F,2,FALSE),0)*'Shipping Cost'!$D$4))</f>
        <v>5.1584602222785572</v>
      </c>
      <c r="Q22" s="99">
        <f>P22/P$6</f>
        <v>4.4142113852426376E-2</v>
      </c>
      <c r="R22" s="94">
        <f>N22*2</f>
        <v>10.316920444557114</v>
      </c>
      <c r="S22" s="99">
        <f>R22/R$6</f>
        <v>4.5605578644800519E-2</v>
      </c>
      <c r="T22" s="94">
        <f>N22*2</f>
        <v>10.316920444557114</v>
      </c>
      <c r="U22" s="99">
        <f>T22/T$6</f>
        <v>4.5605578644800519E-2</v>
      </c>
      <c r="V22" s="84"/>
      <c r="W22" s="94">
        <f>$AC22*0.18</f>
        <v>0.93545361568472662</v>
      </c>
      <c r="X22" s="99">
        <f>W22/W$6</f>
        <v>4.1671928057900112E-2</v>
      </c>
      <c r="Y22" s="94">
        <f>$AC22*0.3</f>
        <v>1.5590893594745443</v>
      </c>
      <c r="Z22" s="99">
        <f>Y22/Y$6</f>
        <v>4.3211906905038004E-2</v>
      </c>
      <c r="AA22" s="94">
        <f>$AC22*0.5</f>
        <v>2.5984822657909072</v>
      </c>
      <c r="AB22" s="99">
        <f>AA22/AA$6</f>
        <v>4.4191766324003241E-2</v>
      </c>
      <c r="AC22" s="94">
        <f>((IFERROR(VLOOKUP(W2&amp;$H$8,Validation!$E:$F,2,FALSE),0)*'Shipping Cost'!$E$4)+(IFERROR(VLOOKUP(W2&amp;$H$10,Validation!$E:$F,2,FALSE),0)*'Shipping Cost'!$C$4)+(IFERROR(VLOOKUP(W2&amp;$H$11,Validation!$E:$F,2,FALSE),0)*'Shipping Cost'!$D$4))</f>
        <v>5.1969645315818145</v>
      </c>
      <c r="AD22" s="99">
        <f>AC22/AC$6</f>
        <v>4.5747810462864712E-2</v>
      </c>
      <c r="AE22" s="94">
        <f>$AC22*2</f>
        <v>10.393929063163629</v>
      </c>
      <c r="AF22" s="99">
        <f>AE22/AE$6</f>
        <v>4.6710876186695907E-2</v>
      </c>
      <c r="AG22" s="131"/>
      <c r="AH22" s="94">
        <f>((IFERROR(VLOOKUP(AH2&amp;$H$8,Validation!$E:$F,2,FALSE),0)*'Shipping Cost'!$E$4)+(IFERROR(VLOOKUP(AH2&amp;$H$10,Validation!$E:$F,2,FALSE),0)*'Shipping Cost'!$C$4)+(IFERROR(VLOOKUP(AH2&amp;$H$11,Validation!$E:$F,2,FALSE),0)*'Shipping Cost'!$D$4))*AI5</f>
        <v>0</v>
      </c>
      <c r="AI22" s="99">
        <f t="shared" ref="AI22:AI31" si="22">AH22/AH$6</f>
        <v>0</v>
      </c>
      <c r="AJ22" s="94">
        <f>((IFERROR(VLOOKUP(AH2&amp;$H$8,Validation!$E:$F,2,FALSE),0)*'Shipping Cost'!$E$4)+(IFERROR(VLOOKUP(AH2&amp;$H$10,Validation!$E:$F,2,FALSE),0)*'Shipping Cost'!$C$4)+(IFERROR(VLOOKUP(AH2&amp;$H$11,Validation!$E:$F,2,FALSE),0)*'Shipping Cost'!$D$4))*15.66*1.1364</f>
        <v>0</v>
      </c>
      <c r="AK22" s="99">
        <f t="shared" ref="AK22:AK31" si="23">AJ22/AJ$6</f>
        <v>0</v>
      </c>
      <c r="AL22" s="131"/>
      <c r="AM22" s="94">
        <f>((IFERROR(VLOOKUP(AM2&amp;$H$8,Validation!$E:$F,2,FALSE),0)*'Shipping Cost'!$E$4)+(IFERROR(VLOOKUP(AM2&amp;$H$10,Validation!$E:$F,2,FALSE),0)*'Shipping Cost'!$C$4)+(IFERROR(VLOOKUP(AM2&amp;$H$11,Validation!$E:$F,2,FALSE),0)*'Shipping Cost'!$D$4))</f>
        <v>5.2364280119745183</v>
      </c>
      <c r="AN22" s="99">
        <f>AM22/AM$6</f>
        <v>4.0750412544548781E-2</v>
      </c>
      <c r="AO22" s="94">
        <f>AM22*2</f>
        <v>10.472856023949037</v>
      </c>
      <c r="AP22" s="99">
        <f>AO22/AO$6</f>
        <v>4.4344565456870211E-2</v>
      </c>
      <c r="AQ22" s="84"/>
      <c r="AR22" s="94">
        <f>((IFERROR(VLOOKUP(AR2&amp;$H$8,Validation!$E:$F,2,FALSE),0)*'Shipping Cost'!$E$4)+(IFERROR(VLOOKUP(AR2&amp;$H$10,Validation!$E:$F,2,FALSE),0)*'Shipping Cost'!$C$4)+(IFERROR(VLOOKUP(AR2&amp;$H$11,Validation!$E:$F,2,FALSE),0)*'Shipping Cost'!$D$4))*AS5</f>
        <v>21.023679837594035</v>
      </c>
      <c r="AS22" s="99">
        <f>AR22/AR$6</f>
        <v>3.9226942508804985E-2</v>
      </c>
      <c r="AT22" s="94">
        <f>((IFERROR(VLOOKUP(J2&amp;$H$8,Validation!$E:$F,2,FALSE),0)*'Shipping Cost'!$E$4)+(IFERROR(VLOOKUP(J2&amp;$H$10,Validation!$E:$F,2,FALSE),0)*'Shipping Cost'!$C$4)+(IFERROR(VLOOKUP(J2&amp;$H$11,Validation!$E:$F,2,FALSE),0)*'Shipping Cost'!$D$4))*15.66*1.1364</f>
        <v>91.80008191871454</v>
      </c>
      <c r="AU22" s="99">
        <f>AT22/AT$6</f>
        <v>4.6415484919387066E-2</v>
      </c>
      <c r="AV22" s="84"/>
      <c r="AW22" s="94">
        <f>((IFERROR(VLOOKUP(AW2&amp;$H$8,Validation!$E:$F,2,FALSE),0)*'Shipping Cost'!$E$4)+(IFERROR(VLOOKUP(AW2&amp;$H$10,Validation!$E:$F,2,FALSE),0)*'Shipping Cost'!$C$4)+(IFERROR(VLOOKUP(AW2&amp;$H$11,Validation!$E:$F,2,FALSE),0)*'Shipping Cost'!$D$4))</f>
        <v>5.2611383804205794</v>
      </c>
      <c r="AX22" s="99">
        <f>AW22/AW$6</f>
        <v>3.6382070012866363E-2</v>
      </c>
      <c r="AY22" s="94">
        <f>AW22*2</f>
        <v>10.522276760841159</v>
      </c>
      <c r="AZ22" s="99">
        <f>AY22/AY$6</f>
        <v>3.7820530669843422E-2</v>
      </c>
      <c r="BA22" s="84"/>
      <c r="BB22" s="94">
        <f>((IFERROR(VLOOKUP(BB2&amp;$H$8,Validation!$E:$F,2,FALSE),0)*'Shipping Cost'!$E$4)+(IFERROR(VLOOKUP(BB2&amp;$H$10,Validation!$E:$F,2,FALSE),0)*'Shipping Cost'!$C$4)+(IFERROR(VLOOKUP(BB2&amp;$H$11,Validation!$E:$F,2,FALSE),0)*'Shipping Cost'!$D$4))*BC5</f>
        <v>21.147231679824337</v>
      </c>
      <c r="BC22" s="99">
        <f>BB22/BB$6</f>
        <v>3.8349663566540092E-2</v>
      </c>
      <c r="BD22" s="94">
        <f>((IFERROR(VLOOKUP(BB2&amp;$H$8,Validation!$E:$F,2,FALSE),0)*'Shipping Cost'!$E$4)+(IFERROR(VLOOKUP(BB2&amp;$H$10,Validation!$E:$F,2,FALSE),0)*'Shipping Cost'!$C$4)+(IFERROR(VLOOKUP(BB2&amp;$H$11,Validation!$E:$F,2,FALSE),0)*'Shipping Cost'!$D$4))*15.66*1.1364</f>
        <v>94.084160626928551</v>
      </c>
      <c r="BE22" s="99">
        <f>BD22/BD$6</f>
        <v>4.3760074710199326E-2</v>
      </c>
      <c r="BF22" s="84"/>
      <c r="BG22" s="94">
        <f>((IFERROR(VLOOKUP(BG2&amp;$H$8,Validation!$E:$F,2,FALSE),0)*'Shipping Cost'!$E$4)+(IFERROR(VLOOKUP(BG2&amp;$H$10,Validation!$E:$F,2,FALSE),0)*'Shipping Cost'!$C$4)+(IFERROR(VLOOKUP(BG2&amp;$H$11,Validation!$E:$F,2,FALSE),0)*'Shipping Cost'!$D$4))</f>
        <v>0</v>
      </c>
      <c r="BH22" s="99">
        <f>BG22/BG$6</f>
        <v>0</v>
      </c>
      <c r="BI22" s="84"/>
      <c r="BJ22" s="84"/>
    </row>
    <row r="23" spans="1:62" s="212" customFormat="1" x14ac:dyDescent="0.2">
      <c r="A23" s="210"/>
      <c r="B23" s="222"/>
      <c r="C23" s="228" t="str">
        <f>'Pricing Trends'!R29</f>
        <v>RBD PALM OLEIN (FOREIGN)</v>
      </c>
      <c r="D23" s="249">
        <f>'Pricing Trends'!S29</f>
        <v>45234</v>
      </c>
      <c r="E23" s="223">
        <f>'Pricing Trends'!U29</f>
        <v>56.635750000000002</v>
      </c>
      <c r="F23" s="220" t="b">
        <v>0</v>
      </c>
      <c r="G23" s="210"/>
      <c r="H23" s="247" t="s">
        <v>410</v>
      </c>
      <c r="I23" s="84"/>
      <c r="J23" s="94">
        <f>N23*0.35</f>
        <v>0</v>
      </c>
      <c r="K23" s="99">
        <f t="shared" ref="K23:K31" si="24">J23/J$6</f>
        <v>0</v>
      </c>
      <c r="L23" s="94">
        <f>N23*0.5</f>
        <v>0</v>
      </c>
      <c r="M23" s="99">
        <f t="shared" ref="M23:M31" si="25">L23/L$6</f>
        <v>0</v>
      </c>
      <c r="N23" s="94">
        <f>((IFERROR(VLOOKUP(J2&amp;$H$12,Validation!$E:$F,2,FALSE),0)*'Pick Up Cost'!$C$16)+(IFERROR(VLOOKUP(J2&amp;$H$9,Validation!$E:$F,2,FALSE),0)*'Pick Up Cost'!$C$16))</f>
        <v>0</v>
      </c>
      <c r="O23" s="99">
        <f t="shared" ref="O23:O31" si="26">N23/N$6</f>
        <v>0</v>
      </c>
      <c r="P23" s="94">
        <f>((IFERROR(VLOOKUP(J2&amp;$H$12,Validation!$E:$F,2,FALSE),0)*'Pick Up Cost'!$C$16)+(IFERROR(VLOOKUP(J2&amp;$H$9,Validation!$E:$F,2,FALSE),0)*'Pick Up Cost'!$C$16))</f>
        <v>0</v>
      </c>
      <c r="Q23" s="99">
        <f t="shared" ref="Q23:Q27" si="27">P23/P$6</f>
        <v>0</v>
      </c>
      <c r="R23" s="94">
        <f>N23*2</f>
        <v>0</v>
      </c>
      <c r="S23" s="99">
        <f t="shared" ref="S23:S28" si="28">R23/R$6</f>
        <v>0</v>
      </c>
      <c r="T23" s="94">
        <f>N23*2</f>
        <v>0</v>
      </c>
      <c r="U23" s="99">
        <f t="shared" ref="U23:U31" si="29">T23/T$6</f>
        <v>0</v>
      </c>
      <c r="V23" s="84"/>
      <c r="W23" s="94">
        <f>$AC23*0.18</f>
        <v>0</v>
      </c>
      <c r="X23" s="99">
        <f t="shared" ref="X23:X31" si="30">W23/W$6</f>
        <v>0</v>
      </c>
      <c r="Y23" s="94">
        <f>$AC23*0.3</f>
        <v>0</v>
      </c>
      <c r="Z23" s="99">
        <f t="shared" ref="Z23:Z31" si="31">Y23/Y$6</f>
        <v>0</v>
      </c>
      <c r="AA23" s="94">
        <f>$AC23*0.5</f>
        <v>0</v>
      </c>
      <c r="AB23" s="99">
        <f t="shared" ref="AB23:AB31" si="32">AA23/AA$6</f>
        <v>0</v>
      </c>
      <c r="AC23" s="94">
        <f>((IFERROR(VLOOKUP(W2&amp;$H$12,Validation!$E:$F,2,FALSE),0)*'Pick Up Cost'!$C$16)+(IFERROR(VLOOKUP(W2&amp;$H$9,Validation!$E:$F,2,FALSE),0)*'Pick Up Cost'!$C$16))</f>
        <v>0</v>
      </c>
      <c r="AD23" s="99">
        <f t="shared" ref="AD23:AD31" si="33">AC23/AC$6</f>
        <v>0</v>
      </c>
      <c r="AE23" s="94">
        <f>$AC23*2</f>
        <v>0</v>
      </c>
      <c r="AF23" s="99">
        <f t="shared" ref="AF23:AF31" si="34">AE23/AE$6</f>
        <v>0</v>
      </c>
      <c r="AG23" s="131"/>
      <c r="AH23" s="94">
        <f>((IFERROR(VLOOKUP(AH2&amp;$H$12,Validation!$E:$F,2,FALSE),0)*'Pick Up Cost'!$C$16)+(IFERROR(VLOOKUP(AH2&amp;$H$9,Validation!$E:$F,2,FALSE),0)*'Pick Up Cost'!$C$16))*AI5</f>
        <v>7</v>
      </c>
      <c r="AI23" s="99">
        <f t="shared" si="22"/>
        <v>1.5644515147614998E-2</v>
      </c>
      <c r="AJ23" s="94">
        <f>((IFERROR(VLOOKUP(AH2&amp;$H$12,Validation!$E:$F,2,FALSE),0)*'Pick Up Cost'!$C$16)+(IFERROR(VLOOKUP(AH2&amp;$H$9,Validation!$E:$F,2,FALSE),0)*'Pick Up Cost'!$C$16))*15.66*1.1364</f>
        <v>31.143042000000005</v>
      </c>
      <c r="AK23" s="99">
        <f t="shared" si="23"/>
        <v>2.2245030000000002E-2</v>
      </c>
      <c r="AL23" s="131"/>
      <c r="AM23" s="94">
        <f>((IFERROR(VLOOKUP(AM2&amp;$H$12,Validation!$E:$F,2,FALSE),0)*'Pick Up Cost'!$C$16)+(IFERROR(VLOOKUP(AM2&amp;$H$9,Validation!$E:$F,2,FALSE),0)*'Pick Up Cost'!$C$16))</f>
        <v>0</v>
      </c>
      <c r="AN23" s="99">
        <f t="shared" ref="AN23:AN31" si="35">AM23/AM$6</f>
        <v>0</v>
      </c>
      <c r="AO23" s="94">
        <f>AM23*2</f>
        <v>0</v>
      </c>
      <c r="AP23" s="99">
        <f t="shared" ref="AP23:AP31" si="36">AO23/AO$6</f>
        <v>0</v>
      </c>
      <c r="AQ23" s="84"/>
      <c r="AR23" s="94">
        <f>((IFERROR(VLOOKUP(AR2&amp;$H$12,Validation!$E:$F,2,FALSE),0)*'Pick Up Cost'!$C$16)+(IFERROR(VLOOKUP(AR2&amp;$H$9,Validation!$E:$F,2,FALSE),0)*'Pick Up Cost'!$C$16))*AS5</f>
        <v>0</v>
      </c>
      <c r="AS23" s="99">
        <f t="shared" ref="AS23:AS31" si="37">AR23/AR$6</f>
        <v>0</v>
      </c>
      <c r="AT23" s="94">
        <f>((IFERROR(VLOOKUP(AR2&amp;$H$12,Validation!$E:$F,2,FALSE),0)*'Pick Up Cost'!$C$16)+(IFERROR(VLOOKUP(AR2&amp;$H$9,Validation!$E:$F,2,FALSE),0)*'Pick Up Cost'!$C$16))*AS5*15.66*1.1364</f>
        <v>0</v>
      </c>
      <c r="AU23" s="99">
        <f t="shared" ref="AU23:AU31" si="38">AT23/AT$6</f>
        <v>0</v>
      </c>
      <c r="AV23" s="84"/>
      <c r="AW23" s="94">
        <f>((IFERROR(VLOOKUP(AW2&amp;$H$12,Validation!$E:$F,2,FALSE),0)*'Pick Up Cost'!$C$16)+(IFERROR(VLOOKUP(AW2&amp;$H$9,Validation!$E:$F,2,FALSE),0)*'Pick Up Cost'!$C$16))</f>
        <v>0</v>
      </c>
      <c r="AX23" s="99">
        <f t="shared" ref="AX23:AX31" si="39">AW23/AW$6</f>
        <v>0</v>
      </c>
      <c r="AY23" s="94">
        <f>AW23*2</f>
        <v>0</v>
      </c>
      <c r="AZ23" s="99">
        <f t="shared" ref="AZ23:AZ31" si="40">AY23/AY$6</f>
        <v>0</v>
      </c>
      <c r="BA23" s="84"/>
      <c r="BB23" s="94">
        <f>((IFERROR(VLOOKUP(J2&amp;$H$12,Validation!$E:$F,2,FALSE),0)*'Pick Up Cost'!$C$16)+(IFERROR(VLOOKUP(J2&amp;$H$9,Validation!$E:$F,2,FALSE),0)*'Pick Up Cost'!$C$16))*BC5</f>
        <v>0</v>
      </c>
      <c r="BC23" s="99">
        <f t="shared" ref="BC23:BC31" si="41">BB23/BB$6</f>
        <v>0</v>
      </c>
      <c r="BD23" s="94">
        <f>((IFERROR(VLOOKUP(J2&amp;$H$12,Validation!$E:$F,2,FALSE),0)*'Pick Up Cost'!$C$16)+(IFERROR(VLOOKUP(J2&amp;$H$9,Validation!$E:$F,2,FALSE),0)*'Pick Up Cost'!$C$16))*15.66*1.1364</f>
        <v>0</v>
      </c>
      <c r="BE23" s="99">
        <f t="shared" ref="BE23:BE31" si="42">BD23/BD$6</f>
        <v>0</v>
      </c>
      <c r="BF23" s="84"/>
      <c r="BG23" s="94">
        <f>((IFERROR(VLOOKUP(BG2&amp;$H$12,Validation!$E:$F,2,FALSE),0)*'Pick Up Cost'!$C$16)+(IFERROR(VLOOKUP(BG2&amp;$H$9,Validation!$E:$F,2,FALSE),0)*'Pick Up Cost'!$C$16))*15.66*1.1364</f>
        <v>31.143042000000005</v>
      </c>
      <c r="BH23" s="99">
        <f t="shared" ref="BH23:BH31" si="43">BG23/BG$6</f>
        <v>2.4914433600000004E-2</v>
      </c>
      <c r="BI23" s="210"/>
      <c r="BJ23" s="210"/>
    </row>
    <row r="24" spans="1:62" x14ac:dyDescent="0.2">
      <c r="A24" s="84"/>
      <c r="B24" s="222"/>
      <c r="C24" s="228">
        <f>'Pricing Trends'!R30</f>
        <v>0</v>
      </c>
      <c r="D24" s="249">
        <f>'Pricing Trends'!S30</f>
        <v>0</v>
      </c>
      <c r="E24" s="223">
        <f>'Pricing Trends'!U30</f>
        <v>0</v>
      </c>
      <c r="F24" s="220" t="b">
        <v>0</v>
      </c>
      <c r="G24" s="84"/>
      <c r="H24" s="247" t="s">
        <v>411</v>
      </c>
      <c r="I24" s="84"/>
      <c r="J24" s="94">
        <f>N24*0.35</f>
        <v>1.7972871077741563</v>
      </c>
      <c r="K24" s="99">
        <f t="shared" si="24"/>
        <v>4.1711428230211664E-2</v>
      </c>
      <c r="L24" s="94">
        <f>N24*0.5</f>
        <v>2.5675530111059377</v>
      </c>
      <c r="M24" s="99">
        <f t="shared" si="25"/>
        <v>4.2470380525922641E-2</v>
      </c>
      <c r="N24" s="94">
        <f>'Delivery Cost'!C15</f>
        <v>5.1351060222118754</v>
      </c>
      <c r="O24" s="99">
        <f t="shared" si="26"/>
        <v>4.394226666666666E-2</v>
      </c>
      <c r="P24" s="94">
        <f>'Delivery Cost'!C15</f>
        <v>5.1351060222118754</v>
      </c>
      <c r="Q24" s="99">
        <f t="shared" si="27"/>
        <v>4.394226666666666E-2</v>
      </c>
      <c r="R24" s="94">
        <f>N24*2</f>
        <v>10.270212044423751</v>
      </c>
      <c r="S24" s="99">
        <f t="shared" si="28"/>
        <v>4.5399105828895579E-2</v>
      </c>
      <c r="T24" s="94">
        <f>N24*2</f>
        <v>10.270212044423751</v>
      </c>
      <c r="U24" s="99">
        <f t="shared" si="29"/>
        <v>4.5399105828895579E-2</v>
      </c>
      <c r="V24" s="84"/>
      <c r="W24" s="94">
        <f>$N24*0.18</f>
        <v>0.92431908399813756</v>
      </c>
      <c r="X24" s="99">
        <f t="shared" si="30"/>
        <v>4.1175914791585125E-2</v>
      </c>
      <c r="Y24" s="94">
        <f>$N24*0.3</f>
        <v>1.5405318066635625</v>
      </c>
      <c r="Z24" s="99">
        <f t="shared" si="31"/>
        <v>4.2697563554812246E-2</v>
      </c>
      <c r="AA24" s="94">
        <f>$N24*0.5</f>
        <v>2.5675530111059377</v>
      </c>
      <c r="AB24" s="99">
        <f t="shared" si="32"/>
        <v>4.3665759888012523E-2</v>
      </c>
      <c r="AC24" s="94">
        <f>$N24</f>
        <v>5.1351060222118754</v>
      </c>
      <c r="AD24" s="99">
        <f t="shared" si="33"/>
        <v>4.5203282720761774E-2</v>
      </c>
      <c r="AE24" s="94">
        <f>$N24*2</f>
        <v>10.270212044423751</v>
      </c>
      <c r="AF24" s="99">
        <f t="shared" si="34"/>
        <v>4.6154885251080781E-2</v>
      </c>
      <c r="AG24" s="131"/>
      <c r="AH24" s="94">
        <f>N24*AI5</f>
        <v>20.540424088847502</v>
      </c>
      <c r="AI24" s="99">
        <f t="shared" si="22"/>
        <v>4.5906425113772957E-2</v>
      </c>
      <c r="AJ24" s="94">
        <f>N24*15.66*1.1364</f>
        <v>91.38447001382707</v>
      </c>
      <c r="AK24" s="99">
        <f t="shared" si="23"/>
        <v>6.5274621438447908E-2</v>
      </c>
      <c r="AL24" s="131"/>
      <c r="AM24" s="94">
        <f>N24</f>
        <v>5.1351060222118754</v>
      </c>
      <c r="AN24" s="99">
        <f t="shared" si="35"/>
        <v>3.996191456974222E-2</v>
      </c>
      <c r="AO24" s="94">
        <f>AM24*2</f>
        <v>10.270212044423751</v>
      </c>
      <c r="AP24" s="99">
        <f t="shared" si="36"/>
        <v>4.3486522608391205E-2</v>
      </c>
      <c r="AQ24" s="84"/>
      <c r="AR24" s="94">
        <f>AM24*4</f>
        <v>20.540424088847502</v>
      </c>
      <c r="AS24" s="99">
        <f t="shared" si="37"/>
        <v>3.8325261850634389E-2</v>
      </c>
      <c r="AT24" s="94">
        <f>N24*15.66*1.1364</f>
        <v>91.38447001382707</v>
      </c>
      <c r="AU24" s="99">
        <f t="shared" si="38"/>
        <v>4.6205345367216474E-2</v>
      </c>
      <c r="AV24" s="84"/>
      <c r="AW24" s="94">
        <f>AM24</f>
        <v>5.1351060222118754</v>
      </c>
      <c r="AX24" s="99">
        <f t="shared" si="39"/>
        <v>3.5510525159132798E-2</v>
      </c>
      <c r="AY24" s="94">
        <f>AW24*2</f>
        <v>10.270212044423751</v>
      </c>
      <c r="AZ24" s="99">
        <f t="shared" si="40"/>
        <v>3.6914527002126947E-2</v>
      </c>
      <c r="BA24" s="84"/>
      <c r="BB24" s="94">
        <f>N24*4</f>
        <v>20.540424088847502</v>
      </c>
      <c r="BC24" s="99">
        <f t="shared" si="41"/>
        <v>3.7249242134746445E-2</v>
      </c>
      <c r="BD24" s="94">
        <f>N24*15.66*1.1364</f>
        <v>91.38447001382707</v>
      </c>
      <c r="BE24" s="99">
        <f t="shared" si="42"/>
        <v>4.2504404657593989E-2</v>
      </c>
      <c r="BF24" s="84"/>
      <c r="BG24" s="94">
        <f>N24*15.66*1.1364</f>
        <v>91.38447001382707</v>
      </c>
      <c r="BH24" s="99">
        <f t="shared" si="43"/>
        <v>7.3107576011061659E-2</v>
      </c>
      <c r="BI24" s="84"/>
      <c r="BJ24" s="84"/>
    </row>
    <row r="25" spans="1:62" x14ac:dyDescent="0.2">
      <c r="A25" s="84"/>
      <c r="B25" s="222"/>
      <c r="C25" s="228" t="str">
        <f>'Pricing Trends'!R31</f>
        <v>RBD CANOLA OIL</v>
      </c>
      <c r="D25" s="249">
        <f>'Pricing Trends'!S31</f>
        <v>45269</v>
      </c>
      <c r="E25" s="223">
        <f>'Pricing Trends'!U31</f>
        <v>73.180847</v>
      </c>
      <c r="F25" s="220" t="b">
        <v>0</v>
      </c>
      <c r="G25" s="84"/>
      <c r="H25" s="247" t="s">
        <v>412</v>
      </c>
      <c r="I25" s="84"/>
      <c r="J25" s="94">
        <v>0.2</v>
      </c>
      <c r="K25" s="99">
        <f t="shared" si="24"/>
        <v>4.6415987796038921E-3</v>
      </c>
      <c r="L25" s="94">
        <v>0.2</v>
      </c>
      <c r="M25" s="99">
        <f t="shared" si="25"/>
        <v>3.3082378702380998E-3</v>
      </c>
      <c r="N25" s="94">
        <v>0.2</v>
      </c>
      <c r="O25" s="99">
        <f t="shared" si="26"/>
        <v>1.7114453519204709E-3</v>
      </c>
      <c r="P25" s="94">
        <v>0.2</v>
      </c>
      <c r="Q25" s="99">
        <f t="shared" si="27"/>
        <v>1.7114453519204709E-3</v>
      </c>
      <c r="R25" s="94">
        <v>0.2</v>
      </c>
      <c r="S25" s="99">
        <f t="shared" si="28"/>
        <v>8.8409286259177465E-4</v>
      </c>
      <c r="T25" s="94">
        <v>0.2</v>
      </c>
      <c r="U25" s="99">
        <f t="shared" si="29"/>
        <v>8.8409286259177465E-4</v>
      </c>
      <c r="V25" s="84"/>
      <c r="W25" s="94">
        <v>0.2</v>
      </c>
      <c r="X25" s="99">
        <f t="shared" si="30"/>
        <v>8.9094589745954203E-3</v>
      </c>
      <c r="Y25" s="94">
        <v>0.2</v>
      </c>
      <c r="Z25" s="99">
        <f t="shared" si="31"/>
        <v>5.5432238880267388E-3</v>
      </c>
      <c r="AA25" s="94">
        <v>0.2</v>
      </c>
      <c r="AB25" s="99">
        <f t="shared" si="32"/>
        <v>3.401352158972882E-3</v>
      </c>
      <c r="AC25" s="94">
        <v>0.2</v>
      </c>
      <c r="AD25" s="99">
        <f t="shared" si="33"/>
        <v>1.7605588872064257E-3</v>
      </c>
      <c r="AE25" s="94">
        <v>0.2</v>
      </c>
      <c r="AF25" s="99">
        <f t="shared" si="34"/>
        <v>8.9881075583324007E-4</v>
      </c>
      <c r="AG25" s="131"/>
      <c r="AH25" s="94">
        <v>0.2</v>
      </c>
      <c r="AI25" s="99">
        <f t="shared" si="22"/>
        <v>4.4698614707471424E-4</v>
      </c>
      <c r="AJ25" s="251"/>
      <c r="AK25" s="99">
        <f t="shared" si="23"/>
        <v>0</v>
      </c>
      <c r="AL25" s="131"/>
      <c r="AM25" s="94">
        <v>0.2</v>
      </c>
      <c r="AN25" s="99">
        <f t="shared" si="35"/>
        <v>1.5564202334630351E-3</v>
      </c>
      <c r="AO25" s="94">
        <v>0.2</v>
      </c>
      <c r="AP25" s="99">
        <f t="shared" si="36"/>
        <v>8.4684760977262147E-4</v>
      </c>
      <c r="AQ25" s="84"/>
      <c r="AR25" s="94">
        <v>0.2</v>
      </c>
      <c r="AS25" s="99">
        <f t="shared" si="37"/>
        <v>3.7316913891221194E-4</v>
      </c>
      <c r="AT25" s="251"/>
      <c r="AU25" s="99">
        <f t="shared" si="38"/>
        <v>0</v>
      </c>
      <c r="AV25" s="84"/>
      <c r="AW25" s="94">
        <v>0.2</v>
      </c>
      <c r="AX25" s="99">
        <f t="shared" si="39"/>
        <v>1.3830493472007082E-3</v>
      </c>
      <c r="AY25" s="94">
        <v>0.2</v>
      </c>
      <c r="AZ25" s="99">
        <f t="shared" si="40"/>
        <v>7.1886591712913713E-4</v>
      </c>
      <c r="BA25" s="84"/>
      <c r="BB25" s="94">
        <v>0.2</v>
      </c>
      <c r="BC25" s="99">
        <f t="shared" si="41"/>
        <v>3.6269204543805947E-4</v>
      </c>
      <c r="BD25" s="251"/>
      <c r="BE25" s="99">
        <f t="shared" si="42"/>
        <v>0</v>
      </c>
      <c r="BF25" s="84"/>
      <c r="BG25" s="251"/>
      <c r="BH25" s="99">
        <f t="shared" si="43"/>
        <v>0</v>
      </c>
      <c r="BI25" s="84"/>
      <c r="BJ25" s="84"/>
    </row>
    <row r="26" spans="1:62" x14ac:dyDescent="0.2">
      <c r="A26" s="84"/>
      <c r="B26" s="222"/>
      <c r="C26" s="228" t="str">
        <f>'Pricing Trends'!R32</f>
        <v>RBD CANOLA OIL</v>
      </c>
      <c r="D26" s="249">
        <f>'Pricing Trends'!S32</f>
        <v>45118</v>
      </c>
      <c r="E26" s="223">
        <f>'Pricing Trends'!U32</f>
        <v>80.463780999999997</v>
      </c>
      <c r="F26" s="220" t="b">
        <v>0</v>
      </c>
      <c r="G26" s="84"/>
      <c r="H26" s="247" t="s">
        <v>413</v>
      </c>
      <c r="I26" s="84"/>
      <c r="J26" s="94">
        <f>0.4*0.35</f>
        <v>0.13999999999999999</v>
      </c>
      <c r="K26" s="99">
        <f t="shared" si="24"/>
        <v>3.2491191457227238E-3</v>
      </c>
      <c r="L26" s="94">
        <f>0.4*0.5</f>
        <v>0.2</v>
      </c>
      <c r="M26" s="99">
        <f t="shared" si="25"/>
        <v>3.3082378702380998E-3</v>
      </c>
      <c r="N26" s="94">
        <v>0.4</v>
      </c>
      <c r="O26" s="99">
        <f t="shared" si="26"/>
        <v>3.4228907038409417E-3</v>
      </c>
      <c r="P26" s="94">
        <v>0.4</v>
      </c>
      <c r="Q26" s="99">
        <f t="shared" si="27"/>
        <v>3.4228907038409417E-3</v>
      </c>
      <c r="R26" s="94">
        <f>N26*2</f>
        <v>0.8</v>
      </c>
      <c r="S26" s="99">
        <f t="shared" si="28"/>
        <v>3.5363714503670986E-3</v>
      </c>
      <c r="T26" s="94">
        <f>N26*2</f>
        <v>0.8</v>
      </c>
      <c r="U26" s="99">
        <f t="shared" si="29"/>
        <v>3.5363714503670986E-3</v>
      </c>
      <c r="V26" s="84"/>
      <c r="W26" s="94">
        <f>$N26*0.18</f>
        <v>7.1999999999999995E-2</v>
      </c>
      <c r="X26" s="99">
        <f t="shared" si="30"/>
        <v>3.2074052308543508E-3</v>
      </c>
      <c r="Y26" s="94">
        <f>$N26*0.3</f>
        <v>0.12</v>
      </c>
      <c r="Z26" s="99">
        <f t="shared" si="31"/>
        <v>3.325934332816043E-3</v>
      </c>
      <c r="AA26" s="94">
        <f>$N26*0.5</f>
        <v>0.2</v>
      </c>
      <c r="AB26" s="99">
        <f t="shared" si="32"/>
        <v>3.401352158972882E-3</v>
      </c>
      <c r="AC26" s="94">
        <f>$N26</f>
        <v>0.4</v>
      </c>
      <c r="AD26" s="99">
        <f t="shared" si="33"/>
        <v>3.5211177744128514E-3</v>
      </c>
      <c r="AE26" s="94">
        <f>$N26*2</f>
        <v>0.8</v>
      </c>
      <c r="AF26" s="99">
        <f t="shared" si="34"/>
        <v>3.5952430233329603E-3</v>
      </c>
      <c r="AG26" s="131"/>
      <c r="AH26" s="94">
        <f>N26*4</f>
        <v>1.6</v>
      </c>
      <c r="AI26" s="99">
        <f t="shared" si="22"/>
        <v>3.5758891765977139E-3</v>
      </c>
      <c r="AJ26" s="94">
        <f>0.4*15.66*1.1364</f>
        <v>7.1184096000000006</v>
      </c>
      <c r="AK26" s="99">
        <f t="shared" si="23"/>
        <v>5.0845782857142858E-3</v>
      </c>
      <c r="AL26" s="131"/>
      <c r="AM26" s="94">
        <v>0.4</v>
      </c>
      <c r="AN26" s="99">
        <f t="shared" si="35"/>
        <v>3.1128404669260703E-3</v>
      </c>
      <c r="AO26" s="94">
        <f>AM26*2</f>
        <v>0.8</v>
      </c>
      <c r="AP26" s="99">
        <f t="shared" si="36"/>
        <v>3.3873904390904859E-3</v>
      </c>
      <c r="AQ26" s="84"/>
      <c r="AR26" s="94">
        <f>AM26*4</f>
        <v>1.6</v>
      </c>
      <c r="AS26" s="99">
        <f t="shared" si="37"/>
        <v>2.9853531112976955E-3</v>
      </c>
      <c r="AT26" s="94">
        <f>AO26*4</f>
        <v>3.2</v>
      </c>
      <c r="AU26" s="99">
        <f t="shared" si="38"/>
        <v>1.6179675294141441E-3</v>
      </c>
      <c r="AV26" s="84"/>
      <c r="AW26" s="94">
        <v>0.4</v>
      </c>
      <c r="AX26" s="99">
        <f t="shared" si="39"/>
        <v>2.7660986944014164E-3</v>
      </c>
      <c r="AY26" s="94">
        <f>AW26*2</f>
        <v>0.8</v>
      </c>
      <c r="AZ26" s="99">
        <f t="shared" si="40"/>
        <v>2.8754636685165485E-3</v>
      </c>
      <c r="BA26" s="84"/>
      <c r="BB26" s="94">
        <f>AW26*4</f>
        <v>1.6</v>
      </c>
      <c r="BC26" s="99">
        <f t="shared" si="41"/>
        <v>2.9015363635044758E-3</v>
      </c>
      <c r="BD26" s="94">
        <f>N26*15.66*1.1364</f>
        <v>7.1184096000000006</v>
      </c>
      <c r="BE26" s="99">
        <f t="shared" si="42"/>
        <v>3.3108881860465121E-3</v>
      </c>
      <c r="BF26" s="84"/>
      <c r="BG26" s="94">
        <f>AJ26</f>
        <v>7.1184096000000006</v>
      </c>
      <c r="BH26" s="99">
        <f t="shared" si="43"/>
        <v>5.6947276800000009E-3</v>
      </c>
      <c r="BI26" s="84"/>
      <c r="BJ26" s="84"/>
    </row>
    <row r="27" spans="1:62" x14ac:dyDescent="0.2">
      <c r="A27" s="84"/>
      <c r="B27" s="222"/>
      <c r="C27" s="228">
        <f>'Pricing Trends'!R33</f>
        <v>0</v>
      </c>
      <c r="D27" s="249">
        <f>'Pricing Trends'!S33</f>
        <v>0</v>
      </c>
      <c r="E27" s="223">
        <f>'Pricing Trends'!U33</f>
        <v>0</v>
      </c>
      <c r="F27" s="220" t="b">
        <v>1</v>
      </c>
      <c r="G27" s="84"/>
      <c r="H27" s="247" t="s">
        <v>34</v>
      </c>
      <c r="I27" s="84"/>
      <c r="J27" s="94">
        <f>N27*0.35</f>
        <v>1.1339999999999999</v>
      </c>
      <c r="K27" s="99">
        <f t="shared" si="24"/>
        <v>2.6317865080354063E-2</v>
      </c>
      <c r="L27" s="94">
        <f>N27*0.5</f>
        <v>1.62</v>
      </c>
      <c r="M27" s="99">
        <f t="shared" si="25"/>
        <v>2.679672674892861E-2</v>
      </c>
      <c r="N27" s="94">
        <v>3.24</v>
      </c>
      <c r="O27" s="99">
        <f t="shared" si="26"/>
        <v>2.7725414701111631E-2</v>
      </c>
      <c r="P27" s="94">
        <v>3.24</v>
      </c>
      <c r="Q27" s="99">
        <f t="shared" si="27"/>
        <v>2.7725414701111631E-2</v>
      </c>
      <c r="R27" s="94">
        <f>N27*2</f>
        <v>6.48</v>
      </c>
      <c r="S27" s="99">
        <f t="shared" si="28"/>
        <v>2.8644608747973501E-2</v>
      </c>
      <c r="T27" s="94">
        <f>N27*2</f>
        <v>6.48</v>
      </c>
      <c r="U27" s="99">
        <f t="shared" si="29"/>
        <v>2.8644608747973501E-2</v>
      </c>
      <c r="V27" s="84"/>
      <c r="W27" s="94">
        <f>$N27*0.18</f>
        <v>0.58320000000000005</v>
      </c>
      <c r="X27" s="99">
        <f t="shared" si="30"/>
        <v>2.5979982369920246E-2</v>
      </c>
      <c r="Y27" s="94">
        <f>$N27*0.3</f>
        <v>0.97199999999999998</v>
      </c>
      <c r="Z27" s="99">
        <f t="shared" si="31"/>
        <v>2.6940068095809948E-2</v>
      </c>
      <c r="AA27" s="94">
        <f>$N27*0.5</f>
        <v>1.62</v>
      </c>
      <c r="AB27" s="99">
        <f t="shared" si="32"/>
        <v>2.7550952487680344E-2</v>
      </c>
      <c r="AC27" s="94">
        <f>$N27</f>
        <v>3.24</v>
      </c>
      <c r="AD27" s="99">
        <f t="shared" si="33"/>
        <v>2.8521053972744098E-2</v>
      </c>
      <c r="AE27" s="94">
        <f>$N27*2</f>
        <v>6.48</v>
      </c>
      <c r="AF27" s="99">
        <f t="shared" si="34"/>
        <v>2.9121468488996976E-2</v>
      </c>
      <c r="AG27" s="131"/>
      <c r="AH27" s="94">
        <f>N27*4</f>
        <v>12.96</v>
      </c>
      <c r="AI27" s="99">
        <f t="shared" si="22"/>
        <v>2.8964702330441482E-2</v>
      </c>
      <c r="AJ27" s="94">
        <f>N27*15.66*1.1364</f>
        <v>57.659117760000008</v>
      </c>
      <c r="AK27" s="99">
        <f t="shared" si="23"/>
        <v>4.1185084114285717E-2</v>
      </c>
      <c r="AL27" s="131"/>
      <c r="AM27" s="94">
        <f>N27</f>
        <v>3.24</v>
      </c>
      <c r="AN27" s="99">
        <f>AM27/AM$6</f>
        <v>2.5214007782101169E-2</v>
      </c>
      <c r="AO27" s="94">
        <f>AM27*2</f>
        <v>6.48</v>
      </c>
      <c r="AP27" s="99">
        <f t="shared" si="36"/>
        <v>2.7437862556632938E-2</v>
      </c>
      <c r="AQ27" s="84"/>
      <c r="AR27" s="94">
        <f>AM27*4</f>
        <v>12.96</v>
      </c>
      <c r="AS27" s="99">
        <f t="shared" si="37"/>
        <v>2.4181360201511334E-2</v>
      </c>
      <c r="AT27" s="94">
        <f>AO27*4</f>
        <v>25.92</v>
      </c>
      <c r="AU27" s="99">
        <f t="shared" si="38"/>
        <v>1.3105536988254568E-2</v>
      </c>
      <c r="AV27" s="84"/>
      <c r="AW27" s="94">
        <f>AM27</f>
        <v>3.24</v>
      </c>
      <c r="AX27" s="99">
        <f>AW27/AW$6</f>
        <v>2.2405399424651473E-2</v>
      </c>
      <c r="AY27" s="94">
        <f>AW27*2</f>
        <v>6.48</v>
      </c>
      <c r="AZ27" s="99">
        <f t="shared" si="40"/>
        <v>2.3291255714984041E-2</v>
      </c>
      <c r="BA27" s="84"/>
      <c r="BB27" s="94">
        <f>AW27*4</f>
        <v>12.96</v>
      </c>
      <c r="BC27" s="99">
        <f t="shared" si="41"/>
        <v>2.3502444544386252E-2</v>
      </c>
      <c r="BD27" s="94">
        <f>AZ27*4</f>
        <v>9.3165022859936164E-2</v>
      </c>
      <c r="BE27" s="99">
        <f t="shared" si="42"/>
        <v>4.3332568772063333E-5</v>
      </c>
      <c r="BF27" s="84"/>
      <c r="BG27" s="94">
        <f>AJ27</f>
        <v>57.659117760000008</v>
      </c>
      <c r="BH27" s="99">
        <f t="shared" si="43"/>
        <v>4.6127294208000005E-2</v>
      </c>
      <c r="BI27" s="84"/>
      <c r="BJ27" s="84"/>
    </row>
    <row r="28" spans="1:62" x14ac:dyDescent="0.2">
      <c r="A28" s="84"/>
      <c r="B28" s="222"/>
      <c r="C28" s="228">
        <f>'Pricing Trends'!R34</f>
        <v>0</v>
      </c>
      <c r="D28" s="249">
        <f>'Pricing Trends'!S34</f>
        <v>0</v>
      </c>
      <c r="E28" s="223">
        <f>'Pricing Trends'!U34</f>
        <v>0</v>
      </c>
      <c r="F28" s="220" t="b">
        <v>0</v>
      </c>
      <c r="G28" s="84"/>
      <c r="H28" s="247" t="s">
        <v>414</v>
      </c>
      <c r="I28" s="84"/>
      <c r="J28" s="94">
        <f>J6*0.05</f>
        <v>2.1544300735216471</v>
      </c>
      <c r="K28" s="99">
        <f t="shared" si="24"/>
        <v>0.05</v>
      </c>
      <c r="L28" s="94">
        <f>L6*0.05</f>
        <v>3.0227572478880678</v>
      </c>
      <c r="M28" s="99">
        <f t="shared" si="25"/>
        <v>0.05</v>
      </c>
      <c r="N28" s="94">
        <f>N6*0.05</f>
        <v>5.843014495776135</v>
      </c>
      <c r="O28" s="99">
        <f>N28/N$6</f>
        <v>0.05</v>
      </c>
      <c r="P28" s="94">
        <f>P6*0.05</f>
        <v>5.843014495776135</v>
      </c>
      <c r="Q28" s="99">
        <f>P28/P$6</f>
        <v>0.05</v>
      </c>
      <c r="R28" s="94">
        <f>R6*0.05</f>
        <v>11.31102899155227</v>
      </c>
      <c r="S28" s="99">
        <f t="shared" si="28"/>
        <v>0.05</v>
      </c>
      <c r="T28" s="94">
        <f>T6*0.05</f>
        <v>11.31102899155227</v>
      </c>
      <c r="U28" s="99">
        <f t="shared" si="29"/>
        <v>0.05</v>
      </c>
      <c r="V28" s="84"/>
      <c r="W28" s="94">
        <f>W6*0.05</f>
        <v>1.1224026092397044</v>
      </c>
      <c r="X28" s="99">
        <f t="shared" si="30"/>
        <v>0.05</v>
      </c>
      <c r="Y28" s="94">
        <f>Y6*0.05</f>
        <v>1.8040043487328405</v>
      </c>
      <c r="Z28" s="99">
        <f t="shared" si="31"/>
        <v>0.05</v>
      </c>
      <c r="AA28" s="94">
        <f>AA6*0.05</f>
        <v>2.9400072478880679</v>
      </c>
      <c r="AB28" s="99">
        <f t="shared" si="32"/>
        <v>0.05</v>
      </c>
      <c r="AC28" s="94">
        <f>AC6*0.05</f>
        <v>5.6800144957761356</v>
      </c>
      <c r="AD28" s="99">
        <f t="shared" si="33"/>
        <v>0.05</v>
      </c>
      <c r="AE28" s="94">
        <f>AE6*0.05</f>
        <v>11.125812564102583</v>
      </c>
      <c r="AF28" s="99">
        <f t="shared" si="34"/>
        <v>0.05</v>
      </c>
      <c r="AG28" s="131"/>
      <c r="AH28" s="94">
        <f>AH6*0.05</f>
        <v>22.37205798310454</v>
      </c>
      <c r="AI28" s="99">
        <f t="shared" si="22"/>
        <v>0.05</v>
      </c>
      <c r="AJ28" s="251"/>
      <c r="AK28" s="99">
        <f t="shared" si="23"/>
        <v>0</v>
      </c>
      <c r="AL28" s="131"/>
      <c r="AM28" s="94">
        <f>AM6*0.05</f>
        <v>6.4250000000000007</v>
      </c>
      <c r="AN28" s="99">
        <f t="shared" si="35"/>
        <v>0.05</v>
      </c>
      <c r="AO28" s="94">
        <f>AO6*0.05</f>
        <v>11.8085</v>
      </c>
      <c r="AP28" s="99">
        <f t="shared" si="36"/>
        <v>0.05</v>
      </c>
      <c r="AQ28" s="84"/>
      <c r="AR28" s="94">
        <f>AR6*0.05</f>
        <v>26.797500000000003</v>
      </c>
      <c r="AS28" s="99">
        <f t="shared" si="37"/>
        <v>0.05</v>
      </c>
      <c r="AT28" s="251"/>
      <c r="AU28" s="99">
        <f t="shared" si="38"/>
        <v>0</v>
      </c>
      <c r="AV28" s="84"/>
      <c r="AW28" s="94">
        <f>AW6*0.05</f>
        <v>7.2304000000000004</v>
      </c>
      <c r="AX28" s="99">
        <f t="shared" si="39"/>
        <v>0.05</v>
      </c>
      <c r="AY28" s="94">
        <f>AY6*0.05</f>
        <v>13.910800000000002</v>
      </c>
      <c r="AZ28" s="99">
        <f t="shared" si="40"/>
        <v>0.05</v>
      </c>
      <c r="BA28" s="84"/>
      <c r="BB28" s="94">
        <f>BB6*0.05</f>
        <v>27.571600000000004</v>
      </c>
      <c r="BC28" s="99">
        <f t="shared" si="41"/>
        <v>0.05</v>
      </c>
      <c r="BD28" s="251"/>
      <c r="BE28" s="99">
        <f t="shared" si="42"/>
        <v>0</v>
      </c>
      <c r="BF28" s="84"/>
      <c r="BG28" s="251"/>
      <c r="BH28" s="99">
        <f t="shared" si="43"/>
        <v>0</v>
      </c>
      <c r="BI28" s="84"/>
      <c r="BJ28" s="84"/>
    </row>
    <row r="29" spans="1:62" x14ac:dyDescent="0.2">
      <c r="A29" s="84"/>
      <c r="B29" s="222"/>
      <c r="C29" s="228">
        <f>'Pricing Trends'!R35</f>
        <v>0</v>
      </c>
      <c r="D29" s="249">
        <f>'Pricing Trends'!S35</f>
        <v>0</v>
      </c>
      <c r="E29" s="223">
        <f>'Pricing Trends'!U35</f>
        <v>0</v>
      </c>
      <c r="F29" s="220" t="b">
        <v>0</v>
      </c>
      <c r="G29" s="84"/>
      <c r="H29" s="247" t="s">
        <v>415</v>
      </c>
      <c r="I29" s="84"/>
      <c r="J29" s="94">
        <f>J6*0.05</f>
        <v>2.1544300735216471</v>
      </c>
      <c r="K29" s="99">
        <f t="shared" si="24"/>
        <v>0.05</v>
      </c>
      <c r="L29" s="94">
        <f>L6*0.05</f>
        <v>3.0227572478880678</v>
      </c>
      <c r="M29" s="99">
        <f t="shared" si="25"/>
        <v>0.05</v>
      </c>
      <c r="N29" s="94">
        <f>N6*0.05</f>
        <v>5.843014495776135</v>
      </c>
      <c r="O29" s="99">
        <f t="shared" si="26"/>
        <v>0.05</v>
      </c>
      <c r="P29" s="94">
        <f>P6*0.05</f>
        <v>5.843014495776135</v>
      </c>
      <c r="Q29" s="99">
        <f t="shared" ref="Q29:Q31" si="44">P29/P$6</f>
        <v>0.05</v>
      </c>
      <c r="R29" s="94">
        <f>R6*0.05</f>
        <v>11.31102899155227</v>
      </c>
      <c r="S29" s="99">
        <f>R29/R$6</f>
        <v>0.05</v>
      </c>
      <c r="T29" s="94">
        <f>T6*0.05</f>
        <v>11.31102899155227</v>
      </c>
      <c r="U29" s="99">
        <f>T29/T$6</f>
        <v>0.05</v>
      </c>
      <c r="V29" s="84"/>
      <c r="W29" s="94">
        <f>W6*0.05</f>
        <v>1.1224026092397044</v>
      </c>
      <c r="X29" s="99">
        <f t="shared" si="30"/>
        <v>0.05</v>
      </c>
      <c r="Y29" s="94">
        <f>Y6*0.05</f>
        <v>1.8040043487328405</v>
      </c>
      <c r="Z29" s="99">
        <f t="shared" si="31"/>
        <v>0.05</v>
      </c>
      <c r="AA29" s="94">
        <f>AA6*0.05</f>
        <v>2.9400072478880679</v>
      </c>
      <c r="AB29" s="99">
        <f t="shared" si="32"/>
        <v>0.05</v>
      </c>
      <c r="AC29" s="94">
        <f>AC6*0.05</f>
        <v>5.6800144957761356</v>
      </c>
      <c r="AD29" s="99">
        <f t="shared" si="33"/>
        <v>0.05</v>
      </c>
      <c r="AE29" s="94">
        <f>AE6*0.05</f>
        <v>11.125812564102583</v>
      </c>
      <c r="AF29" s="99">
        <f t="shared" si="34"/>
        <v>0.05</v>
      </c>
      <c r="AG29" s="131"/>
      <c r="AH29" s="94">
        <f>AH6*0.05</f>
        <v>22.37205798310454</v>
      </c>
      <c r="AI29" s="99">
        <f t="shared" si="22"/>
        <v>0.05</v>
      </c>
      <c r="AJ29" s="251"/>
      <c r="AK29" s="99">
        <f t="shared" si="23"/>
        <v>0</v>
      </c>
      <c r="AL29" s="131"/>
      <c r="AM29" s="94">
        <v>7.5</v>
      </c>
      <c r="AN29" s="99">
        <f t="shared" si="35"/>
        <v>5.8365758754863814E-2</v>
      </c>
      <c r="AO29" s="94">
        <v>13</v>
      </c>
      <c r="AP29" s="99">
        <f t="shared" si="36"/>
        <v>5.5045094635220393E-2</v>
      </c>
      <c r="AQ29" s="84"/>
      <c r="AR29" s="94">
        <f>AR6*0.05</f>
        <v>26.797500000000003</v>
      </c>
      <c r="AS29" s="99">
        <f t="shared" si="37"/>
        <v>0.05</v>
      </c>
      <c r="AT29" s="251"/>
      <c r="AU29" s="99">
        <f t="shared" si="38"/>
        <v>0</v>
      </c>
      <c r="AV29" s="84"/>
      <c r="AW29" s="94">
        <f>AW6*0.05</f>
        <v>7.2304000000000004</v>
      </c>
      <c r="AX29" s="99">
        <f t="shared" si="39"/>
        <v>0.05</v>
      </c>
      <c r="AY29" s="94">
        <f>AY6*0.05</f>
        <v>13.910800000000002</v>
      </c>
      <c r="AZ29" s="99">
        <f t="shared" si="40"/>
        <v>0.05</v>
      </c>
      <c r="BA29" s="84"/>
      <c r="BB29" s="94">
        <f>BB6*0.05</f>
        <v>27.571600000000004</v>
      </c>
      <c r="BC29" s="99">
        <f t="shared" si="41"/>
        <v>0.05</v>
      </c>
      <c r="BD29" s="251"/>
      <c r="BE29" s="99">
        <f t="shared" si="42"/>
        <v>0</v>
      </c>
      <c r="BF29" s="84"/>
      <c r="BG29" s="251"/>
      <c r="BH29" s="99">
        <f t="shared" si="43"/>
        <v>0</v>
      </c>
      <c r="BI29" s="84"/>
      <c r="BJ29" s="84"/>
    </row>
    <row r="30" spans="1:62" x14ac:dyDescent="0.2">
      <c r="A30" s="84"/>
      <c r="B30" s="222"/>
      <c r="C30" s="228">
        <f>'Pricing Trends'!R36</f>
        <v>0</v>
      </c>
      <c r="D30" s="249">
        <f>'Pricing Trends'!S36</f>
        <v>0</v>
      </c>
      <c r="E30" s="223">
        <f>'Pricing Trends'!U36</f>
        <v>0</v>
      </c>
      <c r="F30" s="220" t="b">
        <v>0</v>
      </c>
      <c r="G30" s="84"/>
      <c r="H30" s="247" t="s">
        <v>416</v>
      </c>
      <c r="I30" s="84"/>
      <c r="J30" s="94">
        <f>J6*0.02</f>
        <v>0.86177202940865882</v>
      </c>
      <c r="K30" s="99">
        <f t="shared" si="24"/>
        <v>0.02</v>
      </c>
      <c r="L30" s="94">
        <f>L6*0.02</f>
        <v>1.2091028991552271</v>
      </c>
      <c r="M30" s="99">
        <f t="shared" si="25"/>
        <v>0.02</v>
      </c>
      <c r="N30" s="94">
        <f>N6*0.02</f>
        <v>2.3372057983104542</v>
      </c>
      <c r="O30" s="99">
        <f t="shared" si="26"/>
        <v>0.02</v>
      </c>
      <c r="P30" s="94">
        <f>P6*0.02</f>
        <v>2.3372057983104542</v>
      </c>
      <c r="Q30" s="99">
        <f t="shared" si="44"/>
        <v>0.02</v>
      </c>
      <c r="R30" s="94">
        <f>R6*0.02</f>
        <v>4.524411596620908</v>
      </c>
      <c r="S30" s="99">
        <f t="shared" ref="S30:S31" si="45">R30/R$6</f>
        <v>0.02</v>
      </c>
      <c r="T30" s="94">
        <f>T6*0.02</f>
        <v>4.524411596620908</v>
      </c>
      <c r="U30" s="99">
        <f t="shared" si="29"/>
        <v>0.02</v>
      </c>
      <c r="V30" s="84"/>
      <c r="W30" s="94">
        <f>W6*0.02</f>
        <v>0.44896104369588175</v>
      </c>
      <c r="X30" s="99">
        <f t="shared" si="30"/>
        <v>0.02</v>
      </c>
      <c r="Y30" s="94">
        <f>Y6*0.02</f>
        <v>0.72160173949313622</v>
      </c>
      <c r="Z30" s="99">
        <f t="shared" si="31"/>
        <v>0.02</v>
      </c>
      <c r="AA30" s="94">
        <f>AA6*0.02</f>
        <v>1.1760028991552272</v>
      </c>
      <c r="AB30" s="99">
        <f t="shared" si="32"/>
        <v>0.02</v>
      </c>
      <c r="AC30" s="94">
        <f>AC6*0.02</f>
        <v>2.2720057983104542</v>
      </c>
      <c r="AD30" s="99">
        <f t="shared" si="33"/>
        <v>0.02</v>
      </c>
      <c r="AE30" s="94">
        <f>AE6*0.02</f>
        <v>4.4503250256410336</v>
      </c>
      <c r="AF30" s="99">
        <f t="shared" si="34"/>
        <v>2.0000000000000004E-2</v>
      </c>
      <c r="AG30" s="131"/>
      <c r="AH30" s="94">
        <f>AH6*0.02</f>
        <v>8.9488231932418163</v>
      </c>
      <c r="AI30" s="99">
        <f t="shared" si="22"/>
        <v>0.02</v>
      </c>
      <c r="AJ30" s="94">
        <f>AJ6*0.02</f>
        <v>28</v>
      </c>
      <c r="AK30" s="99">
        <f t="shared" si="23"/>
        <v>0.02</v>
      </c>
      <c r="AL30" s="131"/>
      <c r="AM30" s="94">
        <f>AM6*0.02</f>
        <v>2.57</v>
      </c>
      <c r="AN30" s="99">
        <f t="shared" si="35"/>
        <v>0.02</v>
      </c>
      <c r="AO30" s="94">
        <f>AO6*0.02</f>
        <v>4.7233999999999998</v>
      </c>
      <c r="AP30" s="99">
        <f t="shared" si="36"/>
        <v>0.02</v>
      </c>
      <c r="AQ30" s="84"/>
      <c r="AR30" s="94">
        <f>AR6*0.02</f>
        <v>10.719000000000001</v>
      </c>
      <c r="AS30" s="99">
        <f t="shared" si="37"/>
        <v>0.02</v>
      </c>
      <c r="AT30" s="94">
        <f>AT6*0.02</f>
        <v>39.555799999999998</v>
      </c>
      <c r="AU30" s="99">
        <f t="shared" si="38"/>
        <v>0.02</v>
      </c>
      <c r="AV30" s="84"/>
      <c r="AW30" s="94">
        <f>AW6*0.02</f>
        <v>2.8921600000000001</v>
      </c>
      <c r="AX30" s="99">
        <f t="shared" si="39"/>
        <v>0.02</v>
      </c>
      <c r="AY30" s="94">
        <f>AY6*0.02</f>
        <v>5.5643200000000004</v>
      </c>
      <c r="AZ30" s="99">
        <f t="shared" si="40"/>
        <v>0.02</v>
      </c>
      <c r="BA30" s="84"/>
      <c r="BB30" s="94">
        <f>BB6*0.02</f>
        <v>11.028640000000001</v>
      </c>
      <c r="BC30" s="99">
        <f t="shared" si="41"/>
        <v>0.02</v>
      </c>
      <c r="BD30" s="94">
        <f>BD6*0.02</f>
        <v>43</v>
      </c>
      <c r="BE30" s="99">
        <f t="shared" si="42"/>
        <v>0.02</v>
      </c>
      <c r="BF30" s="84"/>
      <c r="BG30" s="94">
        <f>BG6*0.02</f>
        <v>25</v>
      </c>
      <c r="BH30" s="99">
        <f t="shared" si="43"/>
        <v>0.02</v>
      </c>
      <c r="BI30" s="84"/>
      <c r="BJ30" s="84"/>
    </row>
    <row r="31" spans="1:62" x14ac:dyDescent="0.2">
      <c r="A31" s="84"/>
      <c r="B31" s="222"/>
      <c r="C31" s="228">
        <f>'Pricing Trends'!R37</f>
        <v>0</v>
      </c>
      <c r="D31" s="249">
        <f>'Pricing Trends'!S37</f>
        <v>0</v>
      </c>
      <c r="E31" s="223">
        <f>'Pricing Trends'!U37</f>
        <v>0</v>
      </c>
      <c r="F31" s="220" t="b">
        <v>0</v>
      </c>
      <c r="G31" s="84"/>
      <c r="H31" s="247" t="s">
        <v>417</v>
      </c>
      <c r="I31" s="84"/>
      <c r="J31" s="94">
        <f>J6*0.01</f>
        <v>0.43088601470432941</v>
      </c>
      <c r="K31" s="99">
        <f t="shared" si="24"/>
        <v>0.01</v>
      </c>
      <c r="L31" s="94">
        <f>L6*0.01</f>
        <v>0.60455144957761353</v>
      </c>
      <c r="M31" s="99">
        <f t="shared" si="25"/>
        <v>0.01</v>
      </c>
      <c r="N31" s="94">
        <f>N6*0.01</f>
        <v>1.1686028991552271</v>
      </c>
      <c r="O31" s="99">
        <f t="shared" si="26"/>
        <v>0.01</v>
      </c>
      <c r="P31" s="94">
        <f>P6*0.01</f>
        <v>1.1686028991552271</v>
      </c>
      <c r="Q31" s="99">
        <f t="shared" si="44"/>
        <v>0.01</v>
      </c>
      <c r="R31" s="94">
        <f>R6*0.01</f>
        <v>2.262205798310454</v>
      </c>
      <c r="S31" s="99">
        <f t="shared" si="45"/>
        <v>0.01</v>
      </c>
      <c r="T31" s="94">
        <f>T6*0.01</f>
        <v>2.262205798310454</v>
      </c>
      <c r="U31" s="99">
        <f t="shared" si="29"/>
        <v>0.01</v>
      </c>
      <c r="V31" s="84"/>
      <c r="W31" s="94">
        <f>W6*0.01</f>
        <v>0.22448052184794087</v>
      </c>
      <c r="X31" s="99">
        <f t="shared" si="30"/>
        <v>0.01</v>
      </c>
      <c r="Y31" s="94">
        <f>Y6*0.01</f>
        <v>0.36080086974656811</v>
      </c>
      <c r="Z31" s="99">
        <f t="shared" si="31"/>
        <v>0.01</v>
      </c>
      <c r="AA31" s="94">
        <f>AA6*0.01</f>
        <v>0.58800144957761358</v>
      </c>
      <c r="AB31" s="99">
        <f t="shared" si="32"/>
        <v>0.01</v>
      </c>
      <c r="AC31" s="94">
        <f>AC7*0.02</f>
        <v>2.0484404277567054</v>
      </c>
      <c r="AD31" s="99">
        <f t="shared" si="33"/>
        <v>1.8031999999999999E-2</v>
      </c>
      <c r="AE31" s="94">
        <f>AE6*0.01</f>
        <v>2.2251625128205168</v>
      </c>
      <c r="AF31" s="99">
        <f t="shared" si="34"/>
        <v>1.0000000000000002E-2</v>
      </c>
      <c r="AG31" s="131"/>
      <c r="AH31" s="94">
        <f>AH6*0.01</f>
        <v>4.4744115966209081</v>
      </c>
      <c r="AI31" s="99">
        <f t="shared" si="22"/>
        <v>0.01</v>
      </c>
      <c r="AJ31" s="94">
        <f>AJ6*0.01</f>
        <v>14</v>
      </c>
      <c r="AK31" s="99">
        <f t="shared" si="23"/>
        <v>0.01</v>
      </c>
      <c r="AL31" s="131"/>
      <c r="AM31" s="94">
        <f>AM6*0.01</f>
        <v>1.2849999999999999</v>
      </c>
      <c r="AN31" s="99">
        <f t="shared" si="35"/>
        <v>0.01</v>
      </c>
      <c r="AO31" s="94">
        <f>AO6*0.01</f>
        <v>2.3616999999999999</v>
      </c>
      <c r="AP31" s="99">
        <f t="shared" si="36"/>
        <v>0.01</v>
      </c>
      <c r="AQ31" s="84"/>
      <c r="AR31" s="94">
        <f>AR6*0.01</f>
        <v>5.3595000000000006</v>
      </c>
      <c r="AS31" s="99">
        <f t="shared" si="37"/>
        <v>0.01</v>
      </c>
      <c r="AT31" s="94">
        <f>AT6*0.01</f>
        <v>19.777899999999999</v>
      </c>
      <c r="AU31" s="99">
        <f t="shared" si="38"/>
        <v>0.01</v>
      </c>
      <c r="AV31" s="84"/>
      <c r="AW31" s="94">
        <f>AW6*0.01</f>
        <v>1.44608</v>
      </c>
      <c r="AX31" s="99">
        <f t="shared" si="39"/>
        <v>0.01</v>
      </c>
      <c r="AY31" s="94">
        <f>AY6*0.01</f>
        <v>2.7821600000000002</v>
      </c>
      <c r="AZ31" s="99">
        <f t="shared" si="40"/>
        <v>0.01</v>
      </c>
      <c r="BA31" s="84"/>
      <c r="BB31" s="94">
        <f>BB6*0.01</f>
        <v>5.5143200000000006</v>
      </c>
      <c r="BC31" s="99">
        <f t="shared" si="41"/>
        <v>0.01</v>
      </c>
      <c r="BD31" s="94">
        <f>BD6*0.01</f>
        <v>21.5</v>
      </c>
      <c r="BE31" s="99">
        <f t="shared" si="42"/>
        <v>0.01</v>
      </c>
      <c r="BF31" s="84"/>
      <c r="BG31" s="94">
        <f>BG6*0.01</f>
        <v>12.5</v>
      </c>
      <c r="BH31" s="99">
        <f t="shared" si="43"/>
        <v>0.01</v>
      </c>
      <c r="BI31" s="84"/>
      <c r="BJ31" s="84"/>
    </row>
    <row r="32" spans="1:62" x14ac:dyDescent="0.2">
      <c r="A32" s="84"/>
      <c r="B32" s="222"/>
      <c r="C32" s="228" t="str">
        <f>'Pricing Trends'!R38</f>
        <v>RBD COCONUT OIL</v>
      </c>
      <c r="D32" s="249">
        <f>'Pricing Trends'!S38</f>
        <v>45468</v>
      </c>
      <c r="E32" s="223">
        <f>'Pricing Trends'!U38</f>
        <v>85.357268567405839</v>
      </c>
      <c r="F32" s="220" t="b">
        <v>0</v>
      </c>
      <c r="G32" s="84"/>
      <c r="H32" s="243" t="s">
        <v>418</v>
      </c>
      <c r="I32" s="84"/>
      <c r="J32" s="96">
        <f>J19-J21</f>
        <v>6.6189513159272249</v>
      </c>
      <c r="K32" s="97">
        <f>J32/J6</f>
        <v>0.15361258175132692</v>
      </c>
      <c r="L32" s="96">
        <f>L19-L21</f>
        <v>10.02594632434049</v>
      </c>
      <c r="M32" s="97">
        <f>L32/L6</f>
        <v>0.16584107657578842</v>
      </c>
      <c r="N32" s="96">
        <f>N19-N21</f>
        <v>16.996725982014325</v>
      </c>
      <c r="O32" s="97">
        <f>N32/N6</f>
        <v>0.14544483839892158</v>
      </c>
      <c r="P32" s="96">
        <f>P19-P21</f>
        <v>24.765059315347649</v>
      </c>
      <c r="Q32" s="97">
        <f>P32/P6</f>
        <v>0.21192022827643248</v>
      </c>
      <c r="R32" s="96">
        <f>R19-R21</f>
        <v>26.085118630695277</v>
      </c>
      <c r="S32" s="97">
        <f>R32/R6</f>
        <v>0.11530833600628709</v>
      </c>
      <c r="T32" s="96">
        <f>T19-T21</f>
        <v>44.521785297361973</v>
      </c>
      <c r="U32" s="97">
        <f>T32/T6</f>
        <v>0.19680696305620565</v>
      </c>
      <c r="V32" s="84"/>
      <c r="W32" s="96">
        <f>W19-W21</f>
        <v>2.8110254584879915</v>
      </c>
      <c r="X32" s="97">
        <f>W32/W6</f>
        <v>0.1252235799947102</v>
      </c>
      <c r="Y32" s="96">
        <f>Y19-Y21</f>
        <v>4.7354590974799837</v>
      </c>
      <c r="Z32" s="97">
        <f>Y32/Y6</f>
        <v>0.13124854994962293</v>
      </c>
      <c r="AA32" s="96">
        <f>AA19-AA21</f>
        <v>11.44215405135553</v>
      </c>
      <c r="AB32" s="97">
        <f>AA32/AA6</f>
        <v>0.1945939769293922</v>
      </c>
      <c r="AC32" s="96">
        <f>AC19-AC21</f>
        <v>13.241870574109594</v>
      </c>
      <c r="AD32" s="97">
        <f>AC32/AC6</f>
        <v>0.1165654646124295</v>
      </c>
      <c r="AE32" s="96">
        <f>AE19-AE21</f>
        <v>28.329917034464223</v>
      </c>
      <c r="AF32" s="97">
        <f>AE32/AE6</f>
        <v>0.12731617071219883</v>
      </c>
      <c r="AG32" s="131"/>
      <c r="AH32" s="96">
        <f>AH19-AH21</f>
        <v>303.36838481717143</v>
      </c>
      <c r="AI32" s="97">
        <f>AH32/AH6</f>
        <v>0.67800732736853342</v>
      </c>
      <c r="AJ32" s="96">
        <f>AJ19-AJ21</f>
        <v>1170.6949606261728</v>
      </c>
      <c r="AK32" s="97">
        <f>AJ32/AJ6</f>
        <v>0.83621068616155203</v>
      </c>
      <c r="AL32" s="131"/>
      <c r="AM32" s="96">
        <f>AM19-AM21</f>
        <v>9.1901342940635615</v>
      </c>
      <c r="AN32" s="97">
        <f>AM32/AM6</f>
        <v>7.1518554817615265E-2</v>
      </c>
      <c r="AO32" s="96">
        <f>AO19-AO21</f>
        <v>-3.326664745206223</v>
      </c>
      <c r="AP32" s="97">
        <f>AO32/AO6</f>
        <v>-1.4085890439963684E-2</v>
      </c>
      <c r="AQ32" s="84"/>
      <c r="AR32" s="96">
        <f>AR19-AR21</f>
        <v>33.467231048141656</v>
      </c>
      <c r="AS32" s="97">
        <f>AR32/AR6</f>
        <v>6.2444688960055325E-2</v>
      </c>
      <c r="AT32" s="96">
        <f>AT19-AT21</f>
        <v>225.16589658838848</v>
      </c>
      <c r="AU32" s="97">
        <f>AT32/AT6</f>
        <v>0.11384722169107361</v>
      </c>
      <c r="AV32" s="84"/>
      <c r="AW32" s="96">
        <f>AW19-AW21</f>
        <v>35.567319410700875</v>
      </c>
      <c r="AX32" s="97">
        <f>AW32/AW6</f>
        <v>0.24595678946324459</v>
      </c>
      <c r="AY32" s="96">
        <f>AY19-AY21</f>
        <v>56.121305488068401</v>
      </c>
      <c r="AZ32" s="97">
        <f>AY32/AY6</f>
        <v>0.20171846870082383</v>
      </c>
      <c r="BA32" s="84"/>
      <c r="BB32" s="96">
        <f>BB19-BB21</f>
        <v>103.37769663132815</v>
      </c>
      <c r="BC32" s="97">
        <f>BB32/BB6</f>
        <v>0.18747134121945797</v>
      </c>
      <c r="BD32" s="96">
        <f>BD19-BD21</f>
        <v>663.49053251105875</v>
      </c>
      <c r="BE32" s="97">
        <f>BD32/BD6</f>
        <v>0.30860024767956223</v>
      </c>
      <c r="BF32" s="84"/>
      <c r="BG32" s="96">
        <f>BG19-BG21</f>
        <v>-493.82503937382705</v>
      </c>
      <c r="BH32" s="97">
        <f>BG32/BG6</f>
        <v>-0.39506003149906166</v>
      </c>
      <c r="BI32" s="84"/>
      <c r="BJ32" s="84"/>
    </row>
    <row r="33" spans="1:62" x14ac:dyDescent="0.2">
      <c r="A33" s="84"/>
      <c r="B33" s="222"/>
      <c r="C33" s="228">
        <f>'Pricing Trends'!R39</f>
        <v>0</v>
      </c>
      <c r="D33" s="249">
        <f>'Pricing Trends'!S39</f>
        <v>0</v>
      </c>
      <c r="E33" s="223">
        <f>'Pricing Trends'!U39</f>
        <v>0</v>
      </c>
      <c r="F33" s="220" t="b">
        <v>0</v>
      </c>
      <c r="G33" s="84"/>
      <c r="H33" s="244" t="s">
        <v>419</v>
      </c>
      <c r="I33" s="84"/>
      <c r="J33" s="194">
        <f>J20-J21</f>
        <v>2.3790329312366207</v>
      </c>
      <c r="K33" s="188">
        <f>J33/J7</f>
        <v>6.1238444710877159E-2</v>
      </c>
      <c r="L33" s="194">
        <f>L20-L21</f>
        <v>4.0771600604967748</v>
      </c>
      <c r="M33" s="188">
        <f>L33/L7</f>
        <v>7.4801548997103437E-2</v>
      </c>
      <c r="N33" s="194">
        <f>N20-N21</f>
        <v>5.4976734543268861</v>
      </c>
      <c r="O33" s="188">
        <f>N33/N7</f>
        <v>5.2179279501909433E-2</v>
      </c>
      <c r="P33" s="194">
        <f>P20-P21</f>
        <v>13.26600678766021</v>
      </c>
      <c r="Q33" s="188">
        <f>P33/P7</f>
        <v>0.12590974742283986</v>
      </c>
      <c r="R33" s="194">
        <f>R20-R21</f>
        <v>3.8250135753203978</v>
      </c>
      <c r="S33" s="188">
        <f>R33/R7</f>
        <v>1.8753700095704356E-2</v>
      </c>
      <c r="T33" s="194">
        <f>T20-T21</f>
        <v>22.261680241987094</v>
      </c>
      <c r="U33" s="188">
        <f>T33/T7</f>
        <v>0.1091470308964126</v>
      </c>
      <c r="V33" s="84"/>
      <c r="W33" s="194">
        <f>W20-W21</f>
        <v>0.60213712350425475</v>
      </c>
      <c r="X33" s="188">
        <f>W33/W7</f>
        <v>2.9751086950654686E-2</v>
      </c>
      <c r="Y33" s="194">
        <f>Y20-Y21</f>
        <v>1.1851785391737497</v>
      </c>
      <c r="Z33" s="188">
        <f>Y33/Y7</f>
        <v>3.6433617956547051E-2</v>
      </c>
      <c r="AA33" s="194">
        <f>AA20-AA21</f>
        <v>5.6562197875118088</v>
      </c>
      <c r="AB33" s="188">
        <f>AA33/AA7</f>
        <v>0.1066925209953329</v>
      </c>
      <c r="AC33" s="194">
        <f>AC20-AC21</f>
        <v>2.0636020464221581</v>
      </c>
      <c r="AD33" s="188">
        <f>AC33/AC7</f>
        <v>2.0148030847858791E-2</v>
      </c>
      <c r="AE33" s="194">
        <f>AE20-AE21</f>
        <v>6.4343179083103692</v>
      </c>
      <c r="AF33" s="188">
        <f>AE33/AE7</f>
        <v>3.2072061570761944E-2</v>
      </c>
      <c r="AG33" s="131"/>
      <c r="AH33" s="194">
        <f>AH20-AH21</f>
        <v>259.34017470642175</v>
      </c>
      <c r="AI33" s="188">
        <f>AH33/AH7</f>
        <v>0.6428652699296068</v>
      </c>
      <c r="AJ33" s="194">
        <f>AJ20-AJ21</f>
        <v>1100.6949606261728</v>
      </c>
      <c r="AK33" s="188">
        <f>AJ33/AJ7</f>
        <v>0.82759019595952843</v>
      </c>
      <c r="AL33" s="131"/>
      <c r="AM33" s="194">
        <f>AM20-AM21</f>
        <v>-3.454265705936443</v>
      </c>
      <c r="AN33" s="188">
        <f>AM33/AM7</f>
        <v>-2.9815267504863321E-2</v>
      </c>
      <c r="AO33" s="194">
        <f>AO20-AO21</f>
        <v>-26.565792745206217</v>
      </c>
      <c r="AP33" s="188">
        <f>AO33/AO7</f>
        <v>-0.12476252267076715</v>
      </c>
      <c r="AQ33" s="84"/>
      <c r="AR33" s="194">
        <f>AR20-AR21</f>
        <v>-19.270248951858349</v>
      </c>
      <c r="AS33" s="188">
        <f>AR33/AR7</f>
        <v>-3.9879448802068181E-2</v>
      </c>
      <c r="AT33" s="194">
        <f>AT20-AT21</f>
        <v>126.27639658838848</v>
      </c>
      <c r="AU33" s="188">
        <f>AT33/AT7</f>
        <v>6.7207601780077494E-2</v>
      </c>
      <c r="AV33" s="84"/>
      <c r="AW33" s="194">
        <f>AW20-AW21</f>
        <v>21.337892210700872</v>
      </c>
      <c r="AX33" s="188">
        <f>AW33/AW7</f>
        <v>0.16366103534077703</v>
      </c>
      <c r="AY33" s="194">
        <f>AY20-AY21</f>
        <v>28.74485108806843</v>
      </c>
      <c r="AZ33" s="188">
        <f>AY33/AY7</f>
        <v>0.11459457486781711</v>
      </c>
      <c r="BA33" s="84"/>
      <c r="BB33" s="194">
        <f>BB20-BB21</f>
        <v>49.116787831328168</v>
      </c>
      <c r="BC33" s="188">
        <f>BB33/BB7</f>
        <v>9.879252575361358E-2</v>
      </c>
      <c r="BD33" s="194">
        <f>BD20-BD21</f>
        <v>555.99053251105875</v>
      </c>
      <c r="BE33" s="188">
        <f>BD33/BD7</f>
        <v>0.27221078703111812</v>
      </c>
      <c r="BF33" s="84"/>
      <c r="BG33" s="194">
        <f>BG20-BG21</f>
        <v>-556.32503937382705</v>
      </c>
      <c r="BH33" s="188">
        <f>BG33/BG7</f>
        <v>-0.46848424368322278</v>
      </c>
      <c r="BI33" s="84"/>
      <c r="BJ33" s="84"/>
    </row>
    <row r="34" spans="1:62" ht="15" thickBot="1" x14ac:dyDescent="0.25">
      <c r="A34" s="84"/>
      <c r="B34" s="222"/>
      <c r="C34" s="228" t="str">
        <f>'Pricing Trends'!R40</f>
        <v>RBD CANOLA OIL</v>
      </c>
      <c r="D34" s="249">
        <f>'Pricing Trends'!S40</f>
        <v>0</v>
      </c>
      <c r="E34" s="223">
        <f>'Pricing Trends'!U40</f>
        <v>83.220041256354207</v>
      </c>
      <c r="F34" s="220" t="b">
        <v>0</v>
      </c>
      <c r="G34" s="84"/>
      <c r="H34" s="248" t="s">
        <v>420</v>
      </c>
      <c r="I34" s="84"/>
      <c r="J34" s="96">
        <f>(J8+J9+J10+J11+J13+J14+J12+J15)*K5</f>
        <v>924.62981600000012</v>
      </c>
      <c r="K34" s="100"/>
      <c r="L34" s="96">
        <f>(L8+L9+L10+L11+L13+L14+L12+L15)*M5</f>
        <v>846.93791999999996</v>
      </c>
      <c r="M34" s="100"/>
      <c r="N34" s="96">
        <f>(N8+N9+N10+N11+N13+N14+N12+N15)*O5</f>
        <v>844.03791999999987</v>
      </c>
      <c r="O34" s="100"/>
      <c r="P34" s="96">
        <f>(P8+P9+P10+P11+P13+P14+P12+P15)*Q5</f>
        <v>752.73792000000003</v>
      </c>
      <c r="Q34" s="100"/>
      <c r="R34" s="96">
        <f>(R8+R9+R10+R11+R13+R14+R12+R15)*S5</f>
        <v>855.45792000000006</v>
      </c>
      <c r="S34" s="100"/>
      <c r="T34" s="96">
        <f>(T8+T9+T10+T11+T13+T14+T12+T15)*U5</f>
        <v>744.83791999999994</v>
      </c>
      <c r="U34" s="100"/>
      <c r="V34" s="84"/>
      <c r="W34" s="96">
        <f>(W8+W9+W10+W11+W13+W14+W12+W15)*X5</f>
        <v>671.68274764479997</v>
      </c>
      <c r="X34" s="100"/>
      <c r="Y34" s="96">
        <f>(Y8+Y9+Y10+Y11+Y13+Y14+Y12+Y15)*Z5</f>
        <v>800.95343455599993</v>
      </c>
      <c r="Z34" s="100"/>
      <c r="AA34" s="96">
        <f>(AA8+AA9+AA10+AA11+AA13+AA14+AA12+AA15)*AB5</f>
        <v>780.17048283999998</v>
      </c>
      <c r="AB34" s="100"/>
      <c r="AC34" s="96">
        <f>(AC8+AC9+AC10+AC11+AC13+AC14+AC12+AC15)*AD5</f>
        <v>845.57048283999984</v>
      </c>
      <c r="AD34" s="100"/>
      <c r="AE34" s="96">
        <f>(AE8+AE9+AE10+AE11+AE13+AE14+AE12+AE15)*AF5</f>
        <v>822.19048283999996</v>
      </c>
      <c r="AF34" s="100"/>
      <c r="AG34" s="131"/>
      <c r="AH34" s="96">
        <f>(AH8+AH9+AH10+AH11+AH13+AH14+AH12+AH15)*AI5</f>
        <v>173.92</v>
      </c>
      <c r="AI34" s="100"/>
      <c r="AJ34" s="96">
        <f>(AJ8+AJ9+AJ10+AJ11+AJ13+AJ14+AJ12+AJ15)*AK5</f>
        <v>0</v>
      </c>
      <c r="AK34" s="100"/>
      <c r="AL34" s="131"/>
      <c r="AM34" s="96">
        <f>(AM8+AM9+AM10+AM11+AM13+AM14+AM12+AM15)*AN5</f>
        <v>1047.3199800610005</v>
      </c>
      <c r="AN34" s="100"/>
      <c r="AO34" s="96">
        <f>(AO8+AO9+AO10+AO11+AO13+AO14+AO12+AO15)*AP5</f>
        <v>1075.7799800610005</v>
      </c>
      <c r="AP34" s="100"/>
      <c r="AQ34" s="84"/>
      <c r="AR34" s="96">
        <f>(AR8+AR9+AR10+AR11+AR13+AR14+AR12+AR15)*AS5</f>
        <v>1505.4406601016674</v>
      </c>
      <c r="AS34" s="100"/>
      <c r="AT34" s="96">
        <f>(AT8+AT9+AT10+AT11+AT13+AT14+AT12+AT15)*AU5</f>
        <v>1480.9858514790699</v>
      </c>
      <c r="AU34" s="100"/>
      <c r="AV34" s="84"/>
      <c r="AW34" s="96">
        <f>(AW8+AW9+AW10+AW11+AW13+AW14+AW12+AW15)*AX5</f>
        <v>911.56475423999996</v>
      </c>
      <c r="AX34" s="100"/>
      <c r="AY34" s="96">
        <f>(AY8+AY9+AY10+AY11+AY13+AY14+AY12+AY15)*AZ5</f>
        <v>945.42475424000008</v>
      </c>
      <c r="AZ34" s="100"/>
      <c r="BA34" s="84"/>
      <c r="BB34" s="96">
        <f>(BB8+BB9+BB10+BB11+BB13+BB14+BB12+BB15)*BC5</f>
        <v>1279.1819504</v>
      </c>
      <c r="BC34" s="100"/>
      <c r="BD34" s="96">
        <f>(BD8+BD9+BD10+BD11+BD13+BD14+BD12+BD15)*BE5</f>
        <v>1229.3292622253257</v>
      </c>
      <c r="BE34" s="100"/>
      <c r="BF34" s="84"/>
      <c r="BG34" s="96">
        <f>(BG8+BG9+BG10+BG11+BG13+BG14+BG12+BG15)*BH5</f>
        <v>1519.02</v>
      </c>
      <c r="BH34" s="100"/>
      <c r="BI34" s="84"/>
      <c r="BJ34" s="84"/>
    </row>
    <row r="35" spans="1:62" x14ac:dyDescent="0.2">
      <c r="A35" s="84"/>
      <c r="B35" s="222"/>
      <c r="C35" s="228" t="str">
        <f>'Pricing Trends'!R41</f>
        <v>RBD SOYA BEAN OIL</v>
      </c>
      <c r="D35" s="249">
        <f>'Pricing Trends'!S41</f>
        <v>0</v>
      </c>
      <c r="E35" s="223">
        <f>'Pricing Trends'!U41</f>
        <v>81.666041886659627</v>
      </c>
      <c r="F35" s="220" t="b">
        <v>0</v>
      </c>
      <c r="G35" s="84"/>
      <c r="H35" s="84"/>
      <c r="I35" s="84"/>
      <c r="J35" s="84"/>
      <c r="K35" s="84"/>
      <c r="L35" s="84"/>
      <c r="M35" s="84"/>
      <c r="N35" s="84"/>
      <c r="O35" s="84"/>
      <c r="P35" s="84"/>
      <c r="Q35" s="84"/>
      <c r="R35" s="131"/>
      <c r="S35" s="84"/>
      <c r="T35" s="131"/>
      <c r="U35" s="84"/>
      <c r="V35" s="261"/>
      <c r="W35" s="261"/>
      <c r="X35" s="261"/>
      <c r="Y35" s="261"/>
      <c r="Z35" s="261"/>
      <c r="AA35" s="261"/>
      <c r="AB35" s="261"/>
      <c r="AC35" s="261"/>
      <c r="AD35" s="261"/>
      <c r="AE35" s="261"/>
      <c r="AF35" s="261"/>
      <c r="AG35" s="131"/>
      <c r="AH35" s="131"/>
      <c r="AI35" s="84"/>
      <c r="AJ35" s="131"/>
      <c r="AK35" s="84"/>
      <c r="AL35" s="131"/>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row>
    <row r="36" spans="1:62" x14ac:dyDescent="0.2">
      <c r="A36" s="84"/>
      <c r="B36" s="222"/>
      <c r="C36" s="228">
        <f>'Pricing Trends'!R42</f>
        <v>0</v>
      </c>
      <c r="D36" s="249">
        <f>'Pricing Trends'!S42</f>
        <v>0</v>
      </c>
      <c r="E36" s="223">
        <f>'Pricing Trends'!U42</f>
        <v>0</v>
      </c>
      <c r="F36" s="220" t="b">
        <v>0</v>
      </c>
      <c r="G36" s="84"/>
      <c r="H36" s="260"/>
      <c r="I36" s="260"/>
      <c r="J36" s="260"/>
      <c r="K36" s="260"/>
      <c r="L36" s="260"/>
      <c r="M36" s="260"/>
      <c r="N36" s="260"/>
      <c r="O36" s="260"/>
      <c r="P36" s="260"/>
      <c r="Q36" s="260"/>
      <c r="R36" s="260"/>
      <c r="S36" s="260"/>
      <c r="T36" s="260"/>
      <c r="U36" s="260"/>
      <c r="V36" s="261"/>
      <c r="W36" s="261"/>
      <c r="X36" s="261"/>
      <c r="Y36" s="261"/>
      <c r="Z36" s="261"/>
      <c r="AA36" s="261"/>
      <c r="AB36" s="261"/>
      <c r="AC36" s="261"/>
      <c r="AD36" s="261"/>
      <c r="AE36" s="261"/>
      <c r="AF36" s="261"/>
      <c r="AG36" s="262">
        <f t="shared" ref="AG36" si="46">AG6*0.92*0.98*0.98</f>
        <v>0</v>
      </c>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2"/>
      <c r="BD36" s="262"/>
      <c r="BE36" s="262"/>
      <c r="BF36" s="262"/>
      <c r="BG36" s="262"/>
      <c r="BH36" s="84"/>
      <c r="BI36" s="84"/>
      <c r="BJ36" s="84"/>
    </row>
    <row r="37" spans="1:62" x14ac:dyDescent="0.2">
      <c r="A37" s="84"/>
      <c r="B37" s="222"/>
      <c r="C37" s="228" t="str">
        <f>'Pricing Trends'!R43</f>
        <v>RBD PALM OLEIN (FOREIGN)</v>
      </c>
      <c r="D37" s="249">
        <f>'Pricing Trends'!S43</f>
        <v>0</v>
      </c>
      <c r="E37" s="223">
        <f>'Pricing Trends'!U43</f>
        <v>64.843398983325557</v>
      </c>
      <c r="F37" s="220" t="b">
        <v>0</v>
      </c>
      <c r="G37" s="84"/>
      <c r="H37" s="260"/>
      <c r="I37" s="260"/>
      <c r="J37" s="260"/>
      <c r="K37" s="260"/>
      <c r="L37" s="260"/>
      <c r="M37" s="260"/>
      <c r="N37" s="260"/>
      <c r="O37" s="260"/>
      <c r="P37" s="260"/>
      <c r="Q37" s="260"/>
      <c r="R37" s="260"/>
      <c r="S37" s="260"/>
      <c r="T37" s="260"/>
      <c r="U37" s="260"/>
      <c r="V37" s="261"/>
      <c r="W37" s="261"/>
      <c r="X37" s="261"/>
      <c r="Y37" s="261"/>
      <c r="Z37" s="261"/>
      <c r="AA37" s="261"/>
      <c r="AB37" s="261"/>
      <c r="AC37" s="261"/>
      <c r="AD37" s="261"/>
      <c r="AE37" s="261"/>
      <c r="AF37" s="261"/>
      <c r="AG37" s="262">
        <f t="shared" ref="AG37" si="47">AG21+AG18-AG28-AG27</f>
        <v>0</v>
      </c>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2"/>
      <c r="BD37" s="262"/>
      <c r="BE37" s="262"/>
      <c r="BF37" s="84"/>
      <c r="BG37" s="262"/>
      <c r="BH37" s="84"/>
      <c r="BI37" s="84"/>
      <c r="BJ37" s="84"/>
    </row>
    <row r="38" spans="1:62" x14ac:dyDescent="0.2">
      <c r="A38" s="84"/>
      <c r="B38" s="222"/>
      <c r="C38" s="228">
        <f>'Pricing Trends'!R44</f>
        <v>0</v>
      </c>
      <c r="D38" s="249">
        <f>'Pricing Trends'!S44</f>
        <v>0</v>
      </c>
      <c r="E38" s="223">
        <f>'Pricing Trends'!U44</f>
        <v>0</v>
      </c>
      <c r="F38" s="220" t="b">
        <v>0</v>
      </c>
      <c r="G38" s="84"/>
      <c r="H38" s="260"/>
      <c r="I38" s="260"/>
      <c r="J38" s="260"/>
      <c r="K38" s="260"/>
      <c r="L38" s="260"/>
      <c r="M38" s="260"/>
      <c r="N38" s="260"/>
      <c r="O38" s="260"/>
      <c r="P38" s="260"/>
      <c r="Q38" s="260"/>
      <c r="R38" s="260"/>
      <c r="S38" s="260"/>
      <c r="T38" s="260"/>
      <c r="U38" s="260"/>
      <c r="V38" s="261"/>
      <c r="W38" s="261"/>
      <c r="X38" s="261"/>
      <c r="Y38" s="261"/>
      <c r="Z38" s="261"/>
      <c r="AA38" s="261"/>
      <c r="AB38" s="261"/>
      <c r="AC38" s="261"/>
      <c r="AD38" s="261"/>
      <c r="AE38" s="261"/>
      <c r="AF38" s="261"/>
      <c r="AG38" s="262">
        <f t="shared" ref="AG38" si="48">AG36-AG37</f>
        <v>0</v>
      </c>
      <c r="AH38" s="262"/>
      <c r="AI38" s="263"/>
      <c r="AJ38" s="262"/>
      <c r="AK38" s="263"/>
      <c r="AL38" s="262"/>
      <c r="AM38" s="262">
        <f>AM7*0.98</f>
        <v>113.53848799999999</v>
      </c>
      <c r="AN38" s="263"/>
      <c r="AO38" s="262">
        <f>AO7*0.98</f>
        <v>208.67225456</v>
      </c>
      <c r="AP38" s="263"/>
      <c r="AQ38" s="262"/>
      <c r="AR38" s="262"/>
      <c r="AS38" s="263"/>
      <c r="AT38" s="262"/>
      <c r="AU38" s="263"/>
      <c r="AV38" s="262"/>
      <c r="AW38" s="262"/>
      <c r="AX38" s="263"/>
      <c r="AY38" s="262"/>
      <c r="AZ38" s="263"/>
      <c r="BA38" s="262"/>
      <c r="BB38" s="262"/>
      <c r="BC38" s="263"/>
      <c r="BD38" s="262"/>
      <c r="BE38" s="263"/>
      <c r="BF38" s="84"/>
      <c r="BG38" s="262"/>
      <c r="BH38" s="263"/>
      <c r="BI38" s="84"/>
      <c r="BJ38" s="84"/>
    </row>
    <row r="39" spans="1:62" x14ac:dyDescent="0.2">
      <c r="A39" s="84"/>
      <c r="B39" s="222"/>
      <c r="C39" s="228" t="str">
        <f>'Pricing Trends'!R45</f>
        <v>RBD PALM OLEIN (FOREIGN)</v>
      </c>
      <c r="D39" s="249">
        <f>'Pricing Trends'!S45</f>
        <v>0</v>
      </c>
      <c r="E39" s="223">
        <f>'Pricing Trends'!U45</f>
        <v>82.366515166275917</v>
      </c>
      <c r="F39" s="220" t="b">
        <v>0</v>
      </c>
      <c r="G39" s="84"/>
      <c r="H39" s="260"/>
      <c r="I39" s="260"/>
      <c r="J39" s="260"/>
      <c r="K39" s="260"/>
      <c r="L39" s="260"/>
      <c r="M39" s="260"/>
      <c r="N39" s="260"/>
      <c r="O39" s="260"/>
      <c r="P39" s="260"/>
      <c r="Q39" s="260"/>
      <c r="R39" s="260"/>
      <c r="S39" s="260"/>
      <c r="T39" s="260"/>
      <c r="U39" s="260"/>
      <c r="V39" s="261"/>
      <c r="W39" s="261"/>
      <c r="X39" s="261"/>
      <c r="Y39" s="261"/>
      <c r="Z39" s="261"/>
      <c r="AA39" s="261"/>
      <c r="AB39" s="261"/>
      <c r="AC39" s="261"/>
      <c r="AD39" s="261"/>
      <c r="AE39" s="261"/>
      <c r="AF39" s="261"/>
      <c r="AG39" s="260"/>
      <c r="AH39" s="261"/>
      <c r="AI39" s="260"/>
      <c r="AJ39" s="261"/>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84"/>
      <c r="BG39" s="84"/>
      <c r="BH39" s="84"/>
      <c r="BI39" s="84"/>
      <c r="BJ39" s="84"/>
    </row>
    <row r="40" spans="1:62" x14ac:dyDescent="0.2">
      <c r="A40" s="84"/>
      <c r="B40" s="222"/>
      <c r="C40" s="228" t="str">
        <f>'Pricing Trends'!R46</f>
        <v>RBD PALM OLEIN (FOREIGN)</v>
      </c>
      <c r="D40" s="249">
        <f>'Pricing Trends'!S46</f>
        <v>0</v>
      </c>
      <c r="E40" s="223">
        <f>'Pricing Trends'!U46</f>
        <v>74.656859937366562</v>
      </c>
      <c r="F40" s="220" t="b">
        <v>0</v>
      </c>
      <c r="G40" s="84"/>
      <c r="H40" s="260"/>
      <c r="I40" s="260"/>
      <c r="J40" s="260"/>
      <c r="K40" s="260"/>
      <c r="L40" s="260"/>
      <c r="M40" s="260"/>
      <c r="N40" s="260"/>
      <c r="O40" s="260"/>
      <c r="P40" s="260"/>
      <c r="Q40" s="260"/>
      <c r="R40" s="260"/>
      <c r="S40" s="260"/>
      <c r="T40" s="260"/>
      <c r="U40" s="260"/>
      <c r="V40" s="261"/>
      <c r="W40" s="261"/>
      <c r="X40" s="261"/>
      <c r="Y40" s="261"/>
      <c r="Z40" s="261"/>
      <c r="AA40" s="261"/>
      <c r="AB40" s="261"/>
      <c r="AC40" s="261"/>
      <c r="AD40" s="261"/>
      <c r="AE40" s="261"/>
      <c r="AF40" s="261"/>
      <c r="AG40" s="260"/>
      <c r="AH40" s="261"/>
      <c r="AI40" s="260"/>
      <c r="AJ40" s="261"/>
      <c r="AK40" s="260"/>
      <c r="AL40" s="260"/>
      <c r="AM40" s="260"/>
      <c r="AN40" s="260"/>
      <c r="AO40" s="260"/>
      <c r="AP40" s="260"/>
      <c r="AQ40" s="260"/>
      <c r="AR40" s="260"/>
      <c r="AS40" s="260"/>
      <c r="AT40" s="260"/>
      <c r="AU40" s="260"/>
      <c r="AV40" s="260"/>
      <c r="AW40" s="260"/>
      <c r="AX40" s="260"/>
      <c r="AY40" s="260"/>
      <c r="AZ40" s="260"/>
      <c r="BA40" s="260"/>
      <c r="BB40" s="260"/>
      <c r="BC40" s="260"/>
      <c r="BD40" s="260"/>
      <c r="BE40" s="260"/>
      <c r="BF40" s="84"/>
      <c r="BG40" s="84"/>
      <c r="BH40" s="84"/>
      <c r="BI40" s="84"/>
      <c r="BJ40" s="84"/>
    </row>
    <row r="41" spans="1:62" x14ac:dyDescent="0.2">
      <c r="A41" s="84"/>
      <c r="B41" s="222"/>
      <c r="C41" s="228">
        <f>'Pricing Trends'!R47</f>
        <v>0</v>
      </c>
      <c r="D41" s="249">
        <f>'Pricing Trends'!S47</f>
        <v>0</v>
      </c>
      <c r="E41" s="223">
        <f>'Pricing Trends'!U47</f>
        <v>0</v>
      </c>
      <c r="F41" s="220" t="b">
        <v>0</v>
      </c>
      <c r="G41" s="84"/>
      <c r="H41" s="260"/>
      <c r="I41" s="260"/>
      <c r="J41" s="260"/>
      <c r="K41" s="260"/>
      <c r="L41" s="260"/>
      <c r="M41" s="260"/>
      <c r="N41" s="260"/>
      <c r="O41" s="260"/>
      <c r="P41" s="260"/>
      <c r="Q41" s="260"/>
      <c r="R41" s="260"/>
      <c r="S41" s="260"/>
      <c r="T41" s="260"/>
      <c r="U41" s="260"/>
      <c r="V41" s="260"/>
      <c r="W41" s="261"/>
      <c r="X41" s="261"/>
      <c r="Y41" s="261"/>
      <c r="Z41" s="261"/>
      <c r="AA41" s="261"/>
      <c r="AB41" s="261"/>
      <c r="AC41" s="261"/>
      <c r="AD41" s="261"/>
      <c r="AE41" s="261"/>
      <c r="AF41" s="261"/>
      <c r="AG41" s="260"/>
      <c r="AH41" s="262"/>
      <c r="AI41" s="260"/>
      <c r="AJ41" s="261"/>
      <c r="AK41" s="260"/>
      <c r="AL41" s="260"/>
      <c r="AM41" s="262"/>
      <c r="AN41" s="260"/>
      <c r="AO41" s="262"/>
      <c r="AP41" s="260"/>
      <c r="AQ41" s="260"/>
      <c r="AR41" s="262"/>
      <c r="AS41" s="260"/>
      <c r="AT41" s="260"/>
      <c r="AU41" s="260"/>
      <c r="AV41" s="260"/>
      <c r="AW41" s="262">
        <f>AW6*AX5</f>
        <v>1735.296</v>
      </c>
      <c r="AX41" s="260"/>
      <c r="AY41" s="262">
        <f>AY6*AZ5</f>
        <v>1669.296</v>
      </c>
      <c r="AZ41" s="260"/>
      <c r="BA41" s="260"/>
      <c r="BB41" s="262">
        <f>BB6*BC5</f>
        <v>2205.7280000000001</v>
      </c>
      <c r="BC41" s="260"/>
      <c r="BD41" s="260"/>
      <c r="BE41" s="260"/>
      <c r="BF41" s="84"/>
      <c r="BG41" s="84"/>
      <c r="BH41" s="84"/>
      <c r="BI41" s="84"/>
      <c r="BJ41" s="84"/>
    </row>
    <row r="42" spans="1:62" x14ac:dyDescent="0.2">
      <c r="A42" s="84"/>
      <c r="B42" s="222"/>
      <c r="C42" s="228">
        <f>'Pricing Trends'!R48</f>
        <v>0</v>
      </c>
      <c r="D42" s="249">
        <f>'Pricing Trends'!S48</f>
        <v>0</v>
      </c>
      <c r="E42" s="223">
        <f>'Pricing Trends'!U48</f>
        <v>0</v>
      </c>
      <c r="F42" s="220" t="b">
        <v>0</v>
      </c>
      <c r="G42" s="84"/>
      <c r="H42" s="260"/>
      <c r="I42" s="260"/>
      <c r="J42" s="260"/>
      <c r="K42" s="260"/>
      <c r="L42" s="260"/>
      <c r="M42" s="260"/>
      <c r="N42" s="260"/>
      <c r="O42" s="260"/>
      <c r="P42" s="260"/>
      <c r="Q42" s="260"/>
      <c r="R42" s="260"/>
      <c r="S42" s="260"/>
      <c r="T42" s="260"/>
      <c r="U42" s="260"/>
      <c r="V42" s="260"/>
      <c r="W42" s="262"/>
      <c r="X42" s="260"/>
      <c r="Y42" s="262"/>
      <c r="Z42" s="260"/>
      <c r="AA42" s="262"/>
      <c r="AB42" s="260"/>
      <c r="AC42" s="261"/>
      <c r="AD42" s="261"/>
      <c r="AE42" s="262"/>
      <c r="AF42" s="260"/>
      <c r="AG42" s="260"/>
      <c r="AH42" s="262"/>
      <c r="AI42" s="260"/>
      <c r="AJ42" s="261"/>
      <c r="AK42" s="260"/>
      <c r="AL42" s="260"/>
      <c r="AM42" s="262"/>
      <c r="AN42" s="260"/>
      <c r="AO42" s="262"/>
      <c r="AP42" s="260"/>
      <c r="AQ42" s="260"/>
      <c r="AR42" s="262"/>
      <c r="AS42" s="260"/>
      <c r="AT42" s="260"/>
      <c r="AU42" s="260"/>
      <c r="AV42" s="260"/>
      <c r="AW42" s="262">
        <f>AW41/AX5</f>
        <v>144.608</v>
      </c>
      <c r="AX42" s="260"/>
      <c r="AY42" s="262">
        <f>AY41/AZ5</f>
        <v>278.21600000000001</v>
      </c>
      <c r="AZ42" s="260"/>
      <c r="BA42" s="260"/>
      <c r="BB42" s="262">
        <f>BB41/BC5</f>
        <v>551.43200000000002</v>
      </c>
      <c r="BC42" s="260"/>
      <c r="BD42" s="260"/>
      <c r="BE42" s="260"/>
      <c r="BF42" s="84"/>
      <c r="BG42" s="84"/>
      <c r="BH42" s="84"/>
      <c r="BI42" s="84"/>
      <c r="BJ42" s="84"/>
    </row>
    <row r="43" spans="1:62" x14ac:dyDescent="0.2">
      <c r="A43" s="84"/>
      <c r="B43" s="222"/>
      <c r="C43" s="228">
        <f>'Pricing Trends'!R49</f>
        <v>0</v>
      </c>
      <c r="D43" s="249">
        <f>'Pricing Trends'!S49</f>
        <v>0</v>
      </c>
      <c r="E43" s="223">
        <f>'Pricing Trends'!U49</f>
        <v>0</v>
      </c>
      <c r="F43" s="220" t="b">
        <v>0</v>
      </c>
      <c r="G43" s="84"/>
      <c r="H43" s="260"/>
      <c r="I43" s="260"/>
      <c r="J43" s="260"/>
      <c r="K43" s="260"/>
      <c r="L43" s="260"/>
      <c r="M43" s="260"/>
      <c r="N43" s="260"/>
      <c r="O43" s="260"/>
      <c r="P43" s="260"/>
      <c r="Q43" s="260"/>
      <c r="R43" s="260"/>
      <c r="S43" s="260"/>
      <c r="T43" s="260"/>
      <c r="U43" s="260"/>
      <c r="V43" s="260"/>
      <c r="W43" s="261"/>
      <c r="X43" s="261"/>
      <c r="Y43" s="261"/>
      <c r="Z43" s="261"/>
      <c r="AA43" s="261"/>
      <c r="AB43" s="261"/>
      <c r="AC43" s="261"/>
      <c r="AD43" s="261"/>
      <c r="AE43" s="261"/>
      <c r="AF43" s="261"/>
      <c r="AG43" s="260"/>
      <c r="AH43" s="262"/>
      <c r="AI43" s="260"/>
      <c r="AJ43" s="261"/>
      <c r="AK43" s="260"/>
      <c r="AL43" s="260"/>
      <c r="AM43" s="262"/>
      <c r="AN43" s="260"/>
      <c r="AO43" s="262"/>
      <c r="AP43" s="260"/>
      <c r="AQ43" s="260"/>
      <c r="AR43" s="262"/>
      <c r="AS43" s="260"/>
      <c r="AT43" s="260"/>
      <c r="AU43" s="260"/>
      <c r="AV43" s="260"/>
      <c r="AW43" s="262">
        <f>AW41*0.92*0.98</f>
        <v>1564.5428736000001</v>
      </c>
      <c r="AX43" s="260"/>
      <c r="AY43" s="262">
        <f>AY41*0.92*0.98</f>
        <v>1505.0372735999999</v>
      </c>
      <c r="AZ43" s="260"/>
      <c r="BA43" s="260"/>
      <c r="BB43" s="262">
        <f>BB41*0.92*0.98</f>
        <v>1988.6843648000001</v>
      </c>
      <c r="BC43" s="260"/>
      <c r="BD43" s="260"/>
      <c r="BE43" s="260"/>
      <c r="BF43" s="84"/>
      <c r="BG43" s="84"/>
      <c r="BH43" s="84"/>
      <c r="BI43" s="84"/>
      <c r="BJ43" s="84"/>
    </row>
    <row r="44" spans="1:62" x14ac:dyDescent="0.2">
      <c r="A44" s="84"/>
      <c r="B44" s="222"/>
      <c r="C44" s="228">
        <f>'Pricing Trends'!R50</f>
        <v>0</v>
      </c>
      <c r="D44" s="249">
        <f>'Pricing Trends'!S50</f>
        <v>0</v>
      </c>
      <c r="E44" s="223">
        <f>'Pricing Trends'!U50</f>
        <v>0</v>
      </c>
      <c r="F44" s="220" t="b">
        <v>0</v>
      </c>
      <c r="G44" s="84"/>
      <c r="H44" s="260"/>
      <c r="I44" s="260"/>
      <c r="J44" s="260"/>
      <c r="K44" s="260"/>
      <c r="L44" s="260"/>
      <c r="M44" s="260"/>
      <c r="N44" s="260"/>
      <c r="O44" s="260"/>
      <c r="P44" s="260"/>
      <c r="Q44" s="260"/>
      <c r="R44" s="260"/>
      <c r="S44" s="260"/>
      <c r="T44" s="260"/>
      <c r="U44" s="260"/>
      <c r="V44" s="260"/>
      <c r="W44" s="261"/>
      <c r="X44" s="261"/>
      <c r="Y44" s="261"/>
      <c r="Z44" s="261"/>
      <c r="AA44" s="261"/>
      <c r="AB44" s="261"/>
      <c r="AC44" s="261"/>
      <c r="AD44" s="261"/>
      <c r="AE44" s="261"/>
      <c r="AF44" s="261"/>
      <c r="AG44" s="260"/>
      <c r="AH44" s="262"/>
      <c r="AI44" s="260"/>
      <c r="AJ44" s="261"/>
      <c r="AK44" s="260"/>
      <c r="AL44" s="260"/>
      <c r="AM44" s="262"/>
      <c r="AN44" s="260"/>
      <c r="AO44" s="262"/>
      <c r="AP44" s="260"/>
      <c r="AQ44" s="260"/>
      <c r="AR44" s="262"/>
      <c r="AS44" s="260"/>
      <c r="AT44" s="260"/>
      <c r="AU44" s="260"/>
      <c r="AV44" s="260"/>
      <c r="AW44" s="262">
        <f>AW43/AX5</f>
        <v>130.3785728</v>
      </c>
      <c r="AX44" s="260"/>
      <c r="AY44" s="262">
        <f>AY43/AZ5</f>
        <v>250.83954559999998</v>
      </c>
      <c r="AZ44" s="260"/>
      <c r="BA44" s="260"/>
      <c r="BB44" s="262">
        <f>BB43/BC5</f>
        <v>497.17109120000003</v>
      </c>
      <c r="BC44" s="260"/>
      <c r="BD44" s="260"/>
      <c r="BE44" s="260"/>
      <c r="BF44" s="84"/>
      <c r="BG44" s="84"/>
      <c r="BH44" s="84"/>
      <c r="BI44" s="84"/>
      <c r="BJ44" s="84"/>
    </row>
    <row r="45" spans="1:62" x14ac:dyDescent="0.2">
      <c r="A45" s="84"/>
      <c r="B45" s="222"/>
      <c r="C45" s="228">
        <f>'Pricing Trends'!R51</f>
        <v>0</v>
      </c>
      <c r="D45" s="249">
        <f>'Pricing Trends'!S51</f>
        <v>0</v>
      </c>
      <c r="E45" s="223">
        <f>'Pricing Trends'!U51</f>
        <v>0</v>
      </c>
      <c r="F45" s="220" t="b">
        <v>0</v>
      </c>
      <c r="G45" s="84"/>
      <c r="H45" s="260"/>
      <c r="I45" s="260"/>
      <c r="J45" s="260"/>
      <c r="K45" s="260"/>
      <c r="L45" s="260"/>
      <c r="M45" s="260"/>
      <c r="N45" s="260"/>
      <c r="O45" s="260"/>
      <c r="P45" s="260"/>
      <c r="Q45" s="260"/>
      <c r="R45" s="260"/>
      <c r="S45" s="260"/>
      <c r="T45" s="260"/>
      <c r="U45" s="260"/>
      <c r="V45" s="260"/>
      <c r="W45" s="261"/>
      <c r="X45" s="261"/>
      <c r="Y45" s="261"/>
      <c r="Z45" s="261"/>
      <c r="AA45" s="261"/>
      <c r="AB45" s="261"/>
      <c r="AC45" s="261"/>
      <c r="AD45" s="261"/>
      <c r="AE45" s="261"/>
      <c r="AF45" s="261"/>
      <c r="AG45" s="260"/>
      <c r="AH45" s="262"/>
      <c r="AI45" s="260"/>
      <c r="AJ45" s="261"/>
      <c r="AK45" s="260"/>
      <c r="AL45" s="260"/>
      <c r="AM45" s="262"/>
      <c r="AN45" s="260"/>
      <c r="AO45" s="262"/>
      <c r="AP45" s="260"/>
      <c r="AQ45" s="260"/>
      <c r="AR45" s="262"/>
      <c r="AS45" s="260"/>
      <c r="AT45" s="260"/>
      <c r="AU45" s="260"/>
      <c r="AV45" s="260"/>
      <c r="AW45" s="262">
        <f>AW41*1.03</f>
        <v>1787.3548800000001</v>
      </c>
      <c r="AX45" s="260"/>
      <c r="AY45" s="262">
        <f>AY41*1.03</f>
        <v>1719.3748800000001</v>
      </c>
      <c r="AZ45" s="260"/>
      <c r="BA45" s="260"/>
      <c r="BB45" s="262">
        <f>BB41*1.03</f>
        <v>2271.89984</v>
      </c>
      <c r="BC45" s="260"/>
      <c r="BD45" s="260"/>
      <c r="BE45" s="260"/>
      <c r="BF45" s="84"/>
      <c r="BG45" s="84"/>
      <c r="BH45" s="84"/>
      <c r="BI45" s="84"/>
      <c r="BJ45" s="84"/>
    </row>
    <row r="46" spans="1:62" x14ac:dyDescent="0.2">
      <c r="A46" s="84"/>
      <c r="B46" s="222"/>
      <c r="C46" s="228">
        <f>'Pricing Trends'!R52</f>
        <v>0</v>
      </c>
      <c r="D46" s="249">
        <f>'Pricing Trends'!S52</f>
        <v>0</v>
      </c>
      <c r="E46" s="223">
        <f>'Pricing Trends'!U52</f>
        <v>0</v>
      </c>
      <c r="F46" s="220" t="b">
        <v>0</v>
      </c>
      <c r="G46" s="84"/>
      <c r="H46" s="260"/>
      <c r="I46" s="260"/>
      <c r="J46" s="260"/>
      <c r="K46" s="260"/>
      <c r="L46" s="260"/>
      <c r="M46" s="260"/>
      <c r="N46" s="260"/>
      <c r="O46" s="260"/>
      <c r="P46" s="260"/>
      <c r="Q46" s="260"/>
      <c r="R46" s="260"/>
      <c r="S46" s="260"/>
      <c r="T46" s="260"/>
      <c r="U46" s="260"/>
      <c r="V46" s="260"/>
      <c r="W46" s="261"/>
      <c r="X46" s="261"/>
      <c r="Y46" s="261"/>
      <c r="Z46" s="261"/>
      <c r="AA46" s="261"/>
      <c r="AB46" s="261"/>
      <c r="AC46" s="261"/>
      <c r="AD46" s="261"/>
      <c r="AE46" s="261"/>
      <c r="AF46" s="261"/>
      <c r="AG46" s="260"/>
      <c r="AH46" s="262"/>
      <c r="AI46" s="260"/>
      <c r="AJ46" s="261"/>
      <c r="AK46" s="260"/>
      <c r="AL46" s="260"/>
      <c r="AM46" s="262"/>
      <c r="AN46" s="260"/>
      <c r="AO46" s="262"/>
      <c r="AP46" s="260"/>
      <c r="AQ46" s="260"/>
      <c r="AR46" s="262"/>
      <c r="AS46" s="260"/>
      <c r="AT46" s="260"/>
      <c r="AU46" s="260"/>
      <c r="AV46" s="260"/>
      <c r="AW46" s="262">
        <f>AW45/AX5</f>
        <v>148.94624000000002</v>
      </c>
      <c r="AX46" s="260"/>
      <c r="AY46" s="262">
        <f>AY45/AZ5</f>
        <v>286.56247999999999</v>
      </c>
      <c r="AZ46" s="260"/>
      <c r="BA46" s="260"/>
      <c r="BB46" s="262">
        <f>BB45/BC5</f>
        <v>567.97496000000001</v>
      </c>
      <c r="BC46" s="260"/>
      <c r="BD46" s="260"/>
      <c r="BE46" s="260"/>
      <c r="BF46" s="84"/>
      <c r="BG46" s="84"/>
      <c r="BH46" s="84"/>
      <c r="BI46" s="84"/>
      <c r="BJ46" s="84"/>
    </row>
    <row r="47" spans="1:62" x14ac:dyDescent="0.2">
      <c r="A47" s="84"/>
      <c r="B47" s="222"/>
      <c r="C47" s="228">
        <f>'Pricing Trends'!R53</f>
        <v>0</v>
      </c>
      <c r="D47" s="249">
        <f>'Pricing Trends'!S53</f>
        <v>0</v>
      </c>
      <c r="E47" s="223">
        <f>'Pricing Trends'!U53</f>
        <v>0</v>
      </c>
      <c r="F47" s="220" t="b">
        <v>0</v>
      </c>
      <c r="G47" s="84"/>
      <c r="H47" s="260"/>
      <c r="I47" s="260"/>
      <c r="J47" s="260"/>
      <c r="K47" s="260"/>
      <c r="L47" s="260"/>
      <c r="M47" s="260"/>
      <c r="N47" s="260"/>
      <c r="O47" s="260"/>
      <c r="P47" s="260"/>
      <c r="Q47" s="260"/>
      <c r="R47" s="260"/>
      <c r="S47" s="260"/>
      <c r="T47" s="260"/>
      <c r="U47" s="260"/>
      <c r="V47" s="260"/>
      <c r="W47" s="261"/>
      <c r="X47" s="261"/>
      <c r="Y47" s="261"/>
      <c r="Z47" s="261"/>
      <c r="AA47" s="261"/>
      <c r="AB47" s="261"/>
      <c r="AC47" s="261"/>
      <c r="AD47" s="261"/>
      <c r="AE47" s="261"/>
      <c r="AF47" s="261"/>
      <c r="AG47" s="260"/>
      <c r="AH47" s="261"/>
      <c r="AI47" s="260"/>
      <c r="AJ47" s="261"/>
      <c r="AK47" s="260"/>
      <c r="AL47" s="260"/>
      <c r="AM47" s="260"/>
      <c r="AN47" s="260"/>
      <c r="AO47" s="260"/>
      <c r="AP47" s="260"/>
      <c r="AQ47" s="260"/>
      <c r="AR47" s="260"/>
      <c r="AS47" s="260"/>
      <c r="AT47" s="260"/>
      <c r="AU47" s="260"/>
      <c r="AV47" s="260"/>
      <c r="AW47" s="260"/>
      <c r="AX47" s="260"/>
      <c r="AY47" s="260"/>
      <c r="AZ47" s="260"/>
      <c r="BA47" s="260"/>
      <c r="BB47" s="260"/>
      <c r="BC47" s="260"/>
      <c r="BD47" s="260"/>
      <c r="BE47" s="260"/>
      <c r="BF47" s="84"/>
      <c r="BG47" s="84"/>
      <c r="BH47" s="84"/>
      <c r="BI47" s="84"/>
      <c r="BJ47" s="84"/>
    </row>
    <row r="48" spans="1:62" x14ac:dyDescent="0.2">
      <c r="A48" s="84"/>
      <c r="B48" s="222"/>
      <c r="C48" s="228">
        <f>'Pricing Trends'!R54</f>
        <v>0</v>
      </c>
      <c r="D48" s="249">
        <f>'Pricing Trends'!S54</f>
        <v>0</v>
      </c>
      <c r="E48" s="223">
        <f>'Pricing Trends'!U54</f>
        <v>0</v>
      </c>
      <c r="F48" s="220" t="b">
        <v>0</v>
      </c>
      <c r="G48" s="84"/>
      <c r="H48" s="260"/>
      <c r="I48" s="260"/>
      <c r="J48" s="260"/>
      <c r="K48" s="260"/>
      <c r="L48" s="260"/>
      <c r="M48" s="260"/>
      <c r="N48" s="260"/>
      <c r="O48" s="260"/>
      <c r="P48" s="260"/>
      <c r="Q48" s="260"/>
      <c r="R48" s="260"/>
      <c r="S48" s="260"/>
      <c r="T48" s="260"/>
      <c r="U48" s="260"/>
      <c r="V48" s="260"/>
      <c r="W48" s="261"/>
      <c r="X48" s="261"/>
      <c r="Y48" s="261"/>
      <c r="Z48" s="261"/>
      <c r="AA48" s="261"/>
      <c r="AB48" s="261"/>
      <c r="AC48" s="261"/>
      <c r="AD48" s="261"/>
      <c r="AE48" s="261"/>
      <c r="AF48" s="261"/>
      <c r="AG48" s="260"/>
      <c r="AH48" s="261"/>
      <c r="AI48" s="260"/>
      <c r="AJ48" s="261"/>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84"/>
      <c r="BG48" s="84"/>
      <c r="BH48" s="84"/>
      <c r="BI48" s="84"/>
      <c r="BJ48" s="84"/>
    </row>
    <row r="49" spans="1:62" x14ac:dyDescent="0.2">
      <c r="A49" s="84"/>
      <c r="B49" s="222"/>
      <c r="C49" s="228">
        <f>'Pricing Trends'!R55</f>
        <v>0</v>
      </c>
      <c r="D49" s="249">
        <f>'Pricing Trends'!S55</f>
        <v>0</v>
      </c>
      <c r="E49" s="223">
        <f>'Pricing Trends'!U55</f>
        <v>0</v>
      </c>
      <c r="F49" s="220" t="b">
        <v>0</v>
      </c>
      <c r="G49" s="84"/>
      <c r="H49" s="260"/>
      <c r="I49" s="260"/>
      <c r="J49" s="260"/>
      <c r="K49" s="260"/>
      <c r="L49" s="260"/>
      <c r="M49" s="260"/>
      <c r="N49" s="260"/>
      <c r="O49" s="260"/>
      <c r="P49" s="260"/>
      <c r="Q49" s="260"/>
      <c r="R49" s="260"/>
      <c r="S49" s="260"/>
      <c r="T49" s="260"/>
      <c r="U49" s="260"/>
      <c r="V49" s="260"/>
      <c r="W49" s="261"/>
      <c r="X49" s="261"/>
      <c r="Y49" s="261"/>
      <c r="Z49" s="261"/>
      <c r="AA49" s="261"/>
      <c r="AB49" s="261"/>
      <c r="AC49" s="261"/>
      <c r="AD49" s="261"/>
      <c r="AE49" s="261"/>
      <c r="AF49" s="261"/>
      <c r="AG49" s="260"/>
      <c r="AH49" s="261"/>
      <c r="AI49" s="260"/>
      <c r="AJ49" s="261"/>
      <c r="AK49" s="260"/>
      <c r="AL49" s="260"/>
      <c r="AM49" s="260"/>
      <c r="AN49" s="260"/>
      <c r="AO49" s="260"/>
      <c r="AP49" s="260"/>
      <c r="AQ49" s="260"/>
      <c r="AR49" s="260"/>
      <c r="AS49" s="260"/>
      <c r="AT49" s="260"/>
      <c r="AU49" s="260"/>
      <c r="AV49" s="260"/>
      <c r="AW49" s="260"/>
      <c r="AX49" s="260"/>
      <c r="AY49" s="260"/>
      <c r="AZ49" s="260"/>
      <c r="BA49" s="260"/>
      <c r="BB49" s="260"/>
      <c r="BC49" s="260"/>
      <c r="BD49" s="260"/>
      <c r="BE49" s="260"/>
      <c r="BF49" s="84"/>
      <c r="BG49" s="84"/>
      <c r="BH49" s="84"/>
      <c r="BI49" s="84"/>
      <c r="BJ49" s="84"/>
    </row>
    <row r="50" spans="1:62" x14ac:dyDescent="0.2">
      <c r="A50" s="84"/>
      <c r="B50" s="84"/>
      <c r="C50" s="226"/>
      <c r="D50" s="226"/>
      <c r="E50" s="84"/>
      <c r="F50" s="84"/>
      <c r="G50" s="84"/>
      <c r="H50" s="260"/>
      <c r="I50" s="260"/>
      <c r="J50" s="260"/>
      <c r="K50" s="260"/>
      <c r="L50" s="260"/>
      <c r="M50" s="260"/>
      <c r="N50" s="260"/>
      <c r="O50" s="260"/>
      <c r="P50" s="260"/>
      <c r="Q50" s="260"/>
      <c r="R50" s="260"/>
      <c r="S50" s="260"/>
      <c r="T50" s="260"/>
      <c r="U50" s="260"/>
      <c r="V50" s="260"/>
      <c r="W50" s="261"/>
      <c r="X50" s="261"/>
      <c r="Y50" s="261"/>
      <c r="Z50" s="261"/>
      <c r="AA50" s="261"/>
      <c r="AB50" s="261"/>
      <c r="AC50" s="261"/>
      <c r="AD50" s="261"/>
      <c r="AE50" s="261"/>
      <c r="AF50" s="261"/>
      <c r="AG50" s="260"/>
      <c r="AH50" s="261"/>
      <c r="AI50" s="260"/>
      <c r="AJ50" s="261"/>
      <c r="AK50" s="260"/>
      <c r="AL50" s="260"/>
      <c r="AM50" s="260"/>
      <c r="AN50" s="260"/>
      <c r="AO50" s="260"/>
      <c r="AP50" s="260"/>
      <c r="AQ50" s="260"/>
      <c r="AR50" s="260"/>
      <c r="AS50" s="260"/>
      <c r="AT50" s="260"/>
      <c r="AU50" s="260"/>
      <c r="AV50" s="260"/>
      <c r="AW50" s="260"/>
      <c r="AX50" s="260"/>
      <c r="AY50" s="260"/>
      <c r="AZ50" s="260"/>
      <c r="BA50" s="260"/>
      <c r="BB50" s="260"/>
      <c r="BC50" s="260"/>
      <c r="BD50" s="260"/>
      <c r="BE50" s="260"/>
      <c r="BF50" s="84"/>
      <c r="BG50" s="84"/>
      <c r="BH50" s="84"/>
      <c r="BI50" s="84"/>
      <c r="BJ50" s="84"/>
    </row>
    <row r="51" spans="1:62" x14ac:dyDescent="0.2">
      <c r="A51" s="84"/>
      <c r="B51" s="84"/>
      <c r="C51" s="226"/>
      <c r="D51" s="226"/>
      <c r="E51" s="85"/>
      <c r="F51" s="84"/>
      <c r="G51" s="84"/>
      <c r="H51" s="260"/>
      <c r="I51" s="260"/>
      <c r="J51" s="261"/>
      <c r="K51" s="261"/>
      <c r="L51" s="261"/>
      <c r="M51" s="261"/>
      <c r="N51" s="261"/>
      <c r="O51" s="261"/>
      <c r="P51" s="261"/>
      <c r="Q51" s="261"/>
      <c r="R51" s="261"/>
      <c r="S51" s="260"/>
      <c r="T51" s="261"/>
      <c r="U51" s="260"/>
      <c r="V51" s="260"/>
      <c r="W51" s="261"/>
      <c r="X51" s="261"/>
      <c r="Y51" s="261"/>
      <c r="Z51" s="261"/>
      <c r="AA51" s="261"/>
      <c r="AB51" s="261"/>
      <c r="AC51" s="261"/>
      <c r="AD51" s="261"/>
      <c r="AE51" s="261"/>
      <c r="AF51" s="261"/>
      <c r="AG51" s="260"/>
      <c r="AH51" s="261"/>
      <c r="AI51" s="260"/>
      <c r="AJ51" s="261"/>
      <c r="AK51" s="260"/>
      <c r="AL51" s="260"/>
      <c r="AM51" s="262"/>
      <c r="AN51" s="260"/>
      <c r="AO51" s="262"/>
      <c r="AP51" s="260"/>
      <c r="AQ51" s="260"/>
      <c r="AR51" s="262"/>
      <c r="AS51" s="262"/>
      <c r="AT51" s="262"/>
      <c r="AU51" s="262"/>
      <c r="AV51" s="260"/>
      <c r="AW51" s="262"/>
      <c r="AX51" s="260"/>
      <c r="AY51" s="262"/>
      <c r="AZ51" s="260"/>
      <c r="BA51" s="260"/>
      <c r="BB51" s="262"/>
      <c r="BC51" s="260"/>
      <c r="BD51" s="260"/>
      <c r="BE51" s="260"/>
      <c r="BF51" s="84"/>
      <c r="BG51" s="85"/>
      <c r="BH51" s="84"/>
      <c r="BI51" s="84"/>
      <c r="BJ51" s="84"/>
    </row>
    <row r="52" spans="1:62" hidden="1" x14ac:dyDescent="0.2">
      <c r="A52" s="84"/>
      <c r="B52" s="84"/>
      <c r="C52" s="226"/>
      <c r="D52" s="226"/>
      <c r="E52" s="85"/>
      <c r="F52" s="84"/>
      <c r="G52" s="84"/>
      <c r="H52" s="84"/>
      <c r="I52" s="84"/>
      <c r="J52" s="131"/>
      <c r="K52" s="131"/>
      <c r="L52" s="131"/>
      <c r="M52" s="131"/>
      <c r="N52" s="131"/>
      <c r="O52" s="131"/>
      <c r="P52" s="131"/>
      <c r="Q52" s="131"/>
      <c r="R52" s="131"/>
      <c r="S52" s="84"/>
      <c r="T52" s="131"/>
      <c r="U52" s="84"/>
      <c r="V52" s="84"/>
      <c r="W52" s="131"/>
      <c r="X52" s="131"/>
      <c r="Y52" s="131"/>
      <c r="Z52" s="131"/>
      <c r="AA52" s="131"/>
      <c r="AB52" s="131"/>
      <c r="AC52" s="131"/>
      <c r="AD52" s="131"/>
      <c r="AE52" s="131"/>
      <c r="AF52" s="131"/>
      <c r="AG52" s="84"/>
      <c r="AH52" s="131"/>
      <c r="AI52" s="84"/>
      <c r="AJ52" s="131"/>
      <c r="AK52" s="84"/>
      <c r="AL52" s="84"/>
      <c r="AM52" s="85"/>
      <c r="AN52" s="84"/>
      <c r="AO52" s="85"/>
      <c r="AP52" s="84"/>
      <c r="AQ52" s="84"/>
      <c r="AR52" s="85"/>
      <c r="AS52" s="85"/>
      <c r="AT52" s="85"/>
      <c r="AU52" s="85"/>
      <c r="AV52" s="84"/>
      <c r="AW52" s="85"/>
      <c r="AX52" s="84"/>
      <c r="AY52" s="85"/>
      <c r="AZ52" s="84"/>
      <c r="BA52" s="84"/>
      <c r="BB52" s="85"/>
      <c r="BC52" s="84"/>
      <c r="BD52" s="84"/>
      <c r="BE52" s="84"/>
      <c r="BF52" s="84"/>
      <c r="BG52" s="85"/>
      <c r="BH52" s="84"/>
      <c r="BI52" s="84"/>
      <c r="BJ52" s="84"/>
    </row>
    <row r="53" spans="1:62" hidden="1" x14ac:dyDescent="0.2">
      <c r="A53" s="84"/>
      <c r="B53" s="84"/>
      <c r="C53" s="226"/>
      <c r="D53" s="226"/>
      <c r="E53" s="84"/>
      <c r="F53" s="84"/>
      <c r="G53" s="84"/>
      <c r="H53" s="84"/>
      <c r="I53" s="84"/>
      <c r="J53" s="131"/>
      <c r="K53" s="131"/>
      <c r="L53" s="131"/>
      <c r="M53" s="131"/>
      <c r="N53" s="131"/>
      <c r="O53" s="131"/>
      <c r="P53" s="131"/>
      <c r="Q53" s="131"/>
      <c r="R53" s="131"/>
      <c r="S53" s="84"/>
      <c r="T53" s="131"/>
      <c r="U53" s="84"/>
      <c r="V53" s="84"/>
      <c r="W53" s="131"/>
      <c r="X53" s="131"/>
      <c r="Y53" s="131"/>
      <c r="Z53" s="131"/>
      <c r="AA53" s="131"/>
      <c r="AB53" s="131"/>
      <c r="AC53" s="131"/>
      <c r="AD53" s="131"/>
      <c r="AE53" s="131"/>
      <c r="AF53" s="131"/>
      <c r="AG53" s="84"/>
      <c r="AH53" s="131"/>
      <c r="AI53" s="84"/>
      <c r="AJ53" s="131"/>
      <c r="AK53" s="84"/>
      <c r="AL53" s="84"/>
      <c r="AM53" s="85"/>
      <c r="AN53" s="84"/>
      <c r="AO53" s="85"/>
      <c r="AP53" s="84"/>
      <c r="AQ53" s="84"/>
      <c r="AR53" s="85"/>
      <c r="AS53" s="85"/>
      <c r="AT53" s="85"/>
      <c r="AU53" s="85"/>
      <c r="AV53" s="84"/>
      <c r="AW53" s="85"/>
      <c r="AX53" s="84"/>
      <c r="AY53" s="85"/>
      <c r="AZ53" s="84"/>
      <c r="BA53" s="84"/>
      <c r="BB53" s="85"/>
      <c r="BC53" s="84"/>
      <c r="BD53" s="84"/>
      <c r="BE53" s="84"/>
      <c r="BF53" s="84"/>
      <c r="BG53" s="85"/>
      <c r="BH53" s="84"/>
      <c r="BI53" s="84"/>
      <c r="BJ53" s="84"/>
    </row>
    <row r="54" spans="1:62" hidden="1" x14ac:dyDescent="0.2">
      <c r="A54" s="84"/>
      <c r="B54" s="84"/>
      <c r="C54" s="226"/>
      <c r="D54" s="226"/>
      <c r="E54" s="84"/>
      <c r="F54" s="84"/>
      <c r="G54" s="84"/>
      <c r="H54" s="84"/>
      <c r="I54" s="84"/>
      <c r="J54" s="131"/>
      <c r="K54" s="131"/>
      <c r="L54" s="131"/>
      <c r="M54" s="131"/>
      <c r="N54" s="131"/>
      <c r="O54" s="131"/>
      <c r="P54" s="131"/>
      <c r="Q54" s="131"/>
      <c r="R54" s="131"/>
      <c r="S54" s="84"/>
      <c r="T54" s="131"/>
      <c r="U54" s="84"/>
      <c r="V54" s="84"/>
      <c r="W54" s="131"/>
      <c r="X54" s="131"/>
      <c r="Y54" s="131"/>
      <c r="Z54" s="131"/>
      <c r="AA54" s="131"/>
      <c r="AB54" s="131"/>
      <c r="AC54" s="131"/>
      <c r="AD54" s="131"/>
      <c r="AE54" s="131"/>
      <c r="AF54" s="131"/>
      <c r="AG54" s="84"/>
      <c r="AH54" s="131"/>
      <c r="AI54" s="84"/>
      <c r="AJ54" s="131"/>
      <c r="AK54" s="84"/>
      <c r="AL54" s="84"/>
      <c r="AM54" s="85"/>
      <c r="AN54" s="84"/>
      <c r="AO54" s="85"/>
      <c r="AP54" s="84"/>
      <c r="AQ54" s="84"/>
      <c r="AR54" s="85"/>
      <c r="AS54" s="85"/>
      <c r="AT54" s="85"/>
      <c r="AU54" s="85"/>
      <c r="AV54" s="84"/>
      <c r="AW54" s="85"/>
      <c r="AX54" s="84"/>
      <c r="AY54" s="85"/>
      <c r="AZ54" s="84"/>
      <c r="BA54" s="84"/>
      <c r="BB54" s="85"/>
      <c r="BC54" s="84"/>
      <c r="BD54" s="84"/>
      <c r="BE54" s="84"/>
      <c r="BF54" s="84"/>
      <c r="BG54" s="85"/>
      <c r="BH54" s="84"/>
      <c r="BI54" s="84"/>
      <c r="BJ54" s="84"/>
    </row>
    <row r="55" spans="1:62" hidden="1" x14ac:dyDescent="0.2">
      <c r="A55" s="84"/>
      <c r="B55" s="84"/>
      <c r="C55" s="226"/>
      <c r="D55" s="226"/>
      <c r="E55" s="84"/>
      <c r="F55" s="84"/>
      <c r="G55" s="84"/>
      <c r="H55" s="84"/>
      <c r="I55" s="84"/>
      <c r="J55" s="131"/>
      <c r="K55" s="131"/>
      <c r="L55" s="131"/>
      <c r="M55" s="131"/>
      <c r="N55" s="131"/>
      <c r="O55" s="131"/>
      <c r="P55" s="131"/>
      <c r="Q55" s="131"/>
      <c r="R55" s="131"/>
      <c r="S55" s="84"/>
      <c r="T55" s="131"/>
      <c r="U55" s="84"/>
      <c r="V55" s="84"/>
      <c r="W55" s="131"/>
      <c r="X55" s="131"/>
      <c r="Y55" s="131"/>
      <c r="Z55" s="131"/>
      <c r="AA55" s="131"/>
      <c r="AB55" s="131"/>
      <c r="AC55" s="131"/>
      <c r="AD55" s="131"/>
      <c r="AE55" s="131"/>
      <c r="AF55" s="131"/>
      <c r="AG55" s="84"/>
      <c r="AH55" s="131"/>
      <c r="AI55" s="84"/>
      <c r="AJ55" s="131"/>
      <c r="AK55" s="84"/>
      <c r="AL55" s="84"/>
      <c r="AM55" s="85"/>
      <c r="AN55" s="84"/>
      <c r="AO55" s="85"/>
      <c r="AP55" s="84"/>
      <c r="AQ55" s="84"/>
      <c r="AR55" s="85"/>
      <c r="AS55" s="85"/>
      <c r="AT55" s="85"/>
      <c r="AU55" s="85"/>
      <c r="AV55" s="84"/>
      <c r="AW55" s="85"/>
      <c r="AX55" s="84"/>
      <c r="AY55" s="85"/>
      <c r="AZ55" s="84"/>
      <c r="BA55" s="84"/>
      <c r="BB55" s="85"/>
      <c r="BC55" s="84"/>
      <c r="BD55" s="84"/>
      <c r="BE55" s="84"/>
      <c r="BF55" s="84"/>
      <c r="BG55" s="85"/>
      <c r="BH55" s="84"/>
      <c r="BI55" s="84"/>
      <c r="BJ55" s="84"/>
    </row>
    <row r="56" spans="1:62" hidden="1" x14ac:dyDescent="0.2">
      <c r="A56" s="84"/>
      <c r="B56" s="84"/>
      <c r="C56" s="226"/>
      <c r="D56" s="226"/>
      <c r="E56" s="84"/>
      <c r="F56" s="84"/>
      <c r="G56" s="84"/>
      <c r="H56" s="84"/>
      <c r="I56" s="84"/>
      <c r="J56" s="131"/>
      <c r="K56" s="131"/>
      <c r="L56" s="131"/>
      <c r="M56" s="131"/>
      <c r="N56" s="131"/>
      <c r="O56" s="131"/>
      <c r="P56" s="131"/>
      <c r="Q56" s="131"/>
      <c r="R56" s="131"/>
      <c r="S56" s="84"/>
      <c r="T56" s="131"/>
      <c r="U56" s="84"/>
      <c r="V56" s="84"/>
      <c r="W56" s="131"/>
      <c r="X56" s="131"/>
      <c r="Y56" s="131"/>
      <c r="Z56" s="131"/>
      <c r="AA56" s="131"/>
      <c r="AB56" s="131"/>
      <c r="AC56" s="131"/>
      <c r="AD56" s="131"/>
      <c r="AE56" s="131"/>
      <c r="AF56" s="131"/>
      <c r="AG56" s="84"/>
      <c r="AH56" s="131"/>
      <c r="AI56" s="84"/>
      <c r="AJ56" s="131"/>
      <c r="AK56" s="84"/>
      <c r="AL56" s="84"/>
      <c r="AM56" s="85"/>
      <c r="AN56" s="84"/>
      <c r="AO56" s="85"/>
      <c r="AP56" s="84"/>
      <c r="AQ56" s="84"/>
      <c r="AR56" s="85"/>
      <c r="AS56" s="85"/>
      <c r="AT56" s="85"/>
      <c r="AU56" s="85"/>
      <c r="AV56" s="84"/>
      <c r="AW56" s="85"/>
      <c r="AX56" s="84"/>
      <c r="AY56" s="85"/>
      <c r="AZ56" s="84"/>
      <c r="BA56" s="84"/>
      <c r="BB56" s="85"/>
      <c r="BC56" s="84"/>
      <c r="BD56" s="84"/>
      <c r="BE56" s="84"/>
      <c r="BF56" s="84"/>
      <c r="BG56" s="85"/>
      <c r="BH56" s="84"/>
      <c r="BI56" s="84"/>
      <c r="BJ56" s="84"/>
    </row>
    <row r="57" spans="1:62" hidden="1" x14ac:dyDescent="0.2">
      <c r="A57" s="84"/>
      <c r="B57" s="84"/>
      <c r="C57" s="226"/>
      <c r="D57" s="226"/>
      <c r="E57" s="84"/>
      <c r="F57" s="84"/>
      <c r="G57" s="84"/>
      <c r="H57" s="84"/>
      <c r="I57" s="84"/>
      <c r="J57" s="131"/>
      <c r="K57" s="131"/>
      <c r="L57" s="131"/>
      <c r="M57" s="131"/>
      <c r="N57" s="131"/>
      <c r="O57" s="131"/>
      <c r="P57" s="131"/>
      <c r="Q57" s="131"/>
      <c r="R57" s="131"/>
      <c r="S57" s="84"/>
      <c r="T57" s="131"/>
      <c r="U57" s="84"/>
      <c r="V57" s="84"/>
      <c r="W57" s="131"/>
      <c r="X57" s="131"/>
      <c r="Y57" s="131"/>
      <c r="Z57" s="131"/>
      <c r="AA57" s="131"/>
      <c r="AB57" s="131"/>
      <c r="AC57" s="131"/>
      <c r="AD57" s="131"/>
      <c r="AE57" s="131"/>
      <c r="AF57" s="131"/>
      <c r="AG57" s="84"/>
      <c r="AH57" s="131"/>
      <c r="AI57" s="84"/>
      <c r="AJ57" s="131"/>
      <c r="AK57" s="84"/>
      <c r="AL57" s="84"/>
      <c r="AM57" s="85"/>
      <c r="AN57" s="84"/>
      <c r="AO57" s="85"/>
      <c r="AP57" s="84"/>
      <c r="AQ57" s="84"/>
      <c r="AR57" s="85"/>
      <c r="AS57" s="85"/>
      <c r="AT57" s="85"/>
      <c r="AU57" s="85"/>
      <c r="AV57" s="84"/>
      <c r="AW57" s="85"/>
      <c r="AX57" s="84"/>
      <c r="AY57" s="85"/>
      <c r="AZ57" s="84"/>
      <c r="BA57" s="84"/>
      <c r="BB57" s="85"/>
      <c r="BC57" s="84"/>
      <c r="BD57" s="84"/>
      <c r="BE57" s="84"/>
      <c r="BF57" s="84"/>
      <c r="BG57" s="85"/>
      <c r="BH57" s="84"/>
      <c r="BI57" s="84"/>
      <c r="BJ57" s="84"/>
    </row>
    <row r="58" spans="1:62" hidden="1" x14ac:dyDescent="0.2">
      <c r="A58" s="84"/>
      <c r="B58" s="84"/>
      <c r="C58" s="226"/>
      <c r="D58" s="226"/>
      <c r="E58" s="84"/>
      <c r="F58" s="84"/>
      <c r="G58" s="84"/>
      <c r="H58" s="84"/>
      <c r="I58" s="84"/>
      <c r="J58" s="131"/>
      <c r="K58" s="131"/>
      <c r="L58" s="131"/>
      <c r="M58" s="131"/>
      <c r="N58" s="131"/>
      <c r="O58" s="131"/>
      <c r="P58" s="131"/>
      <c r="Q58" s="131"/>
      <c r="R58" s="131"/>
      <c r="S58" s="84"/>
      <c r="T58" s="131"/>
      <c r="U58" s="84"/>
      <c r="V58" s="84"/>
      <c r="W58" s="131"/>
      <c r="X58" s="131"/>
      <c r="Y58" s="131"/>
      <c r="Z58" s="131"/>
      <c r="AA58" s="131"/>
      <c r="AB58" s="131"/>
      <c r="AC58" s="131"/>
      <c r="AD58" s="131"/>
      <c r="AE58" s="131"/>
      <c r="AF58" s="131"/>
      <c r="AG58" s="84"/>
      <c r="AH58" s="131"/>
      <c r="AI58" s="84"/>
      <c r="AJ58" s="131"/>
      <c r="AK58" s="84"/>
      <c r="AL58" s="84"/>
      <c r="AM58" s="85"/>
      <c r="AN58" s="84"/>
      <c r="AO58" s="85"/>
      <c r="AP58" s="84"/>
      <c r="AQ58" s="84"/>
      <c r="AR58" s="85"/>
      <c r="AS58" s="85"/>
      <c r="AT58" s="85"/>
      <c r="AU58" s="85"/>
      <c r="AV58" s="84"/>
      <c r="AW58" s="85"/>
      <c r="AX58" s="84"/>
      <c r="AY58" s="85"/>
      <c r="AZ58" s="84"/>
      <c r="BA58" s="84"/>
      <c r="BB58" s="85"/>
      <c r="BC58" s="84"/>
      <c r="BD58" s="84"/>
      <c r="BE58" s="84"/>
      <c r="BF58" s="84"/>
      <c r="BG58" s="85"/>
      <c r="BH58" s="84"/>
      <c r="BI58" s="84"/>
      <c r="BJ58" s="84"/>
    </row>
    <row r="59" spans="1:62" hidden="1" x14ac:dyDescent="0.2">
      <c r="A59" s="84"/>
      <c r="B59" s="84"/>
      <c r="C59" s="226"/>
      <c r="D59" s="226"/>
      <c r="E59" s="84"/>
      <c r="F59" s="84"/>
      <c r="G59" s="84"/>
      <c r="H59" s="84"/>
      <c r="I59" s="84"/>
      <c r="J59" s="131"/>
      <c r="K59" s="131"/>
      <c r="L59" s="131"/>
      <c r="M59" s="131"/>
      <c r="N59" s="131"/>
      <c r="O59" s="131"/>
      <c r="P59" s="131"/>
      <c r="Q59" s="131"/>
      <c r="R59" s="131"/>
      <c r="S59" s="84"/>
      <c r="T59" s="131"/>
      <c r="U59" s="84"/>
      <c r="V59" s="84"/>
      <c r="W59" s="131"/>
      <c r="X59" s="131"/>
      <c r="Y59" s="131"/>
      <c r="Z59" s="131"/>
      <c r="AA59" s="131"/>
      <c r="AB59" s="131"/>
      <c r="AC59" s="131"/>
      <c r="AD59" s="131"/>
      <c r="AE59" s="131"/>
      <c r="AF59" s="131"/>
      <c r="AG59" s="84"/>
      <c r="AH59" s="131"/>
      <c r="AI59" s="84"/>
      <c r="AJ59" s="131"/>
      <c r="AK59" s="84"/>
      <c r="AL59" s="84"/>
      <c r="AM59" s="85"/>
      <c r="AN59" s="84"/>
      <c r="AO59" s="85"/>
      <c r="AP59" s="84"/>
      <c r="AQ59" s="84"/>
      <c r="AR59" s="85"/>
      <c r="AS59" s="85"/>
      <c r="AT59" s="85"/>
      <c r="AU59" s="85"/>
      <c r="AV59" s="84"/>
      <c r="AW59" s="85"/>
      <c r="AX59" s="84"/>
      <c r="AY59" s="85"/>
      <c r="AZ59" s="84"/>
      <c r="BA59" s="84"/>
      <c r="BB59" s="85"/>
      <c r="BC59" s="84"/>
      <c r="BD59" s="84"/>
      <c r="BE59" s="84"/>
      <c r="BF59" s="84"/>
      <c r="BG59" s="85"/>
      <c r="BH59" s="84"/>
      <c r="BI59" s="84"/>
      <c r="BJ59" s="84"/>
    </row>
    <row r="60" spans="1:62" hidden="1" x14ac:dyDescent="0.2">
      <c r="A60" s="84"/>
      <c r="B60" s="84"/>
      <c r="C60" s="226"/>
      <c r="D60" s="226"/>
      <c r="E60" s="84"/>
      <c r="F60" s="84"/>
      <c r="G60" s="84"/>
      <c r="H60" s="84"/>
      <c r="I60" s="84"/>
      <c r="J60" s="131"/>
      <c r="K60" s="131"/>
      <c r="L60" s="131"/>
      <c r="M60" s="131"/>
      <c r="N60" s="131"/>
      <c r="O60" s="131"/>
      <c r="P60" s="131"/>
      <c r="Q60" s="131"/>
      <c r="R60" s="131"/>
      <c r="S60" s="84"/>
      <c r="T60" s="131"/>
      <c r="U60" s="84"/>
      <c r="V60" s="84"/>
      <c r="W60" s="131"/>
      <c r="X60" s="131"/>
      <c r="Y60" s="131"/>
      <c r="Z60" s="131"/>
      <c r="AA60" s="131"/>
      <c r="AB60" s="131"/>
      <c r="AC60" s="131"/>
      <c r="AD60" s="131"/>
      <c r="AE60" s="131"/>
      <c r="AF60" s="131"/>
      <c r="AG60" s="84"/>
      <c r="AH60" s="131"/>
      <c r="AI60" s="84"/>
      <c r="AJ60" s="131"/>
      <c r="AK60" s="84"/>
      <c r="AL60" s="84"/>
      <c r="AM60" s="85"/>
      <c r="AN60" s="84"/>
      <c r="AO60" s="85"/>
      <c r="AP60" s="84"/>
      <c r="AQ60" s="84"/>
      <c r="AR60" s="85"/>
      <c r="AS60" s="85"/>
      <c r="AT60" s="85"/>
      <c r="AU60" s="85"/>
      <c r="AV60" s="84"/>
      <c r="AW60" s="85"/>
      <c r="AX60" s="84"/>
      <c r="AY60" s="85"/>
      <c r="AZ60" s="84"/>
      <c r="BA60" s="84"/>
      <c r="BB60" s="85"/>
      <c r="BC60" s="84"/>
      <c r="BD60" s="84"/>
      <c r="BE60" s="84"/>
      <c r="BF60" s="84"/>
      <c r="BG60" s="85"/>
      <c r="BH60" s="84"/>
      <c r="BI60" s="84"/>
      <c r="BJ60" s="84"/>
    </row>
  </sheetData>
  <mergeCells count="18">
    <mergeCell ref="BB3:BE4"/>
    <mergeCell ref="BG2:BH2"/>
    <mergeCell ref="B2:E5"/>
    <mergeCell ref="BG3:BH4"/>
    <mergeCell ref="J3:U4"/>
    <mergeCell ref="H2:H4"/>
    <mergeCell ref="AM3:AP4"/>
    <mergeCell ref="AR3:AU4"/>
    <mergeCell ref="AM2:AP2"/>
    <mergeCell ref="W2:AF2"/>
    <mergeCell ref="AW2:AZ2"/>
    <mergeCell ref="AW3:AZ4"/>
    <mergeCell ref="J2:U2"/>
    <mergeCell ref="AH2:AK2"/>
    <mergeCell ref="AH3:AK4"/>
    <mergeCell ref="AR2:AU2"/>
    <mergeCell ref="W3:AF4"/>
    <mergeCell ref="BB2:BE2"/>
  </mergeCells>
  <conditionalFormatting sqref="J33:U33">
    <cfRule type="cellIs" dxfId="22" priority="1" operator="lessThan">
      <formula>0</formula>
    </cfRule>
  </conditionalFormatting>
  <conditionalFormatting sqref="W33:AF33">
    <cfRule type="cellIs" dxfId="21" priority="5" operator="lessThan">
      <formula>0</formula>
    </cfRule>
  </conditionalFormatting>
  <conditionalFormatting sqref="AH33:AK33">
    <cfRule type="cellIs" dxfId="20" priority="17" operator="lessThan">
      <formula>0</formula>
    </cfRule>
  </conditionalFormatting>
  <conditionalFormatting sqref="AM33:AP33">
    <cfRule type="cellIs" dxfId="19" priority="62" operator="lessThan">
      <formula>0</formula>
    </cfRule>
  </conditionalFormatting>
  <conditionalFormatting sqref="AR33:AU33">
    <cfRule type="cellIs" dxfId="18" priority="4" operator="lessThan">
      <formula>0</formula>
    </cfRule>
  </conditionalFormatting>
  <conditionalFormatting sqref="AW33:AZ33">
    <cfRule type="cellIs" dxfId="17" priority="60" operator="lessThan">
      <formula>0</formula>
    </cfRule>
  </conditionalFormatting>
  <conditionalFormatting sqref="BB33:BE33">
    <cfRule type="cellIs" dxfId="16" priority="3" operator="lessThan">
      <formula>0</formula>
    </cfRule>
  </conditionalFormatting>
  <conditionalFormatting sqref="BG33:BH33">
    <cfRule type="cellIs" dxfId="15" priority="58" operator="lessThan">
      <formula>0</formula>
    </cfRule>
  </conditionalFormatting>
  <dataValidations count="1">
    <dataValidation type="list" allowBlank="1" showInputMessage="1" showErrorMessage="1" sqref="BB2" xr:uid="{00000000-0002-0000-0200-000000000000}">
      <formula1>#REF!</formula1>
    </dataValidation>
  </dataValidations>
  <pageMargins left="0.25" right="0.25" top="0.75" bottom="0.75" header="0.3" footer="0.3"/>
  <pageSetup scale="66"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8676" r:id="rId4" name="Check Box 4">
              <controlPr defaultSize="0" autoFill="0" autoLine="0" autoPict="0">
                <anchor moveWithCells="1">
                  <from>
                    <xdr:col>1</xdr:col>
                    <xdr:colOff>76200</xdr:colOff>
                    <xdr:row>6</xdr:row>
                    <xdr:rowOff>19050</xdr:rowOff>
                  </from>
                  <to>
                    <xdr:col>1</xdr:col>
                    <xdr:colOff>314325</xdr:colOff>
                    <xdr:row>6</xdr:row>
                    <xdr:rowOff>171450</xdr:rowOff>
                  </to>
                </anchor>
              </controlPr>
            </control>
          </mc:Choice>
        </mc:AlternateContent>
        <mc:AlternateContent xmlns:mc="http://schemas.openxmlformats.org/markup-compatibility/2006">
          <mc:Choice Requires="x14">
            <control shapeId="28678" r:id="rId5" name="Check Box 6">
              <controlPr defaultSize="0" autoFill="0" autoLine="0" autoPict="0">
                <anchor moveWithCells="1">
                  <from>
                    <xdr:col>1</xdr:col>
                    <xdr:colOff>66675</xdr:colOff>
                    <xdr:row>7</xdr:row>
                    <xdr:rowOff>9525</xdr:rowOff>
                  </from>
                  <to>
                    <xdr:col>1</xdr:col>
                    <xdr:colOff>304800</xdr:colOff>
                    <xdr:row>7</xdr:row>
                    <xdr:rowOff>161925</xdr:rowOff>
                  </to>
                </anchor>
              </controlPr>
            </control>
          </mc:Choice>
        </mc:AlternateContent>
        <mc:AlternateContent xmlns:mc="http://schemas.openxmlformats.org/markup-compatibility/2006">
          <mc:Choice Requires="x14">
            <control shapeId="28679" r:id="rId6" name="Check Box 7">
              <controlPr defaultSize="0" autoFill="0" autoLine="0" autoPict="0">
                <anchor moveWithCells="1">
                  <from>
                    <xdr:col>1</xdr:col>
                    <xdr:colOff>66675</xdr:colOff>
                    <xdr:row>8</xdr:row>
                    <xdr:rowOff>9525</xdr:rowOff>
                  </from>
                  <to>
                    <xdr:col>1</xdr:col>
                    <xdr:colOff>304800</xdr:colOff>
                    <xdr:row>8</xdr:row>
                    <xdr:rowOff>161925</xdr:rowOff>
                  </to>
                </anchor>
              </controlPr>
            </control>
          </mc:Choice>
        </mc:AlternateContent>
        <mc:AlternateContent xmlns:mc="http://schemas.openxmlformats.org/markup-compatibility/2006">
          <mc:Choice Requires="x14">
            <control shapeId="28680" r:id="rId7" name="Check Box 8">
              <controlPr defaultSize="0" autoFill="0" autoLine="0" autoPict="0">
                <anchor moveWithCells="1">
                  <from>
                    <xdr:col>1</xdr:col>
                    <xdr:colOff>57150</xdr:colOff>
                    <xdr:row>9</xdr:row>
                    <xdr:rowOff>9525</xdr:rowOff>
                  </from>
                  <to>
                    <xdr:col>1</xdr:col>
                    <xdr:colOff>304800</xdr:colOff>
                    <xdr:row>9</xdr:row>
                    <xdr:rowOff>161925</xdr:rowOff>
                  </to>
                </anchor>
              </controlPr>
            </control>
          </mc:Choice>
        </mc:AlternateContent>
        <mc:AlternateContent xmlns:mc="http://schemas.openxmlformats.org/markup-compatibility/2006">
          <mc:Choice Requires="x14">
            <control shapeId="28681" r:id="rId8" name="Check Box 9">
              <controlPr defaultSize="0" autoFill="0" autoLine="0" autoPict="0">
                <anchor moveWithCells="1">
                  <from>
                    <xdr:col>1</xdr:col>
                    <xdr:colOff>66675</xdr:colOff>
                    <xdr:row>10</xdr:row>
                    <xdr:rowOff>9525</xdr:rowOff>
                  </from>
                  <to>
                    <xdr:col>1</xdr:col>
                    <xdr:colOff>304800</xdr:colOff>
                    <xdr:row>10</xdr:row>
                    <xdr:rowOff>161925</xdr:rowOff>
                  </to>
                </anchor>
              </controlPr>
            </control>
          </mc:Choice>
        </mc:AlternateContent>
        <mc:AlternateContent xmlns:mc="http://schemas.openxmlformats.org/markup-compatibility/2006">
          <mc:Choice Requires="x14">
            <control shapeId="28682" r:id="rId9" name="Check Box 10">
              <controlPr defaultSize="0" autoFill="0" autoLine="0" autoPict="0">
                <anchor moveWithCells="1">
                  <from>
                    <xdr:col>1</xdr:col>
                    <xdr:colOff>57150</xdr:colOff>
                    <xdr:row>11</xdr:row>
                    <xdr:rowOff>9525</xdr:rowOff>
                  </from>
                  <to>
                    <xdr:col>1</xdr:col>
                    <xdr:colOff>304800</xdr:colOff>
                    <xdr:row>11</xdr:row>
                    <xdr:rowOff>161925</xdr:rowOff>
                  </to>
                </anchor>
              </controlPr>
            </control>
          </mc:Choice>
        </mc:AlternateContent>
        <mc:AlternateContent xmlns:mc="http://schemas.openxmlformats.org/markup-compatibility/2006">
          <mc:Choice Requires="x14">
            <control shapeId="28683" r:id="rId10" name="Check Box 11">
              <controlPr defaultSize="0" autoFill="0" autoLine="0" autoPict="0">
                <anchor moveWithCells="1">
                  <from>
                    <xdr:col>1</xdr:col>
                    <xdr:colOff>66675</xdr:colOff>
                    <xdr:row>12</xdr:row>
                    <xdr:rowOff>9525</xdr:rowOff>
                  </from>
                  <to>
                    <xdr:col>1</xdr:col>
                    <xdr:colOff>304800</xdr:colOff>
                    <xdr:row>12</xdr:row>
                    <xdr:rowOff>161925</xdr:rowOff>
                  </to>
                </anchor>
              </controlPr>
            </control>
          </mc:Choice>
        </mc:AlternateContent>
        <mc:AlternateContent xmlns:mc="http://schemas.openxmlformats.org/markup-compatibility/2006">
          <mc:Choice Requires="x14">
            <control shapeId="28684" r:id="rId11" name="Check Box 12">
              <controlPr defaultSize="0" autoFill="0" autoLine="0" autoPict="0">
                <anchor moveWithCells="1">
                  <from>
                    <xdr:col>1</xdr:col>
                    <xdr:colOff>66675</xdr:colOff>
                    <xdr:row>13</xdr:row>
                    <xdr:rowOff>9525</xdr:rowOff>
                  </from>
                  <to>
                    <xdr:col>1</xdr:col>
                    <xdr:colOff>304800</xdr:colOff>
                    <xdr:row>13</xdr:row>
                    <xdr:rowOff>161925</xdr:rowOff>
                  </to>
                </anchor>
              </controlPr>
            </control>
          </mc:Choice>
        </mc:AlternateContent>
        <mc:AlternateContent xmlns:mc="http://schemas.openxmlformats.org/markup-compatibility/2006">
          <mc:Choice Requires="x14">
            <control shapeId="28685" r:id="rId12" name="Check Box 13">
              <controlPr defaultSize="0" autoFill="0" autoLine="0" autoPict="0">
                <anchor moveWithCells="1">
                  <from>
                    <xdr:col>1</xdr:col>
                    <xdr:colOff>66675</xdr:colOff>
                    <xdr:row>14</xdr:row>
                    <xdr:rowOff>28575</xdr:rowOff>
                  </from>
                  <to>
                    <xdr:col>1</xdr:col>
                    <xdr:colOff>304800</xdr:colOff>
                    <xdr:row>15</xdr:row>
                    <xdr:rowOff>0</xdr:rowOff>
                  </to>
                </anchor>
              </controlPr>
            </control>
          </mc:Choice>
        </mc:AlternateContent>
        <mc:AlternateContent xmlns:mc="http://schemas.openxmlformats.org/markup-compatibility/2006">
          <mc:Choice Requires="x14">
            <control shapeId="28686" r:id="rId13" name="Check Box 14">
              <controlPr defaultSize="0" autoFill="0" autoLine="0" autoPict="0">
                <anchor moveWithCells="1">
                  <from>
                    <xdr:col>1</xdr:col>
                    <xdr:colOff>66675</xdr:colOff>
                    <xdr:row>15</xdr:row>
                    <xdr:rowOff>9525</xdr:rowOff>
                  </from>
                  <to>
                    <xdr:col>1</xdr:col>
                    <xdr:colOff>304800</xdr:colOff>
                    <xdr:row>15</xdr:row>
                    <xdr:rowOff>161925</xdr:rowOff>
                  </to>
                </anchor>
              </controlPr>
            </control>
          </mc:Choice>
        </mc:AlternateContent>
        <mc:AlternateContent xmlns:mc="http://schemas.openxmlformats.org/markup-compatibility/2006">
          <mc:Choice Requires="x14">
            <control shapeId="28687" r:id="rId14" name="Check Box 15">
              <controlPr defaultSize="0" autoFill="0" autoLine="0" autoPict="0">
                <anchor moveWithCells="1">
                  <from>
                    <xdr:col>1</xdr:col>
                    <xdr:colOff>66675</xdr:colOff>
                    <xdr:row>16</xdr:row>
                    <xdr:rowOff>9525</xdr:rowOff>
                  </from>
                  <to>
                    <xdr:col>1</xdr:col>
                    <xdr:colOff>304800</xdr:colOff>
                    <xdr:row>16</xdr:row>
                    <xdr:rowOff>161925</xdr:rowOff>
                  </to>
                </anchor>
              </controlPr>
            </control>
          </mc:Choice>
        </mc:AlternateContent>
        <mc:AlternateContent xmlns:mc="http://schemas.openxmlformats.org/markup-compatibility/2006">
          <mc:Choice Requires="x14">
            <control shapeId="28688" r:id="rId15" name="Check Box 16">
              <controlPr defaultSize="0" autoFill="0" autoLine="0" autoPict="0">
                <anchor moveWithCells="1">
                  <from>
                    <xdr:col>1</xdr:col>
                    <xdr:colOff>76200</xdr:colOff>
                    <xdr:row>17</xdr:row>
                    <xdr:rowOff>9525</xdr:rowOff>
                  </from>
                  <to>
                    <xdr:col>1</xdr:col>
                    <xdr:colOff>314325</xdr:colOff>
                    <xdr:row>17</xdr:row>
                    <xdr:rowOff>161925</xdr:rowOff>
                  </to>
                </anchor>
              </controlPr>
            </control>
          </mc:Choice>
        </mc:AlternateContent>
        <mc:AlternateContent xmlns:mc="http://schemas.openxmlformats.org/markup-compatibility/2006">
          <mc:Choice Requires="x14">
            <control shapeId="28689" r:id="rId16" name="Check Box 17">
              <controlPr defaultSize="0" autoFill="0" autoLine="0" autoPict="0">
                <anchor moveWithCells="1">
                  <from>
                    <xdr:col>1</xdr:col>
                    <xdr:colOff>66675</xdr:colOff>
                    <xdr:row>18</xdr:row>
                    <xdr:rowOff>19050</xdr:rowOff>
                  </from>
                  <to>
                    <xdr:col>1</xdr:col>
                    <xdr:colOff>304800</xdr:colOff>
                    <xdr:row>18</xdr:row>
                    <xdr:rowOff>171450</xdr:rowOff>
                  </to>
                </anchor>
              </controlPr>
            </control>
          </mc:Choice>
        </mc:AlternateContent>
        <mc:AlternateContent xmlns:mc="http://schemas.openxmlformats.org/markup-compatibility/2006">
          <mc:Choice Requires="x14">
            <control shapeId="28690" r:id="rId17" name="Check Box 18">
              <controlPr defaultSize="0" autoFill="0" autoLine="0" autoPict="0">
                <anchor moveWithCells="1">
                  <from>
                    <xdr:col>1</xdr:col>
                    <xdr:colOff>66675</xdr:colOff>
                    <xdr:row>19</xdr:row>
                    <xdr:rowOff>19050</xdr:rowOff>
                  </from>
                  <to>
                    <xdr:col>1</xdr:col>
                    <xdr:colOff>304800</xdr:colOff>
                    <xdr:row>19</xdr:row>
                    <xdr:rowOff>171450</xdr:rowOff>
                  </to>
                </anchor>
              </controlPr>
            </control>
          </mc:Choice>
        </mc:AlternateContent>
        <mc:AlternateContent xmlns:mc="http://schemas.openxmlformats.org/markup-compatibility/2006">
          <mc:Choice Requires="x14">
            <control shapeId="28691" r:id="rId18" name="Check Box 19">
              <controlPr defaultSize="0" autoFill="0" autoLine="0" autoPict="0">
                <anchor moveWithCells="1">
                  <from>
                    <xdr:col>1</xdr:col>
                    <xdr:colOff>66675</xdr:colOff>
                    <xdr:row>20</xdr:row>
                    <xdr:rowOff>9525</xdr:rowOff>
                  </from>
                  <to>
                    <xdr:col>1</xdr:col>
                    <xdr:colOff>304800</xdr:colOff>
                    <xdr:row>20</xdr:row>
                    <xdr:rowOff>161925</xdr:rowOff>
                  </to>
                </anchor>
              </controlPr>
            </control>
          </mc:Choice>
        </mc:AlternateContent>
        <mc:AlternateContent xmlns:mc="http://schemas.openxmlformats.org/markup-compatibility/2006">
          <mc:Choice Requires="x14">
            <control shapeId="28692" r:id="rId19" name="Check Box 20">
              <controlPr defaultSize="0" autoFill="0" autoLine="0" autoPict="0">
                <anchor moveWithCells="1">
                  <from>
                    <xdr:col>1</xdr:col>
                    <xdr:colOff>76200</xdr:colOff>
                    <xdr:row>21</xdr:row>
                    <xdr:rowOff>9525</xdr:rowOff>
                  </from>
                  <to>
                    <xdr:col>1</xdr:col>
                    <xdr:colOff>314325</xdr:colOff>
                    <xdr:row>21</xdr:row>
                    <xdr:rowOff>161925</xdr:rowOff>
                  </to>
                </anchor>
              </controlPr>
            </control>
          </mc:Choice>
        </mc:AlternateContent>
        <mc:AlternateContent xmlns:mc="http://schemas.openxmlformats.org/markup-compatibility/2006">
          <mc:Choice Requires="x14">
            <control shapeId="28693" r:id="rId20" name="Check Box 21">
              <controlPr defaultSize="0" autoFill="0" autoLine="0" autoPict="0">
                <anchor moveWithCells="1">
                  <from>
                    <xdr:col>1</xdr:col>
                    <xdr:colOff>66675</xdr:colOff>
                    <xdr:row>22</xdr:row>
                    <xdr:rowOff>9525</xdr:rowOff>
                  </from>
                  <to>
                    <xdr:col>1</xdr:col>
                    <xdr:colOff>304800</xdr:colOff>
                    <xdr:row>22</xdr:row>
                    <xdr:rowOff>161925</xdr:rowOff>
                  </to>
                </anchor>
              </controlPr>
            </control>
          </mc:Choice>
        </mc:AlternateContent>
        <mc:AlternateContent xmlns:mc="http://schemas.openxmlformats.org/markup-compatibility/2006">
          <mc:Choice Requires="x14">
            <control shapeId="28694" r:id="rId21" name="Check Box 22">
              <controlPr defaultSize="0" autoFill="0" autoLine="0" autoPict="0">
                <anchor moveWithCells="1">
                  <from>
                    <xdr:col>1</xdr:col>
                    <xdr:colOff>57150</xdr:colOff>
                    <xdr:row>23</xdr:row>
                    <xdr:rowOff>28575</xdr:rowOff>
                  </from>
                  <to>
                    <xdr:col>1</xdr:col>
                    <xdr:colOff>304800</xdr:colOff>
                    <xdr:row>24</xdr:row>
                    <xdr:rowOff>0</xdr:rowOff>
                  </to>
                </anchor>
              </controlPr>
            </control>
          </mc:Choice>
        </mc:AlternateContent>
        <mc:AlternateContent xmlns:mc="http://schemas.openxmlformats.org/markup-compatibility/2006">
          <mc:Choice Requires="x14">
            <control shapeId="28695" r:id="rId22" name="Check Box 23">
              <controlPr defaultSize="0" autoFill="0" autoLine="0" autoPict="0">
                <anchor moveWithCells="1">
                  <from>
                    <xdr:col>1</xdr:col>
                    <xdr:colOff>38100</xdr:colOff>
                    <xdr:row>24</xdr:row>
                    <xdr:rowOff>28575</xdr:rowOff>
                  </from>
                  <to>
                    <xdr:col>1</xdr:col>
                    <xdr:colOff>276225</xdr:colOff>
                    <xdr:row>25</xdr:row>
                    <xdr:rowOff>0</xdr:rowOff>
                  </to>
                </anchor>
              </controlPr>
            </control>
          </mc:Choice>
        </mc:AlternateContent>
        <mc:AlternateContent xmlns:mc="http://schemas.openxmlformats.org/markup-compatibility/2006">
          <mc:Choice Requires="x14">
            <control shapeId="28696" r:id="rId23" name="Check Box 24">
              <controlPr defaultSize="0" autoFill="0" autoLine="0" autoPict="0">
                <anchor moveWithCells="1">
                  <from>
                    <xdr:col>1</xdr:col>
                    <xdr:colOff>57150</xdr:colOff>
                    <xdr:row>25</xdr:row>
                    <xdr:rowOff>9525</xdr:rowOff>
                  </from>
                  <to>
                    <xdr:col>1</xdr:col>
                    <xdr:colOff>304800</xdr:colOff>
                    <xdr:row>25</xdr:row>
                    <xdr:rowOff>161925</xdr:rowOff>
                  </to>
                </anchor>
              </controlPr>
            </control>
          </mc:Choice>
        </mc:AlternateContent>
        <mc:AlternateContent xmlns:mc="http://schemas.openxmlformats.org/markup-compatibility/2006">
          <mc:Choice Requires="x14">
            <control shapeId="28697" r:id="rId24" name="Check Box 25">
              <controlPr defaultSize="0" autoFill="0" autoLine="0" autoPict="0">
                <anchor moveWithCells="1">
                  <from>
                    <xdr:col>1</xdr:col>
                    <xdr:colOff>76200</xdr:colOff>
                    <xdr:row>26</xdr:row>
                    <xdr:rowOff>19050</xdr:rowOff>
                  </from>
                  <to>
                    <xdr:col>1</xdr:col>
                    <xdr:colOff>314325</xdr:colOff>
                    <xdr:row>26</xdr:row>
                    <xdr:rowOff>171450</xdr:rowOff>
                  </to>
                </anchor>
              </controlPr>
            </control>
          </mc:Choice>
        </mc:AlternateContent>
        <mc:AlternateContent xmlns:mc="http://schemas.openxmlformats.org/markup-compatibility/2006">
          <mc:Choice Requires="x14">
            <control shapeId="28698" r:id="rId25" name="Check Box 26">
              <controlPr defaultSize="0" autoFill="0" autoLine="0" autoPict="0">
                <anchor moveWithCells="1">
                  <from>
                    <xdr:col>1</xdr:col>
                    <xdr:colOff>66675</xdr:colOff>
                    <xdr:row>27</xdr:row>
                    <xdr:rowOff>28575</xdr:rowOff>
                  </from>
                  <to>
                    <xdr:col>1</xdr:col>
                    <xdr:colOff>304800</xdr:colOff>
                    <xdr:row>28</xdr:row>
                    <xdr:rowOff>0</xdr:rowOff>
                  </to>
                </anchor>
              </controlPr>
            </control>
          </mc:Choice>
        </mc:AlternateContent>
        <mc:AlternateContent xmlns:mc="http://schemas.openxmlformats.org/markup-compatibility/2006">
          <mc:Choice Requires="x14">
            <control shapeId="28699" r:id="rId26" name="Check Box 27">
              <controlPr defaultSize="0" autoFill="0" autoLine="0" autoPict="0">
                <anchor moveWithCells="1">
                  <from>
                    <xdr:col>1</xdr:col>
                    <xdr:colOff>95250</xdr:colOff>
                    <xdr:row>28</xdr:row>
                    <xdr:rowOff>0</xdr:rowOff>
                  </from>
                  <to>
                    <xdr:col>1</xdr:col>
                    <xdr:colOff>342900</xdr:colOff>
                    <xdr:row>28</xdr:row>
                    <xdr:rowOff>152400</xdr:rowOff>
                  </to>
                </anchor>
              </controlPr>
            </control>
          </mc:Choice>
        </mc:AlternateContent>
        <mc:AlternateContent xmlns:mc="http://schemas.openxmlformats.org/markup-compatibility/2006">
          <mc:Choice Requires="x14">
            <control shapeId="28700" r:id="rId27" name="Check Box 28">
              <controlPr defaultSize="0" autoFill="0" autoLine="0" autoPict="0">
                <anchor moveWithCells="1">
                  <from>
                    <xdr:col>1</xdr:col>
                    <xdr:colOff>95250</xdr:colOff>
                    <xdr:row>29</xdr:row>
                    <xdr:rowOff>9525</xdr:rowOff>
                  </from>
                  <to>
                    <xdr:col>1</xdr:col>
                    <xdr:colOff>342900</xdr:colOff>
                    <xdr:row>29</xdr:row>
                    <xdr:rowOff>161925</xdr:rowOff>
                  </to>
                </anchor>
              </controlPr>
            </control>
          </mc:Choice>
        </mc:AlternateContent>
        <mc:AlternateContent xmlns:mc="http://schemas.openxmlformats.org/markup-compatibility/2006">
          <mc:Choice Requires="x14">
            <control shapeId="28701" r:id="rId28" name="Check Box 29">
              <controlPr defaultSize="0" autoFill="0" autoLine="0" autoPict="0">
                <anchor moveWithCells="1">
                  <from>
                    <xdr:col>1</xdr:col>
                    <xdr:colOff>76200</xdr:colOff>
                    <xdr:row>30</xdr:row>
                    <xdr:rowOff>9525</xdr:rowOff>
                  </from>
                  <to>
                    <xdr:col>1</xdr:col>
                    <xdr:colOff>314325</xdr:colOff>
                    <xdr:row>30</xdr:row>
                    <xdr:rowOff>161925</xdr:rowOff>
                  </to>
                </anchor>
              </controlPr>
            </control>
          </mc:Choice>
        </mc:AlternateContent>
        <mc:AlternateContent xmlns:mc="http://schemas.openxmlformats.org/markup-compatibility/2006">
          <mc:Choice Requires="x14">
            <control shapeId="28702" r:id="rId29" name="Check Box 30">
              <controlPr defaultSize="0" autoFill="0" autoLine="0" autoPict="0">
                <anchor moveWithCells="1">
                  <from>
                    <xdr:col>1</xdr:col>
                    <xdr:colOff>76200</xdr:colOff>
                    <xdr:row>31</xdr:row>
                    <xdr:rowOff>0</xdr:rowOff>
                  </from>
                  <to>
                    <xdr:col>1</xdr:col>
                    <xdr:colOff>314325</xdr:colOff>
                    <xdr:row>31</xdr:row>
                    <xdr:rowOff>142875</xdr:rowOff>
                  </to>
                </anchor>
              </controlPr>
            </control>
          </mc:Choice>
        </mc:AlternateContent>
        <mc:AlternateContent xmlns:mc="http://schemas.openxmlformats.org/markup-compatibility/2006">
          <mc:Choice Requires="x14">
            <control shapeId="28703" r:id="rId30" name="Check Box 31">
              <controlPr defaultSize="0" autoFill="0" autoLine="0" autoPict="0">
                <anchor moveWithCells="1">
                  <from>
                    <xdr:col>1</xdr:col>
                    <xdr:colOff>28575</xdr:colOff>
                    <xdr:row>32</xdr:row>
                    <xdr:rowOff>9525</xdr:rowOff>
                  </from>
                  <to>
                    <xdr:col>1</xdr:col>
                    <xdr:colOff>266700</xdr:colOff>
                    <xdr:row>32</xdr:row>
                    <xdr:rowOff>161925</xdr:rowOff>
                  </to>
                </anchor>
              </controlPr>
            </control>
          </mc:Choice>
        </mc:AlternateContent>
        <mc:AlternateContent xmlns:mc="http://schemas.openxmlformats.org/markup-compatibility/2006">
          <mc:Choice Requires="x14">
            <control shapeId="28704" r:id="rId31" name="Check Box 32">
              <controlPr defaultSize="0" autoFill="0" autoLine="0" autoPict="0">
                <anchor moveWithCells="1">
                  <from>
                    <xdr:col>1</xdr:col>
                    <xdr:colOff>47625</xdr:colOff>
                    <xdr:row>33</xdr:row>
                    <xdr:rowOff>19050</xdr:rowOff>
                  </from>
                  <to>
                    <xdr:col>1</xdr:col>
                    <xdr:colOff>285750</xdr:colOff>
                    <xdr:row>33</xdr:row>
                    <xdr:rowOff>171450</xdr:rowOff>
                  </to>
                </anchor>
              </controlPr>
            </control>
          </mc:Choice>
        </mc:AlternateContent>
        <mc:AlternateContent xmlns:mc="http://schemas.openxmlformats.org/markup-compatibility/2006">
          <mc:Choice Requires="x14">
            <control shapeId="28705" r:id="rId32" name="Check Box 33">
              <controlPr defaultSize="0" autoFill="0" autoLine="0" autoPict="0">
                <anchor moveWithCells="1">
                  <from>
                    <xdr:col>1</xdr:col>
                    <xdr:colOff>28575</xdr:colOff>
                    <xdr:row>34</xdr:row>
                    <xdr:rowOff>19050</xdr:rowOff>
                  </from>
                  <to>
                    <xdr:col>1</xdr:col>
                    <xdr:colOff>266700</xdr:colOff>
                    <xdr:row>34</xdr:row>
                    <xdr:rowOff>171450</xdr:rowOff>
                  </to>
                </anchor>
              </controlPr>
            </control>
          </mc:Choice>
        </mc:AlternateContent>
        <mc:AlternateContent xmlns:mc="http://schemas.openxmlformats.org/markup-compatibility/2006">
          <mc:Choice Requires="x14">
            <control shapeId="28706" r:id="rId33" name="Check Box 34">
              <controlPr defaultSize="0" autoFill="0" autoLine="0" autoPict="0">
                <anchor moveWithCells="1">
                  <from>
                    <xdr:col>1</xdr:col>
                    <xdr:colOff>9525</xdr:colOff>
                    <xdr:row>35</xdr:row>
                    <xdr:rowOff>28575</xdr:rowOff>
                  </from>
                  <to>
                    <xdr:col>1</xdr:col>
                    <xdr:colOff>247650</xdr:colOff>
                    <xdr:row>36</xdr:row>
                    <xdr:rowOff>0</xdr:rowOff>
                  </to>
                </anchor>
              </controlPr>
            </control>
          </mc:Choice>
        </mc:AlternateContent>
        <mc:AlternateContent xmlns:mc="http://schemas.openxmlformats.org/markup-compatibility/2006">
          <mc:Choice Requires="x14">
            <control shapeId="28707" r:id="rId34" name="Check Box 35">
              <controlPr defaultSize="0" autoFill="0" autoLine="0" autoPict="0">
                <anchor moveWithCells="1">
                  <from>
                    <xdr:col>0</xdr:col>
                    <xdr:colOff>57150</xdr:colOff>
                    <xdr:row>36</xdr:row>
                    <xdr:rowOff>47625</xdr:rowOff>
                  </from>
                  <to>
                    <xdr:col>1</xdr:col>
                    <xdr:colOff>200025</xdr:colOff>
                    <xdr:row>37</xdr:row>
                    <xdr:rowOff>19050</xdr:rowOff>
                  </to>
                </anchor>
              </controlPr>
            </control>
          </mc:Choice>
        </mc:AlternateContent>
        <mc:AlternateContent xmlns:mc="http://schemas.openxmlformats.org/markup-compatibility/2006">
          <mc:Choice Requires="x14">
            <control shapeId="28708" r:id="rId35" name="Check Box 36">
              <controlPr defaultSize="0" autoFill="0" autoLine="0" autoPict="0">
                <anchor moveWithCells="1">
                  <from>
                    <xdr:col>0</xdr:col>
                    <xdr:colOff>76200</xdr:colOff>
                    <xdr:row>37</xdr:row>
                    <xdr:rowOff>28575</xdr:rowOff>
                  </from>
                  <to>
                    <xdr:col>1</xdr:col>
                    <xdr:colOff>219075</xdr:colOff>
                    <xdr:row>38</xdr:row>
                    <xdr:rowOff>0</xdr:rowOff>
                  </to>
                </anchor>
              </controlPr>
            </control>
          </mc:Choice>
        </mc:AlternateContent>
        <mc:AlternateContent xmlns:mc="http://schemas.openxmlformats.org/markup-compatibility/2006">
          <mc:Choice Requires="x14">
            <control shapeId="28709" r:id="rId36" name="Check Box 37">
              <controlPr defaultSize="0" autoFill="0" autoLine="0" autoPict="0">
                <anchor moveWithCells="1">
                  <from>
                    <xdr:col>1</xdr:col>
                    <xdr:colOff>38100</xdr:colOff>
                    <xdr:row>38</xdr:row>
                    <xdr:rowOff>9525</xdr:rowOff>
                  </from>
                  <to>
                    <xdr:col>1</xdr:col>
                    <xdr:colOff>276225</xdr:colOff>
                    <xdr:row>38</xdr:row>
                    <xdr:rowOff>161925</xdr:rowOff>
                  </to>
                </anchor>
              </controlPr>
            </control>
          </mc:Choice>
        </mc:AlternateContent>
        <mc:AlternateContent xmlns:mc="http://schemas.openxmlformats.org/markup-compatibility/2006">
          <mc:Choice Requires="x14">
            <control shapeId="28710" r:id="rId37" name="Check Box 38">
              <controlPr defaultSize="0" autoFill="0" autoLine="0" autoPict="0">
                <anchor moveWithCells="1">
                  <from>
                    <xdr:col>1</xdr:col>
                    <xdr:colOff>57150</xdr:colOff>
                    <xdr:row>39</xdr:row>
                    <xdr:rowOff>0</xdr:rowOff>
                  </from>
                  <to>
                    <xdr:col>1</xdr:col>
                    <xdr:colOff>304800</xdr:colOff>
                    <xdr:row>39</xdr:row>
                    <xdr:rowOff>142875</xdr:rowOff>
                  </to>
                </anchor>
              </controlPr>
            </control>
          </mc:Choice>
        </mc:AlternateContent>
        <mc:AlternateContent xmlns:mc="http://schemas.openxmlformats.org/markup-compatibility/2006">
          <mc:Choice Requires="x14">
            <control shapeId="28711" r:id="rId38" name="Check Box 39">
              <controlPr defaultSize="0" autoFill="0" autoLine="0" autoPict="0">
                <anchor moveWithCells="1">
                  <from>
                    <xdr:col>0</xdr:col>
                    <xdr:colOff>0</xdr:colOff>
                    <xdr:row>40</xdr:row>
                    <xdr:rowOff>19050</xdr:rowOff>
                  </from>
                  <to>
                    <xdr:col>1</xdr:col>
                    <xdr:colOff>142875</xdr:colOff>
                    <xdr:row>40</xdr:row>
                    <xdr:rowOff>171450</xdr:rowOff>
                  </to>
                </anchor>
              </controlPr>
            </control>
          </mc:Choice>
        </mc:AlternateContent>
        <mc:AlternateContent xmlns:mc="http://schemas.openxmlformats.org/markup-compatibility/2006">
          <mc:Choice Requires="x14">
            <control shapeId="28712" r:id="rId39" name="Check Box 40">
              <controlPr defaultSize="0" autoFill="0" autoLine="0" autoPict="0">
                <anchor moveWithCells="1">
                  <from>
                    <xdr:col>0</xdr:col>
                    <xdr:colOff>0</xdr:colOff>
                    <xdr:row>41</xdr:row>
                    <xdr:rowOff>19050</xdr:rowOff>
                  </from>
                  <to>
                    <xdr:col>1</xdr:col>
                    <xdr:colOff>142875</xdr:colOff>
                    <xdr:row>41</xdr:row>
                    <xdr:rowOff>171450</xdr:rowOff>
                  </to>
                </anchor>
              </controlPr>
            </control>
          </mc:Choice>
        </mc:AlternateContent>
        <mc:AlternateContent xmlns:mc="http://schemas.openxmlformats.org/markup-compatibility/2006">
          <mc:Choice Requires="x14">
            <control shapeId="28713" r:id="rId40" name="Check Box 41">
              <controlPr defaultSize="0" autoFill="0" autoLine="0" autoPict="0">
                <anchor moveWithCells="1">
                  <from>
                    <xdr:col>0</xdr:col>
                    <xdr:colOff>0</xdr:colOff>
                    <xdr:row>42</xdr:row>
                    <xdr:rowOff>19050</xdr:rowOff>
                  </from>
                  <to>
                    <xdr:col>1</xdr:col>
                    <xdr:colOff>142875</xdr:colOff>
                    <xdr:row>42</xdr:row>
                    <xdr:rowOff>171450</xdr:rowOff>
                  </to>
                </anchor>
              </controlPr>
            </control>
          </mc:Choice>
        </mc:AlternateContent>
        <mc:AlternateContent xmlns:mc="http://schemas.openxmlformats.org/markup-compatibility/2006">
          <mc:Choice Requires="x14">
            <control shapeId="28714" r:id="rId41" name="Check Box 42">
              <controlPr defaultSize="0" autoFill="0" autoLine="0" autoPict="0">
                <anchor moveWithCells="1">
                  <from>
                    <xdr:col>0</xdr:col>
                    <xdr:colOff>0</xdr:colOff>
                    <xdr:row>43</xdr:row>
                    <xdr:rowOff>19050</xdr:rowOff>
                  </from>
                  <to>
                    <xdr:col>1</xdr:col>
                    <xdr:colOff>142875</xdr:colOff>
                    <xdr:row>43</xdr:row>
                    <xdr:rowOff>171450</xdr:rowOff>
                  </to>
                </anchor>
              </controlPr>
            </control>
          </mc:Choice>
        </mc:AlternateContent>
        <mc:AlternateContent xmlns:mc="http://schemas.openxmlformats.org/markup-compatibility/2006">
          <mc:Choice Requires="x14">
            <control shapeId="28715" r:id="rId42" name="Check Box 43">
              <controlPr defaultSize="0" autoFill="0" autoLine="0" autoPict="0">
                <anchor moveWithCells="1">
                  <from>
                    <xdr:col>0</xdr:col>
                    <xdr:colOff>0</xdr:colOff>
                    <xdr:row>44</xdr:row>
                    <xdr:rowOff>19050</xdr:rowOff>
                  </from>
                  <to>
                    <xdr:col>1</xdr:col>
                    <xdr:colOff>142875</xdr:colOff>
                    <xdr:row>44</xdr:row>
                    <xdr:rowOff>171450</xdr:rowOff>
                  </to>
                </anchor>
              </controlPr>
            </control>
          </mc:Choice>
        </mc:AlternateContent>
        <mc:AlternateContent xmlns:mc="http://schemas.openxmlformats.org/markup-compatibility/2006">
          <mc:Choice Requires="x14">
            <control shapeId="28716" r:id="rId43" name="Check Box 44">
              <controlPr defaultSize="0" autoFill="0" autoLine="0" autoPict="0">
                <anchor moveWithCells="1">
                  <from>
                    <xdr:col>0</xdr:col>
                    <xdr:colOff>0</xdr:colOff>
                    <xdr:row>45</xdr:row>
                    <xdr:rowOff>19050</xdr:rowOff>
                  </from>
                  <to>
                    <xdr:col>1</xdr:col>
                    <xdr:colOff>142875</xdr:colOff>
                    <xdr:row>45</xdr:row>
                    <xdr:rowOff>171450</xdr:rowOff>
                  </to>
                </anchor>
              </controlPr>
            </control>
          </mc:Choice>
        </mc:AlternateContent>
        <mc:AlternateContent xmlns:mc="http://schemas.openxmlformats.org/markup-compatibility/2006">
          <mc:Choice Requires="x14">
            <control shapeId="28717" r:id="rId44" name="Check Box 45">
              <controlPr defaultSize="0" autoFill="0" autoLine="0" autoPict="0">
                <anchor moveWithCells="1">
                  <from>
                    <xdr:col>0</xdr:col>
                    <xdr:colOff>0</xdr:colOff>
                    <xdr:row>46</xdr:row>
                    <xdr:rowOff>19050</xdr:rowOff>
                  </from>
                  <to>
                    <xdr:col>1</xdr:col>
                    <xdr:colOff>142875</xdr:colOff>
                    <xdr:row>46</xdr:row>
                    <xdr:rowOff>171450</xdr:rowOff>
                  </to>
                </anchor>
              </controlPr>
            </control>
          </mc:Choice>
        </mc:AlternateContent>
        <mc:AlternateContent xmlns:mc="http://schemas.openxmlformats.org/markup-compatibility/2006">
          <mc:Choice Requires="x14">
            <control shapeId="28718" r:id="rId45" name="Check Box 46">
              <controlPr defaultSize="0" autoFill="0" autoLine="0" autoPict="0">
                <anchor moveWithCells="1">
                  <from>
                    <xdr:col>0</xdr:col>
                    <xdr:colOff>0</xdr:colOff>
                    <xdr:row>47</xdr:row>
                    <xdr:rowOff>19050</xdr:rowOff>
                  </from>
                  <to>
                    <xdr:col>1</xdr:col>
                    <xdr:colOff>142875</xdr:colOff>
                    <xdr:row>47</xdr:row>
                    <xdr:rowOff>171450</xdr:rowOff>
                  </to>
                </anchor>
              </controlPr>
            </control>
          </mc:Choice>
        </mc:AlternateContent>
        <mc:AlternateContent xmlns:mc="http://schemas.openxmlformats.org/markup-compatibility/2006">
          <mc:Choice Requires="x14">
            <control shapeId="28726" r:id="rId46" name="Check Box 54">
              <controlPr defaultSize="0" autoFill="0" autoLine="0" autoPict="0">
                <anchor moveWithCells="1">
                  <from>
                    <xdr:col>0</xdr:col>
                    <xdr:colOff>0</xdr:colOff>
                    <xdr:row>48</xdr:row>
                    <xdr:rowOff>19050</xdr:rowOff>
                  </from>
                  <to>
                    <xdr:col>1</xdr:col>
                    <xdr:colOff>142875</xdr:colOff>
                    <xdr:row>48</xdr:row>
                    <xdr:rowOff>171450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1000000}">
          <x14:formula1>
            <xm:f>Validation!$Q$33:$Q$36</xm:f>
          </x14:formula1>
          <xm:sqref>AW2</xm:sqref>
        </x14:dataValidation>
        <x14:dataValidation type="list" allowBlank="1" showInputMessage="1" showErrorMessage="1" xr:uid="{00000000-0002-0000-0200-000002000000}">
          <x14:formula1>
            <xm:f>Validation!$C$40</xm:f>
          </x14:formula1>
          <xm:sqref>BG2</xm:sqref>
        </x14:dataValidation>
        <x14:dataValidation type="list" allowBlank="1" showInputMessage="1" showErrorMessage="1" xr:uid="{00000000-0002-0000-0200-000003000000}">
          <x14:formula1>
            <xm:f>Validation!$Q$5:$Q$12</xm:f>
          </x14:formula1>
          <xm:sqref>J2 AH2:AK2 W2</xm:sqref>
        </x14:dataValidation>
        <x14:dataValidation type="list" allowBlank="1" showInputMessage="1" showErrorMessage="1" xr:uid="{00000000-0002-0000-0200-000004000000}">
          <x14:formula1>
            <xm:f>Validation!$Q$28:$Q$29</xm:f>
          </x14:formula1>
          <xm:sqref>AM2 AR2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sheetPr>
  <dimension ref="A1:BJ60"/>
  <sheetViews>
    <sheetView showGridLines="0" zoomScale="160" zoomScaleNormal="160" workbookViewId="0">
      <pane xSplit="8" ySplit="6" topLeftCell="I7" activePane="bottomRight" state="frozen"/>
      <selection pane="topRight" activeCell="F1" sqref="F1"/>
      <selection pane="bottomLeft" activeCell="A7" sqref="A7"/>
      <selection pane="bottomRight" activeCell="AA47" sqref="AA47"/>
    </sheetView>
  </sheetViews>
  <sheetFormatPr defaultColWidth="0" defaultRowHeight="14.25" customHeight="1" zeroHeight="1" outlineLevelCol="1" x14ac:dyDescent="0.2"/>
  <cols>
    <col min="1" max="1" width="1" hidden="1" customWidth="1" outlineLevel="1"/>
    <col min="2" max="2" width="4" hidden="1" customWidth="1" outlineLevel="1"/>
    <col min="3" max="3" width="17" style="229" hidden="1" customWidth="1" outlineLevel="1"/>
    <col min="4" max="4" width="8.09765625" style="229" hidden="1" customWidth="1" outlineLevel="1"/>
    <col min="5" max="5" width="7.796875" hidden="1" customWidth="1" outlineLevel="1"/>
    <col min="6" max="6" width="6.8984375" hidden="1" customWidth="1" outlineLevel="1"/>
    <col min="7" max="7" width="1.69921875" customWidth="1" collapsed="1"/>
    <col min="8" max="8" width="30.19921875" customWidth="1"/>
    <col min="9" max="9" width="0.796875" customWidth="1"/>
    <col min="10" max="10" width="9.8984375" hidden="1" customWidth="1" outlineLevel="1"/>
    <col min="11" max="11" width="6.3984375" hidden="1" customWidth="1" outlineLevel="1"/>
    <col min="12" max="12" width="9.8984375" hidden="1" customWidth="1" outlineLevel="1"/>
    <col min="13" max="13" width="6.3984375" hidden="1" customWidth="1" outlineLevel="1"/>
    <col min="14" max="14" width="9.8984375" hidden="1" customWidth="1" outlineLevel="1"/>
    <col min="15" max="15" width="6.3984375" hidden="1" customWidth="1" outlineLevel="1"/>
    <col min="16" max="16" width="8.296875" hidden="1" customWidth="1" outlineLevel="1"/>
    <col min="17" max="17" width="6.3984375" hidden="1" customWidth="1" outlineLevel="1"/>
    <col min="18" max="18" width="9.8984375" style="130" hidden="1" customWidth="1" outlineLevel="1"/>
    <col min="19" max="19" width="6.19921875" hidden="1" customWidth="1" outlineLevel="1"/>
    <col min="20" max="20" width="8.296875" style="130" hidden="1" customWidth="1" outlineLevel="1"/>
    <col min="21" max="21" width="6.19921875" hidden="1" customWidth="1" outlineLevel="1"/>
    <col min="22" max="22" width="1.69921875" customWidth="1" collapsed="1"/>
    <col min="23" max="23" width="8.296875" customWidth="1" outlineLevel="1"/>
    <col min="24" max="24" width="6.3984375" customWidth="1" outlineLevel="1"/>
    <col min="25" max="25" width="8.296875" customWidth="1" outlineLevel="1"/>
    <col min="26" max="26" width="6.3984375" customWidth="1" outlineLevel="1"/>
    <col min="27" max="27" width="8.296875" customWidth="1" outlineLevel="1"/>
    <col min="28" max="28" width="6.3984375" customWidth="1" outlineLevel="1"/>
    <col min="29" max="29" width="8.296875" customWidth="1" outlineLevel="1"/>
    <col min="30" max="30" width="6.3984375" customWidth="1" outlineLevel="1"/>
    <col min="31" max="31" width="8.59765625" customWidth="1" outlineLevel="1"/>
    <col min="32" max="32" width="6.3984375" customWidth="1" outlineLevel="1"/>
    <col min="33" max="33" width="1.69921875" customWidth="1"/>
    <col min="34" max="34" width="9.8984375" style="130" hidden="1" customWidth="1" outlineLevel="1"/>
    <col min="35" max="35" width="6.09765625" hidden="1" customWidth="1" outlineLevel="1"/>
    <col min="36" max="36" width="9.8984375" style="130" hidden="1" customWidth="1" outlineLevel="1"/>
    <col min="37" max="37" width="6.19921875" hidden="1" customWidth="1" outlineLevel="1"/>
    <col min="38" max="38" width="1.69921875" customWidth="1" collapsed="1"/>
    <col min="39" max="39" width="9.8984375" hidden="1" customWidth="1" outlineLevel="1"/>
    <col min="40" max="40" width="6.3984375" hidden="1" customWidth="1" outlineLevel="1"/>
    <col min="41" max="41" width="9.8984375" hidden="1" customWidth="1" outlineLevel="1"/>
    <col min="42" max="42" width="6.3984375" hidden="1" customWidth="1" outlineLevel="1"/>
    <col min="43" max="43" width="1.69921875" customWidth="1" collapsed="1"/>
    <col min="44" max="44" width="9.8984375" hidden="1" customWidth="1" outlineLevel="1"/>
    <col min="45" max="45" width="6.3984375" hidden="1" customWidth="1" outlineLevel="1"/>
    <col min="46" max="46" width="9.8984375" hidden="1" customWidth="1" outlineLevel="1"/>
    <col min="47" max="47" width="6.3984375" hidden="1" customWidth="1" outlineLevel="1"/>
    <col min="48" max="48" width="1.69921875" customWidth="1" collapsed="1"/>
    <col min="49" max="49" width="9.8984375" hidden="1" customWidth="1" outlineLevel="1"/>
    <col min="50" max="50" width="6.3984375" hidden="1" customWidth="1" outlineLevel="1"/>
    <col min="51" max="51" width="9.8984375" hidden="1" customWidth="1" outlineLevel="1"/>
    <col min="52" max="52" width="6.3984375" hidden="1" customWidth="1" outlineLevel="1"/>
    <col min="53" max="53" width="1.69921875" customWidth="1" collapsed="1"/>
    <col min="54" max="54" width="9.8984375" hidden="1" customWidth="1" outlineLevel="1"/>
    <col min="55" max="55" width="6.3984375" hidden="1" customWidth="1" outlineLevel="1"/>
    <col min="56" max="56" width="9.8984375" hidden="1" customWidth="1" outlineLevel="1"/>
    <col min="57" max="57" width="6.3984375" hidden="1" customWidth="1" outlineLevel="1"/>
    <col min="58" max="58" width="1.69921875" customWidth="1" collapsed="1"/>
    <col min="59" max="59" width="9.8984375" hidden="1" customWidth="1" outlineLevel="1"/>
    <col min="60" max="60" width="6.3984375" hidden="1" customWidth="1" outlineLevel="1"/>
    <col min="61" max="61" width="1.69921875" customWidth="1" collapsed="1"/>
    <col min="62" max="62" width="1.69921875" customWidth="1"/>
    <col min="63" max="16384" width="8.796875" hidden="1"/>
  </cols>
  <sheetData>
    <row r="1" spans="1:62" ht="15" thickBot="1" x14ac:dyDescent="0.25">
      <c r="A1" s="84"/>
      <c r="B1" s="84"/>
      <c r="C1" s="226"/>
      <c r="D1" s="226"/>
      <c r="E1" s="84"/>
      <c r="F1" s="84"/>
      <c r="G1" s="84"/>
      <c r="H1" s="84"/>
      <c r="I1" s="84"/>
      <c r="J1" s="84"/>
      <c r="K1" s="84"/>
      <c r="L1" s="84"/>
      <c r="M1" s="84"/>
      <c r="N1" s="84"/>
      <c r="O1" s="84"/>
      <c r="P1" s="84"/>
      <c r="Q1" s="84"/>
      <c r="R1" s="131"/>
      <c r="S1" s="84"/>
      <c r="T1" s="131"/>
      <c r="U1" s="84"/>
      <c r="V1" s="84"/>
      <c r="W1" s="84"/>
      <c r="X1" s="84"/>
      <c r="Y1" s="84"/>
      <c r="Z1" s="131"/>
      <c r="AA1" s="84"/>
      <c r="AB1" s="131"/>
      <c r="AC1" s="84"/>
      <c r="AD1" s="131"/>
      <c r="AE1" s="84"/>
      <c r="AF1" s="131"/>
      <c r="AG1" s="131"/>
      <c r="AH1" s="131"/>
      <c r="AI1" s="84"/>
      <c r="AJ1" s="131"/>
      <c r="AK1" s="84"/>
      <c r="AL1" s="131"/>
      <c r="AM1" s="84"/>
      <c r="AN1" s="84"/>
      <c r="AO1" s="84"/>
      <c r="AP1" s="84"/>
      <c r="AQ1" s="84"/>
      <c r="AR1" s="84"/>
      <c r="AS1" s="84"/>
      <c r="AT1" s="84"/>
      <c r="AU1" s="84"/>
      <c r="AV1" s="84"/>
      <c r="AW1" s="84"/>
      <c r="AX1" s="84"/>
      <c r="AY1" s="84"/>
      <c r="AZ1" s="84"/>
      <c r="BA1" s="84"/>
      <c r="BB1" s="84"/>
      <c r="BC1" s="84"/>
      <c r="BD1" s="84"/>
      <c r="BE1" s="84"/>
      <c r="BF1" s="84"/>
      <c r="BG1" s="84"/>
      <c r="BH1" s="84"/>
      <c r="BI1" s="84"/>
      <c r="BJ1" s="84"/>
    </row>
    <row r="2" spans="1:62" ht="15" customHeight="1" x14ac:dyDescent="0.2">
      <c r="A2" s="84"/>
      <c r="B2" s="501" t="s">
        <v>401</v>
      </c>
      <c r="C2" s="502"/>
      <c r="D2" s="502"/>
      <c r="E2" s="503"/>
      <c r="F2" s="84"/>
      <c r="G2" s="84"/>
      <c r="H2" s="397" t="s">
        <v>17</v>
      </c>
      <c r="I2" s="84"/>
      <c r="J2" s="400" t="s">
        <v>256</v>
      </c>
      <c r="K2" s="400"/>
      <c r="L2" s="400"/>
      <c r="M2" s="400"/>
      <c r="N2" s="400"/>
      <c r="O2" s="400"/>
      <c r="P2" s="400"/>
      <c r="Q2" s="400"/>
      <c r="R2" s="400"/>
      <c r="S2" s="400"/>
      <c r="T2" s="400"/>
      <c r="U2" s="400"/>
      <c r="V2" s="84"/>
      <c r="W2" s="400" t="s">
        <v>256</v>
      </c>
      <c r="X2" s="400"/>
      <c r="Y2" s="400"/>
      <c r="Z2" s="400"/>
      <c r="AA2" s="400"/>
      <c r="AB2" s="400"/>
      <c r="AC2" s="400"/>
      <c r="AD2" s="400"/>
      <c r="AE2" s="400"/>
      <c r="AF2" s="400"/>
      <c r="AG2" s="131"/>
      <c r="AH2" s="400" t="s">
        <v>258</v>
      </c>
      <c r="AI2" s="400"/>
      <c r="AJ2" s="400"/>
      <c r="AK2" s="400"/>
      <c r="AL2" s="131"/>
      <c r="AM2" s="400" t="s">
        <v>261</v>
      </c>
      <c r="AN2" s="400"/>
      <c r="AO2" s="400"/>
      <c r="AP2" s="400"/>
      <c r="AQ2" s="84"/>
      <c r="AR2" s="400" t="s">
        <v>263</v>
      </c>
      <c r="AS2" s="400"/>
      <c r="AT2" s="400"/>
      <c r="AU2" s="400"/>
      <c r="AV2" s="84"/>
      <c r="AW2" s="400" t="s">
        <v>266</v>
      </c>
      <c r="AX2" s="400"/>
      <c r="AY2" s="400"/>
      <c r="AZ2" s="400"/>
      <c r="BA2" s="84"/>
      <c r="BB2" s="400" t="s">
        <v>267</v>
      </c>
      <c r="BC2" s="400"/>
      <c r="BD2" s="400"/>
      <c r="BE2" s="400"/>
      <c r="BF2" s="84"/>
      <c r="BG2" s="401" t="s">
        <v>269</v>
      </c>
      <c r="BH2" s="500"/>
      <c r="BI2" s="84"/>
      <c r="BJ2" s="84"/>
    </row>
    <row r="3" spans="1:62" ht="15" customHeight="1" x14ac:dyDescent="0.2">
      <c r="A3" s="84"/>
      <c r="B3" s="504"/>
      <c r="C3" s="505"/>
      <c r="D3" s="505"/>
      <c r="E3" s="506"/>
      <c r="F3" s="84"/>
      <c r="G3" s="84"/>
      <c r="H3" s="398"/>
      <c r="I3" s="84"/>
      <c r="J3" s="496" t="s">
        <v>387</v>
      </c>
      <c r="K3" s="496"/>
      <c r="L3" s="496"/>
      <c r="M3" s="496"/>
      <c r="N3" s="496"/>
      <c r="O3" s="496"/>
      <c r="P3" s="496"/>
      <c r="Q3" s="496"/>
      <c r="R3" s="496"/>
      <c r="S3" s="496"/>
      <c r="T3" s="496"/>
      <c r="U3" s="496"/>
      <c r="V3" s="84"/>
      <c r="W3" s="496" t="s">
        <v>388</v>
      </c>
      <c r="X3" s="496"/>
      <c r="Y3" s="496"/>
      <c r="Z3" s="496"/>
      <c r="AA3" s="496"/>
      <c r="AB3" s="496"/>
      <c r="AC3" s="496"/>
      <c r="AD3" s="496"/>
      <c r="AE3" s="496"/>
      <c r="AF3" s="496"/>
      <c r="AG3" s="131"/>
      <c r="AH3" s="496" t="s">
        <v>46</v>
      </c>
      <c r="AI3" s="496"/>
      <c r="AJ3" s="496"/>
      <c r="AK3" s="496"/>
      <c r="AL3" s="131"/>
      <c r="AM3" s="497" t="s">
        <v>260</v>
      </c>
      <c r="AN3" s="497"/>
      <c r="AO3" s="497"/>
      <c r="AP3" s="497"/>
      <c r="AQ3" s="84"/>
      <c r="AR3" s="497" t="s">
        <v>151</v>
      </c>
      <c r="AS3" s="497"/>
      <c r="AT3" s="497"/>
      <c r="AU3" s="497"/>
      <c r="AV3" s="84"/>
      <c r="AW3" s="498" t="s">
        <v>88</v>
      </c>
      <c r="AX3" s="498"/>
      <c r="AY3" s="498"/>
      <c r="AZ3" s="498"/>
      <c r="BA3" s="84"/>
      <c r="BB3" s="498" t="s">
        <v>88</v>
      </c>
      <c r="BC3" s="498"/>
      <c r="BD3" s="498"/>
      <c r="BE3" s="498"/>
      <c r="BF3" s="84"/>
      <c r="BG3" s="499" t="s">
        <v>389</v>
      </c>
      <c r="BH3" s="499"/>
      <c r="BI3" s="84"/>
      <c r="BJ3" s="84"/>
    </row>
    <row r="4" spans="1:62" ht="15" customHeight="1" thickBot="1" x14ac:dyDescent="0.25">
      <c r="A4" s="84"/>
      <c r="B4" s="504"/>
      <c r="C4" s="505"/>
      <c r="D4" s="505"/>
      <c r="E4" s="506"/>
      <c r="F4" s="84"/>
      <c r="G4" s="84"/>
      <c r="H4" s="399"/>
      <c r="I4" s="84"/>
      <c r="J4" s="496"/>
      <c r="K4" s="496"/>
      <c r="L4" s="496"/>
      <c r="M4" s="496"/>
      <c r="N4" s="496"/>
      <c r="O4" s="496"/>
      <c r="P4" s="496"/>
      <c r="Q4" s="496"/>
      <c r="R4" s="496"/>
      <c r="S4" s="496"/>
      <c r="T4" s="496"/>
      <c r="U4" s="496"/>
      <c r="V4" s="84"/>
      <c r="W4" s="496"/>
      <c r="X4" s="496"/>
      <c r="Y4" s="496"/>
      <c r="Z4" s="496"/>
      <c r="AA4" s="496"/>
      <c r="AB4" s="496"/>
      <c r="AC4" s="496"/>
      <c r="AD4" s="496"/>
      <c r="AE4" s="496"/>
      <c r="AF4" s="496"/>
      <c r="AG4" s="131"/>
      <c r="AH4" s="496"/>
      <c r="AI4" s="496"/>
      <c r="AJ4" s="496"/>
      <c r="AK4" s="496"/>
      <c r="AL4" s="131"/>
      <c r="AM4" s="497"/>
      <c r="AN4" s="497"/>
      <c r="AO4" s="497"/>
      <c r="AP4" s="497"/>
      <c r="AQ4" s="84"/>
      <c r="AR4" s="497"/>
      <c r="AS4" s="497"/>
      <c r="AT4" s="497"/>
      <c r="AU4" s="497"/>
      <c r="AV4" s="84"/>
      <c r="AW4" s="498"/>
      <c r="AX4" s="498"/>
      <c r="AY4" s="498"/>
      <c r="AZ4" s="498"/>
      <c r="BA4" s="84"/>
      <c r="BB4" s="498"/>
      <c r="BC4" s="498"/>
      <c r="BD4" s="498"/>
      <c r="BE4" s="498"/>
      <c r="BF4" s="84"/>
      <c r="BG4" s="499"/>
      <c r="BH4" s="499"/>
      <c r="BI4" s="84"/>
      <c r="BJ4" s="84"/>
    </row>
    <row r="5" spans="1:62" s="83" customFormat="1" ht="15" thickBot="1" x14ac:dyDescent="0.25">
      <c r="A5" s="84"/>
      <c r="B5" s="507"/>
      <c r="C5" s="508"/>
      <c r="D5" s="508"/>
      <c r="E5" s="509"/>
      <c r="F5" s="84"/>
      <c r="G5" s="84"/>
      <c r="H5" s="242" t="s">
        <v>26</v>
      </c>
      <c r="I5" s="84"/>
      <c r="J5" s="105" t="s">
        <v>27</v>
      </c>
      <c r="K5" s="106">
        <v>36</v>
      </c>
      <c r="L5" s="105" t="s">
        <v>28</v>
      </c>
      <c r="M5" s="106">
        <v>24</v>
      </c>
      <c r="N5" s="105" t="s">
        <v>29</v>
      </c>
      <c r="O5" s="106">
        <v>12</v>
      </c>
      <c r="P5" s="105" t="s">
        <v>390</v>
      </c>
      <c r="Q5" s="106">
        <v>12</v>
      </c>
      <c r="R5" s="202" t="s">
        <v>402</v>
      </c>
      <c r="S5" s="106">
        <v>6</v>
      </c>
      <c r="T5" s="202" t="s">
        <v>392</v>
      </c>
      <c r="U5" s="106">
        <v>6</v>
      </c>
      <c r="V5" s="84"/>
      <c r="W5" s="105" t="s">
        <v>393</v>
      </c>
      <c r="X5" s="106">
        <v>48</v>
      </c>
      <c r="Y5" s="105" t="s">
        <v>394</v>
      </c>
      <c r="Z5" s="106">
        <v>36</v>
      </c>
      <c r="AA5" s="105" t="s">
        <v>28</v>
      </c>
      <c r="AB5" s="106">
        <v>24</v>
      </c>
      <c r="AC5" s="105" t="s">
        <v>30</v>
      </c>
      <c r="AD5" s="106">
        <v>12</v>
      </c>
      <c r="AE5" s="105" t="s">
        <v>395</v>
      </c>
      <c r="AF5" s="106">
        <v>6</v>
      </c>
      <c r="AG5" s="131"/>
      <c r="AH5" s="202" t="s">
        <v>396</v>
      </c>
      <c r="AI5" s="106">
        <v>4</v>
      </c>
      <c r="AJ5" s="202" t="s">
        <v>249</v>
      </c>
      <c r="AK5" s="106">
        <v>1</v>
      </c>
      <c r="AL5" s="131"/>
      <c r="AM5" s="105" t="s">
        <v>30</v>
      </c>
      <c r="AN5" s="106">
        <v>12</v>
      </c>
      <c r="AO5" s="105" t="s">
        <v>397</v>
      </c>
      <c r="AP5" s="106">
        <v>6</v>
      </c>
      <c r="AQ5" s="84"/>
      <c r="AR5" s="105" t="s">
        <v>396</v>
      </c>
      <c r="AS5" s="106">
        <v>4</v>
      </c>
      <c r="AT5" s="105" t="s">
        <v>249</v>
      </c>
      <c r="AU5" s="106">
        <v>1</v>
      </c>
      <c r="AV5" s="84"/>
      <c r="AW5" s="105" t="s">
        <v>30</v>
      </c>
      <c r="AX5" s="106">
        <v>12</v>
      </c>
      <c r="AY5" s="105" t="s">
        <v>397</v>
      </c>
      <c r="AZ5" s="106">
        <v>6</v>
      </c>
      <c r="BA5" s="84"/>
      <c r="BB5" s="105" t="s">
        <v>396</v>
      </c>
      <c r="BC5" s="106">
        <v>4</v>
      </c>
      <c r="BD5" s="105" t="s">
        <v>249</v>
      </c>
      <c r="BE5" s="106">
        <v>1</v>
      </c>
      <c r="BF5" s="84"/>
      <c r="BG5" s="105" t="s">
        <v>249</v>
      </c>
      <c r="BH5" s="106">
        <v>1</v>
      </c>
      <c r="BI5" s="84"/>
      <c r="BJ5" s="84"/>
    </row>
    <row r="6" spans="1:62" x14ac:dyDescent="0.2">
      <c r="A6" s="84"/>
      <c r="B6" s="159" t="s">
        <v>403</v>
      </c>
      <c r="C6" s="227" t="s">
        <v>22</v>
      </c>
      <c r="D6" s="227" t="s">
        <v>2</v>
      </c>
      <c r="E6" s="159" t="s">
        <v>32</v>
      </c>
      <c r="F6" s="159"/>
      <c r="G6" s="84"/>
      <c r="H6" s="243" t="s">
        <v>404</v>
      </c>
      <c r="I6" s="84"/>
      <c r="J6" s="96">
        <v>43.088601470432941</v>
      </c>
      <c r="K6" s="97">
        <f>J6/J6</f>
        <v>1</v>
      </c>
      <c r="L6" s="96">
        <v>60.455144957761348</v>
      </c>
      <c r="M6" s="97">
        <f>L6/L6</f>
        <v>1</v>
      </c>
      <c r="N6" s="96">
        <v>116.8602899155227</v>
      </c>
      <c r="O6" s="97">
        <f>N6/N6</f>
        <v>1</v>
      </c>
      <c r="P6" s="96">
        <f>N6</f>
        <v>116.8602899155227</v>
      </c>
      <c r="Q6" s="97">
        <f>P6/P6</f>
        <v>1</v>
      </c>
      <c r="R6" s="96">
        <v>226.2205798310454</v>
      </c>
      <c r="S6" s="97">
        <f>R6/R6</f>
        <v>1</v>
      </c>
      <c r="T6" s="96">
        <f>R6</f>
        <v>226.2205798310454</v>
      </c>
      <c r="U6" s="97">
        <f>T6/T6</f>
        <v>1</v>
      </c>
      <c r="V6" s="84"/>
      <c r="W6" s="96">
        <f>AC6*0.18+2</f>
        <v>20.3582</v>
      </c>
      <c r="X6" s="97">
        <f>W6/W6</f>
        <v>1</v>
      </c>
      <c r="Y6" s="96">
        <f>AC6*0.3+2</f>
        <v>32.596999999999994</v>
      </c>
      <c r="Z6" s="97">
        <f>Y6/Y6</f>
        <v>1</v>
      </c>
      <c r="AA6" s="96">
        <f>AC6*0.5+2</f>
        <v>52.994999999999997</v>
      </c>
      <c r="AB6" s="97">
        <f>AA6/AA6</f>
        <v>1</v>
      </c>
      <c r="AC6" s="96">
        <v>101.99</v>
      </c>
      <c r="AD6" s="97">
        <f>AC6/AC6</f>
        <v>1</v>
      </c>
      <c r="AE6" s="96">
        <f>AC6*2-40</f>
        <v>163.98</v>
      </c>
      <c r="AF6" s="97">
        <f>AE6/AE6</f>
        <v>1</v>
      </c>
      <c r="AG6" s="131"/>
      <c r="AH6" s="96">
        <v>447.4411596620908</v>
      </c>
      <c r="AI6" s="97">
        <f>AH6/AH6</f>
        <v>1</v>
      </c>
      <c r="AJ6" s="96">
        <v>1400</v>
      </c>
      <c r="AK6" s="97">
        <f>AJ6/AJ6</f>
        <v>1</v>
      </c>
      <c r="AL6" s="131"/>
      <c r="AM6" s="96">
        <v>140.50877851108766</v>
      </c>
      <c r="AN6" s="97">
        <f>AM6/AM6</f>
        <v>1</v>
      </c>
      <c r="AO6" s="96">
        <v>276.02</v>
      </c>
      <c r="AP6" s="97">
        <f>AO6/AO6</f>
        <v>1</v>
      </c>
      <c r="AQ6" s="84"/>
      <c r="AR6" s="96">
        <v>547.04</v>
      </c>
      <c r="AS6" s="97">
        <f>AR6/AR6</f>
        <v>1</v>
      </c>
      <c r="AT6" s="96">
        <v>2100</v>
      </c>
      <c r="AU6" s="97">
        <f>AT6/AT6</f>
        <v>1</v>
      </c>
      <c r="AV6" s="84"/>
      <c r="AW6" s="96">
        <v>144.608</v>
      </c>
      <c r="AX6" s="97">
        <f>AW6/AW6</f>
        <v>1</v>
      </c>
      <c r="AY6" s="96">
        <v>278.21600000000001</v>
      </c>
      <c r="AZ6" s="97">
        <f>AY6/AY6</f>
        <v>1</v>
      </c>
      <c r="BA6" s="84"/>
      <c r="BB6" s="96">
        <v>551.43200000000002</v>
      </c>
      <c r="BC6" s="97">
        <f>BB6/BB6</f>
        <v>1</v>
      </c>
      <c r="BD6" s="96">
        <v>2150</v>
      </c>
      <c r="BE6" s="97">
        <f>BD6/BD6</f>
        <v>1</v>
      </c>
      <c r="BF6" s="84"/>
      <c r="BG6" s="96">
        <v>1140</v>
      </c>
      <c r="BH6" s="97">
        <f>BG6/BG6</f>
        <v>1</v>
      </c>
      <c r="BI6" s="84"/>
      <c r="BJ6" s="84"/>
    </row>
    <row r="7" spans="1:62" x14ac:dyDescent="0.2">
      <c r="A7" s="84"/>
      <c r="B7" s="222"/>
      <c r="C7" s="228" t="str">
        <f>'Pricing Trends'!R13</f>
        <v>RBD SOYA BEAN OIL</v>
      </c>
      <c r="D7" s="249">
        <f>'Pricing Trends'!S13</f>
        <v>45314</v>
      </c>
      <c r="E7" s="223">
        <f>'Pricing Trends'!U13</f>
        <v>69.078871899999996</v>
      </c>
      <c r="F7" s="220" t="b">
        <v>1</v>
      </c>
      <c r="G7" s="84"/>
      <c r="H7" s="244" t="s">
        <v>405</v>
      </c>
      <c r="I7" s="84"/>
      <c r="J7" s="191">
        <f>J6*0.92*0.98</f>
        <v>38.848683085742337</v>
      </c>
      <c r="K7" s="188">
        <f>J7/J7</f>
        <v>1</v>
      </c>
      <c r="L7" s="191">
        <f>L6*0.92*0.98</f>
        <v>54.506358693917633</v>
      </c>
      <c r="M7" s="188">
        <f>L7/L7</f>
        <v>1</v>
      </c>
      <c r="N7" s="191">
        <f>N6*0.92*0.98</f>
        <v>105.36123738783526</v>
      </c>
      <c r="O7" s="188">
        <f>N7/N7</f>
        <v>1</v>
      </c>
      <c r="P7" s="191">
        <f>P6*0.92*0.98</f>
        <v>105.36123738783526</v>
      </c>
      <c r="Q7" s="188">
        <f>P7/P7</f>
        <v>1</v>
      </c>
      <c r="R7" s="191">
        <f>R6*0.92*0.98</f>
        <v>203.96047477567052</v>
      </c>
      <c r="S7" s="188">
        <f>R7/R7</f>
        <v>1</v>
      </c>
      <c r="T7" s="191">
        <f>T6*0.92*0.98</f>
        <v>203.96047477567052</v>
      </c>
      <c r="U7" s="188">
        <f>T7/T7</f>
        <v>1</v>
      </c>
      <c r="V7" s="84"/>
      <c r="W7" s="191">
        <f>W6*0.92*0.98</f>
        <v>18.354953120000001</v>
      </c>
      <c r="X7" s="188">
        <f>W7/W7</f>
        <v>1</v>
      </c>
      <c r="Y7" s="191">
        <f>Y6*0.92*0.98</f>
        <v>29.389455199999993</v>
      </c>
      <c r="Z7" s="188">
        <f>Y7/Y7</f>
        <v>1</v>
      </c>
      <c r="AA7" s="191">
        <f>AA6*0.92*0.98</f>
        <v>47.780292000000003</v>
      </c>
      <c r="AB7" s="188">
        <f>AA7/AA7</f>
        <v>1</v>
      </c>
      <c r="AC7" s="191">
        <f>AC6*0.92*0.98</f>
        <v>91.954183999999998</v>
      </c>
      <c r="AD7" s="188">
        <f>AC7/AC7</f>
        <v>1</v>
      </c>
      <c r="AE7" s="191">
        <f>AE6*0.92*0.98</f>
        <v>147.844368</v>
      </c>
      <c r="AF7" s="188">
        <f>AE7/AE7</f>
        <v>1</v>
      </c>
      <c r="AG7" s="131"/>
      <c r="AH7" s="191">
        <f>AH6*0.92*0.98</f>
        <v>403.41294955134111</v>
      </c>
      <c r="AI7" s="188">
        <f>AH7/AH7</f>
        <v>1</v>
      </c>
      <c r="AJ7" s="191">
        <f>AJ6*0.95</f>
        <v>1330</v>
      </c>
      <c r="AK7" s="188">
        <f>AJ7/AJ7</f>
        <v>1</v>
      </c>
      <c r="AL7" s="131"/>
      <c r="AM7" s="191">
        <f>AM6*0.92*0.98</f>
        <v>126.68271470559664</v>
      </c>
      <c r="AN7" s="188">
        <f>AM7/AM7</f>
        <v>1</v>
      </c>
      <c r="AO7" s="191">
        <f>AO6*0.92*0.98</f>
        <v>248.859632</v>
      </c>
      <c r="AP7" s="188">
        <f>AO7/AO7</f>
        <v>1</v>
      </c>
      <c r="AQ7" s="84"/>
      <c r="AR7" s="191">
        <f>AR6*0.92*0.98</f>
        <v>493.21126399999997</v>
      </c>
      <c r="AS7" s="188">
        <f>AR7/AR7</f>
        <v>1</v>
      </c>
      <c r="AT7" s="191">
        <f>AT6*0.95</f>
        <v>1995</v>
      </c>
      <c r="AU7" s="188">
        <f>AT7/AT7</f>
        <v>1</v>
      </c>
      <c r="AV7" s="84"/>
      <c r="AW7" s="191">
        <f>AW6*0.92*0.98</f>
        <v>130.3785728</v>
      </c>
      <c r="AX7" s="188">
        <f>AW7/AW7</f>
        <v>1</v>
      </c>
      <c r="AY7" s="191">
        <f>AY6*0.92*0.98</f>
        <v>250.83954560000004</v>
      </c>
      <c r="AZ7" s="188">
        <f>AY7/AY7</f>
        <v>1</v>
      </c>
      <c r="BA7" s="84"/>
      <c r="BB7" s="191">
        <f>BB6*0.92*0.98</f>
        <v>497.17109120000003</v>
      </c>
      <c r="BC7" s="188">
        <f>BB7/BB7</f>
        <v>1</v>
      </c>
      <c r="BD7" s="191">
        <f>BD6*0.95</f>
        <v>2042.5</v>
      </c>
      <c r="BE7" s="188">
        <f>BD7/BD7</f>
        <v>1</v>
      </c>
      <c r="BF7" s="84"/>
      <c r="BG7" s="191">
        <v>1140</v>
      </c>
      <c r="BH7" s="188">
        <f>BG7/BG7</f>
        <v>1</v>
      </c>
      <c r="BI7" s="84"/>
      <c r="BJ7" s="84"/>
    </row>
    <row r="8" spans="1:62" hidden="1" x14ac:dyDescent="0.2">
      <c r="A8" s="84"/>
      <c r="B8" s="222"/>
      <c r="C8" s="228" t="str">
        <f>'Pricing Trends'!R14</f>
        <v>RBD SOYA BEAN OIL</v>
      </c>
      <c r="D8" s="249">
        <f>'Pricing Trends'!S14</f>
        <v>45256</v>
      </c>
      <c r="E8" s="223">
        <f>'Pricing Trends'!U14</f>
        <v>68.754339999999999</v>
      </c>
      <c r="F8" s="220" t="b">
        <v>1</v>
      </c>
      <c r="G8" s="84"/>
      <c r="H8" s="245" t="s">
        <v>45</v>
      </c>
      <c r="I8" s="84"/>
      <c r="J8" s="265">
        <f>IFERROR(VLOOKUP($J$2&amp;$H8,Validation!$E:$O,4,FALSE),0)</f>
        <v>7.2532815494999987</v>
      </c>
      <c r="K8" s="99">
        <f>J8/J$6</f>
        <v>0.16833411394141309</v>
      </c>
      <c r="L8" s="265">
        <f>IFERROR(VLOOKUP($J$2&amp;$H8,Validation!$E:$O,5,FALSE),0)</f>
        <v>10.361830784999999</v>
      </c>
      <c r="M8" s="99">
        <f>L8/L$6</f>
        <v>0.17139700503967986</v>
      </c>
      <c r="N8" s="265">
        <f>IFERROR(VLOOKUP($J$2&amp;$H8,Validation!$E:$O,6,FALSE),0)</f>
        <v>20.723661569999997</v>
      </c>
      <c r="O8" s="99">
        <f>N8/N$6</f>
        <v>0.1773370713437469</v>
      </c>
      <c r="P8" s="265">
        <f>IFERROR(VLOOKUP($J$2&amp;$H8,Validation!$E:$O,6,FALSE),0)</f>
        <v>20.723661569999997</v>
      </c>
      <c r="Q8" s="99">
        <f>P8/P$6</f>
        <v>0.1773370713437469</v>
      </c>
      <c r="R8" s="266">
        <f>IFERROR(VLOOKUP($J$2&amp;$H8,Validation!$E:$O,7,FALSE),0)</f>
        <v>41.447323139999995</v>
      </c>
      <c r="S8" s="99">
        <f>R8/R$6</f>
        <v>0.18321641280804449</v>
      </c>
      <c r="T8" s="266">
        <f>IFERROR(VLOOKUP($J$2&amp;$H8,Validation!$E:$O,7,FALSE),0)</f>
        <v>41.447323139999995</v>
      </c>
      <c r="U8" s="99">
        <f>T8/T$6</f>
        <v>0.18321641280804449</v>
      </c>
      <c r="V8" s="84"/>
      <c r="W8" s="265">
        <f>IFERROR(VLOOKUP($W$2&amp;$H8,Validation!$E:$O,9,FALSE),0)</f>
        <v>3.7302590825999995</v>
      </c>
      <c r="X8" s="99">
        <f>W8/W$6</f>
        <v>0.18323128187167823</v>
      </c>
      <c r="Y8" s="265">
        <f>IFERROR(VLOOKUP($W$2&amp;$H8,Validation!$E:$O,10,FALSE),0)</f>
        <v>6.217098470999999</v>
      </c>
      <c r="Z8" s="99">
        <f>Y8/Y$6</f>
        <v>0.190726093536215</v>
      </c>
      <c r="AA8" s="265">
        <f>IFERROR(VLOOKUP($W$2&amp;$H8,Validation!$E:$O,5,FALSE),0)</f>
        <v>10.361830784999999</v>
      </c>
      <c r="AB8" s="99">
        <f>AA8/AA$6</f>
        <v>0.19552468695159919</v>
      </c>
      <c r="AC8" s="265">
        <f>IFERROR(VLOOKUP($W$2&amp;$H8,Validation!$E:$O,6,FALSE),0)</f>
        <v>20.723661569999997</v>
      </c>
      <c r="AD8" s="99">
        <f>AC8/AC$6</f>
        <v>0.20319307353662122</v>
      </c>
      <c r="AE8" s="265">
        <f>IFERROR(VLOOKUP($W$2&amp;$H8,Validation!$E:$O,7,FALSE),0)</f>
        <v>41.447323139999995</v>
      </c>
      <c r="AF8" s="99">
        <f>AE8/AE$6</f>
        <v>0.25275840431759972</v>
      </c>
      <c r="AG8" s="131"/>
      <c r="AH8" s="266">
        <f>IFERROR(VLOOKUP($AH$2&amp;$H8,Validation!E:O,8,FALSE),0)</f>
        <v>0</v>
      </c>
      <c r="AI8" s="99">
        <f t="shared" ref="AI8:AI17" si="0">AH8/AH$6</f>
        <v>0</v>
      </c>
      <c r="AJ8" s="266">
        <f>IFERROR(VLOOKUP($AH$2&amp;$H8,Validation!E:O,11,FALSE),0)</f>
        <v>0</v>
      </c>
      <c r="AK8" s="99">
        <f t="shared" ref="AK8:AK17" si="1">AJ8/AJ$6</f>
        <v>0</v>
      </c>
      <c r="AL8" s="131"/>
      <c r="AM8" s="265">
        <f>IFERROR(VLOOKUP($AM$2&amp;$H8,Validation!$E:$O,6,FALSE),0)</f>
        <v>0</v>
      </c>
      <c r="AN8" s="99">
        <f>AM8/AM$6</f>
        <v>0</v>
      </c>
      <c r="AO8" s="265">
        <f>IFERROR(VLOOKUP($AM$2&amp;$H8,Validation!$E:$O,7,FALSE),0)</f>
        <v>0</v>
      </c>
      <c r="AP8" s="99">
        <f>AO8/AO$6</f>
        <v>0</v>
      </c>
      <c r="AQ8" s="84"/>
      <c r="AR8" s="265">
        <f>IFERROR(VLOOKUP($AR$2&amp;$H8,Validation!$E:$O,8,FALSE),0)</f>
        <v>0</v>
      </c>
      <c r="AS8" s="99">
        <f>AR8/AR$6</f>
        <v>0</v>
      </c>
      <c r="AT8" s="265">
        <f>IFERROR(VLOOKUP($AR$2&amp;$H8,Validation!$E:$O,11,FALSE),0)</f>
        <v>0</v>
      </c>
      <c r="AU8" s="99">
        <f>AT8/AT$6</f>
        <v>0</v>
      </c>
      <c r="AV8" s="84"/>
      <c r="AW8" s="265">
        <f>IFERROR(VLOOKUP($AW$2&amp;$H8,Validation!$E:$O,6,FALSE),0)</f>
        <v>55.263097520000002</v>
      </c>
      <c r="AX8" s="99">
        <f>AW8/AW$6</f>
        <v>0.38215795474662534</v>
      </c>
      <c r="AY8" s="265">
        <f>IFERROR(VLOOKUP($AW$2&amp;$H8,Validation!$E:$O,7,FALSE),0)</f>
        <v>110.52619504</v>
      </c>
      <c r="AZ8" s="99">
        <f>AY8/AY$6</f>
        <v>0.39726757282111741</v>
      </c>
      <c r="BA8" s="84"/>
      <c r="BB8" s="265">
        <f>IFERROR(VLOOKUP($BB$2&amp;$H8,Validation!$E:$L,8,FALSE),0)</f>
        <v>276.31548759999998</v>
      </c>
      <c r="BC8" s="99">
        <f>BB8/BB$6</f>
        <v>0.50108714691929368</v>
      </c>
      <c r="BD8" s="265">
        <f>IFERROR(VLOOKUP($BB$2&amp;$H8,Validation!$E:$O,11,FALSE),0)</f>
        <v>1229.3292622253257</v>
      </c>
      <c r="BE8" s="99">
        <f>BD8/BD$6</f>
        <v>0.57178105219782593</v>
      </c>
      <c r="BF8" s="84"/>
      <c r="BG8" s="265">
        <f>IFERROR(VLOOKUP($BG$2&amp;$H8,Validation!E:O,11,FALSE),0)</f>
        <v>0</v>
      </c>
      <c r="BH8" s="99">
        <f>BG8/BG$6</f>
        <v>0</v>
      </c>
      <c r="BI8" s="84"/>
      <c r="BJ8" s="84"/>
    </row>
    <row r="9" spans="1:62" hidden="1" x14ac:dyDescent="0.2">
      <c r="A9" s="84"/>
      <c r="B9" s="222"/>
      <c r="C9" s="228" t="str">
        <f>'Pricing Trends'!R15</f>
        <v>RBD SOYA BEAN OIL</v>
      </c>
      <c r="D9" s="249">
        <f>'Pricing Trends'!S15</f>
        <v>45132</v>
      </c>
      <c r="E9" s="223">
        <f>'Pricing Trends'!U15</f>
        <v>64.592929999999996</v>
      </c>
      <c r="F9" s="220" t="b">
        <v>0</v>
      </c>
      <c r="G9" s="84"/>
      <c r="H9" s="245" t="s">
        <v>54</v>
      </c>
      <c r="I9" s="84"/>
      <c r="J9" s="265">
        <f>IFERROR(VLOOKUP($J$2&amp;$H9,Validation!$E:$O,4,FALSE),0)</f>
        <v>0</v>
      </c>
      <c r="K9" s="99">
        <f t="shared" ref="K9:K17" si="2">J9/J$6</f>
        <v>0</v>
      </c>
      <c r="L9" s="265">
        <f>IFERROR(VLOOKUP($J$2&amp;$H9,Validation!$E:$O,5,FALSE),0)</f>
        <v>0</v>
      </c>
      <c r="M9" s="99">
        <f t="shared" ref="M9:M17" si="3">L9/L$6</f>
        <v>0</v>
      </c>
      <c r="N9" s="265">
        <f>IFERROR(VLOOKUP($J$2&amp;$H9,Validation!$E:$O,6,FALSE),0)</f>
        <v>0</v>
      </c>
      <c r="O9" s="99">
        <f t="shared" ref="O9:O17" si="4">N9/N$6</f>
        <v>0</v>
      </c>
      <c r="P9" s="265">
        <f>IFERROR(VLOOKUP($J$2&amp;$H9,Validation!$E:$O,6,FALSE),0)</f>
        <v>0</v>
      </c>
      <c r="Q9" s="99">
        <f t="shared" ref="Q9:Q17" si="5">P9/P$6</f>
        <v>0</v>
      </c>
      <c r="R9" s="266">
        <f>IFERROR(VLOOKUP($J$2&amp;$H9,Validation!$E:$O,7,FALSE),0)</f>
        <v>0</v>
      </c>
      <c r="S9" s="99">
        <f t="shared" ref="S9:S17" si="6">R9/R$6</f>
        <v>0</v>
      </c>
      <c r="T9" s="266">
        <f>IFERROR(VLOOKUP($J$2&amp;$H9,Validation!$E:$O,7,FALSE),0)</f>
        <v>0</v>
      </c>
      <c r="U9" s="99">
        <f t="shared" ref="U9:U17" si="7">T9/T$6</f>
        <v>0</v>
      </c>
      <c r="V9" s="84"/>
      <c r="W9" s="265">
        <f>IFERROR(VLOOKUP($W$2&amp;$H9,Validation!$E:$O,9,FALSE),0)</f>
        <v>0</v>
      </c>
      <c r="X9" s="99">
        <f t="shared" ref="X9:X17" si="8">W9/W$6</f>
        <v>0</v>
      </c>
      <c r="Y9" s="265">
        <f>IFERROR(VLOOKUP($W$2&amp;$H9,Validation!$E:$O,10,FALSE),0)</f>
        <v>0</v>
      </c>
      <c r="Z9" s="99">
        <f t="shared" ref="Z9:Z17" si="9">Y9/Y$6</f>
        <v>0</v>
      </c>
      <c r="AA9" s="265">
        <f>IFERROR(VLOOKUP($W$2&amp;$H9,Validation!$E:$O,5,FALSE),0)</f>
        <v>0</v>
      </c>
      <c r="AB9" s="99">
        <f t="shared" ref="AB9:AB17" si="10">AA9/AA$6</f>
        <v>0</v>
      </c>
      <c r="AC9" s="265">
        <f>IFERROR(VLOOKUP($W$2&amp;$H9,Validation!$E:$O,6,FALSE),0)</f>
        <v>0</v>
      </c>
      <c r="AD9" s="99">
        <f t="shared" ref="AD9:AD17" si="11">AC9/AC$6</f>
        <v>0</v>
      </c>
      <c r="AE9" s="265">
        <f>IFERROR(VLOOKUP($W$2&amp;$H9,Validation!$E:$O,7,FALSE),0)</f>
        <v>0</v>
      </c>
      <c r="AF9" s="99">
        <f t="shared" ref="AF9:AF17" si="12">AE9/AE$6</f>
        <v>0</v>
      </c>
      <c r="AG9" s="131"/>
      <c r="AH9" s="266">
        <f>IFERROR(VLOOKUP($AH$2&amp;$H9,Validation!E:O,8,FALSE),0)</f>
        <v>0</v>
      </c>
      <c r="AI9" s="99">
        <f t="shared" si="0"/>
        <v>0</v>
      </c>
      <c r="AJ9" s="266">
        <f>IFERROR(VLOOKUP($AH$2&amp;$H9,Validation!E:O,11,FALSE),0)</f>
        <v>0</v>
      </c>
      <c r="AK9" s="99">
        <f t="shared" si="1"/>
        <v>0</v>
      </c>
      <c r="AL9" s="131"/>
      <c r="AM9" s="265">
        <f>IFERROR(VLOOKUP($AM$2&amp;$H9,Validation!$E:$O,6,FALSE),0)</f>
        <v>0</v>
      </c>
      <c r="AN9" s="99">
        <f t="shared" ref="AN9:AN17" si="13">AM9/AM$6</f>
        <v>0</v>
      </c>
      <c r="AO9" s="265">
        <f>IFERROR(VLOOKUP($AM$2&amp;$H9,Validation!$E:$O,7,FALSE),0)</f>
        <v>0</v>
      </c>
      <c r="AP9" s="99">
        <f t="shared" ref="AP9:AP17" si="14">AO9/AO$6</f>
        <v>0</v>
      </c>
      <c r="AQ9" s="84"/>
      <c r="AR9" s="265">
        <f>IFERROR(VLOOKUP($AR$2&amp;$H9,Validation!$E:$O,8,FALSE),0)</f>
        <v>0</v>
      </c>
      <c r="AS9" s="99">
        <f t="shared" ref="AS9:AS17" si="15">AR9/AR$6</f>
        <v>0</v>
      </c>
      <c r="AT9" s="265">
        <f>IFERROR(VLOOKUP($AR$2&amp;$H9,Validation!$E:$O,11,FALSE),0)</f>
        <v>0</v>
      </c>
      <c r="AU9" s="99">
        <f t="shared" ref="AU9:AU17" si="16">AT9/AT$6</f>
        <v>0</v>
      </c>
      <c r="AV9" s="84"/>
      <c r="AW9" s="265">
        <f>IFERROR(VLOOKUP($AW$2&amp;$H9,Validation!$E:$O,6,FALSE),0)</f>
        <v>0</v>
      </c>
      <c r="AX9" s="99">
        <f t="shared" ref="AX9:AX17" si="17">AW9/AW$6</f>
        <v>0</v>
      </c>
      <c r="AY9" s="265">
        <f>IFERROR(VLOOKUP($AW$2&amp;$H9,Validation!$E:$O,7,FALSE),0)</f>
        <v>0</v>
      </c>
      <c r="AZ9" s="99">
        <f t="shared" ref="AZ9:AZ17" si="18">AY9/AY$6</f>
        <v>0</v>
      </c>
      <c r="BA9" s="84"/>
      <c r="BB9" s="265">
        <f>IFERROR(VLOOKUP($BB$2&amp;$H9,Validation!$E:$L,8,FALSE),0)</f>
        <v>0</v>
      </c>
      <c r="BC9" s="99">
        <f t="shared" ref="BC9:BC17" si="19">BB9/BB$6</f>
        <v>0</v>
      </c>
      <c r="BD9" s="265">
        <f>IFERROR(VLOOKUP($BB$2&amp;$H9,Validation!$E:$O,11,FALSE),0)</f>
        <v>0</v>
      </c>
      <c r="BE9" s="99">
        <f t="shared" ref="BE9:BE17" si="20">BD9/BD$6</f>
        <v>0</v>
      </c>
      <c r="BF9" s="84"/>
      <c r="BG9" s="265">
        <f>IFERROR(VLOOKUP($BG$2&amp;$H9,Validation!E:O,11,FALSE),0)</f>
        <v>0</v>
      </c>
      <c r="BH9" s="99">
        <f t="shared" ref="BH9:BH17" si="21">BG9/BG$6</f>
        <v>0</v>
      </c>
      <c r="BI9" s="84"/>
      <c r="BJ9" s="84"/>
    </row>
    <row r="10" spans="1:62" hidden="1" x14ac:dyDescent="0.2">
      <c r="A10" s="84"/>
      <c r="B10" s="222"/>
      <c r="C10" s="228" t="str">
        <f>'Pricing Trends'!R16</f>
        <v>RBD SOYA BEAN OIL</v>
      </c>
      <c r="D10" s="249">
        <f>'Pricing Trends'!S16</f>
        <v>44961</v>
      </c>
      <c r="E10" s="223">
        <f>'Pricing Trends'!U16</f>
        <v>81.901482099999996</v>
      </c>
      <c r="F10" s="220" t="b">
        <v>0</v>
      </c>
      <c r="G10" s="84"/>
      <c r="H10" s="245" t="s">
        <v>58</v>
      </c>
      <c r="I10" s="84"/>
      <c r="J10" s="265">
        <f>IFERROR(VLOOKUP($J$2&amp;$H10,Validation!$E:$O,4,FALSE),0)</f>
        <v>14.860024199999998</v>
      </c>
      <c r="K10" s="99">
        <f t="shared" si="2"/>
        <v>0.34487135095802146</v>
      </c>
      <c r="L10" s="265">
        <f>IFERROR(VLOOKUP($J$2&amp;$H10,Validation!$E:$O,5,FALSE),0)</f>
        <v>21.228605999999999</v>
      </c>
      <c r="M10" s="99">
        <f t="shared" si="3"/>
        <v>0.35114639150781873</v>
      </c>
      <c r="N10" s="265">
        <f>IFERROR(VLOOKUP($J$2&amp;$H10,Validation!$E:$O,6,FALSE),0)</f>
        <v>42.457211999999998</v>
      </c>
      <c r="O10" s="99">
        <f t="shared" si="4"/>
        <v>0.3633159906645102</v>
      </c>
      <c r="P10" s="265">
        <f>IFERROR(VLOOKUP($J$2&amp;$H10,Validation!$E:$O,6,FALSE),0)</f>
        <v>42.457211999999998</v>
      </c>
      <c r="Q10" s="99">
        <f t="shared" si="5"/>
        <v>0.3633159906645102</v>
      </c>
      <c r="R10" s="266">
        <f>IFERROR(VLOOKUP($J$2&amp;$H10,Validation!$E:$O,7,FALSE),0)</f>
        <v>84.914423999999997</v>
      </c>
      <c r="S10" s="99">
        <f t="shared" si="6"/>
        <v>0.37536118094745841</v>
      </c>
      <c r="T10" s="266">
        <f>IFERROR(VLOOKUP($J$2&amp;$H10,Validation!$E:$O,7,FALSE),0)</f>
        <v>84.914423999999997</v>
      </c>
      <c r="U10" s="99">
        <f t="shared" si="7"/>
        <v>0.37536118094745841</v>
      </c>
      <c r="V10" s="84"/>
      <c r="W10" s="265">
        <f>IFERROR(VLOOKUP($W$2&amp;$H10,Validation!$E:$O,9,FALSE),0)</f>
        <v>7.6422981599999993</v>
      </c>
      <c r="X10" s="99">
        <f t="shared" si="8"/>
        <v>0.37539164366201333</v>
      </c>
      <c r="Y10" s="265">
        <f>IFERROR(VLOOKUP($W$2&amp;$H10,Validation!$E:$O,10,FALSE),0)</f>
        <v>12.737163599999999</v>
      </c>
      <c r="Z10" s="99">
        <f t="shared" si="9"/>
        <v>0.39074649814400103</v>
      </c>
      <c r="AA10" s="265">
        <f>IFERROR(VLOOKUP($W$2&amp;$H10,Validation!$E:$O,5,FALSE),0)</f>
        <v>21.228605999999999</v>
      </c>
      <c r="AB10" s="99">
        <f t="shared" si="10"/>
        <v>0.40057752618171527</v>
      </c>
      <c r="AC10" s="265">
        <f>IFERROR(VLOOKUP($W$2&amp;$H10,Validation!$E:$O,6,FALSE),0)</f>
        <v>42.457211999999998</v>
      </c>
      <c r="AD10" s="99">
        <f t="shared" si="11"/>
        <v>0.41628798901853126</v>
      </c>
      <c r="AE10" s="265">
        <f>IFERROR(VLOOKUP($W$2&amp;$H10,Validation!$E:$O,7,FALSE),0)</f>
        <v>84.914423999999997</v>
      </c>
      <c r="AF10" s="99">
        <f t="shared" si="12"/>
        <v>0.51783402854006588</v>
      </c>
      <c r="AG10" s="131"/>
      <c r="AH10" s="266">
        <f>IFERROR(VLOOKUP($AH$2&amp;$H10,Validation!E:O,8,FALSE),0)</f>
        <v>0</v>
      </c>
      <c r="AI10" s="99">
        <f t="shared" si="0"/>
        <v>0</v>
      </c>
      <c r="AJ10" s="266">
        <f>IFERROR(VLOOKUP($AH$2&amp;$H10,Validation!E:O,11,FALSE),0)</f>
        <v>0</v>
      </c>
      <c r="AK10" s="99">
        <f t="shared" si="1"/>
        <v>0</v>
      </c>
      <c r="AL10" s="131"/>
      <c r="AM10" s="265">
        <f>IFERROR(VLOOKUP($AM$2&amp;$H10,Validation!$E:$O,6,FALSE),0)</f>
        <v>12.130632</v>
      </c>
      <c r="AN10" s="99">
        <f t="shared" si="13"/>
        <v>8.6333623625108685E-2</v>
      </c>
      <c r="AO10" s="265">
        <f>IFERROR(VLOOKUP($AM$2&amp;$H10,Validation!$E:$O,7,FALSE),0)</f>
        <v>24.261264000000001</v>
      </c>
      <c r="AP10" s="99">
        <f t="shared" si="14"/>
        <v>8.789676110426782E-2</v>
      </c>
      <c r="AQ10" s="84"/>
      <c r="AR10" s="265">
        <f>IFERROR(VLOOKUP($AR$2&amp;$H10,Validation!$E:$O,8,FALSE),0)</f>
        <v>0</v>
      </c>
      <c r="AS10" s="99">
        <f t="shared" si="15"/>
        <v>0</v>
      </c>
      <c r="AT10" s="265">
        <f>IFERROR(VLOOKUP($AR$2&amp;$H10,Validation!$E:$O,11,FALSE),0)</f>
        <v>0</v>
      </c>
      <c r="AU10" s="99">
        <f t="shared" si="16"/>
        <v>0</v>
      </c>
      <c r="AV10" s="84"/>
      <c r="AW10" s="265">
        <f>IFERROR(VLOOKUP($AW$2&amp;$H10,Validation!$E:$O,6,FALSE),0)</f>
        <v>12.130632</v>
      </c>
      <c r="AX10" s="99">
        <f t="shared" si="17"/>
        <v>8.3886313343660104E-2</v>
      </c>
      <c r="AY10" s="265">
        <f>IFERROR(VLOOKUP($AW$2&amp;$H10,Validation!$E:$O,7,FALSE),0)</f>
        <v>24.261264000000001</v>
      </c>
      <c r="AZ10" s="99">
        <f t="shared" si="18"/>
        <v>8.7202978980360585E-2</v>
      </c>
      <c r="BA10" s="84"/>
      <c r="BB10" s="265">
        <f>IFERROR(VLOOKUP($BB$2&amp;$H10,Validation!$E:$L,8,FALSE),0)</f>
        <v>0</v>
      </c>
      <c r="BC10" s="99">
        <f t="shared" si="19"/>
        <v>0</v>
      </c>
      <c r="BD10" s="265">
        <f>IFERROR(VLOOKUP($BB$2&amp;$H10,Validation!$E:$O,11,FALSE),0)</f>
        <v>0</v>
      </c>
      <c r="BE10" s="99">
        <f t="shared" si="20"/>
        <v>0</v>
      </c>
      <c r="BF10" s="84"/>
      <c r="BG10" s="265">
        <f>IFERROR(VLOOKUP($BG$2&amp;$H10,Validation!E:O,11,FALSE),0)</f>
        <v>0</v>
      </c>
      <c r="BH10" s="99">
        <f t="shared" si="21"/>
        <v>0</v>
      </c>
      <c r="BI10" s="84"/>
      <c r="BJ10" s="84"/>
    </row>
    <row r="11" spans="1:62" hidden="1" x14ac:dyDescent="0.2">
      <c r="A11" s="84"/>
      <c r="B11" s="222"/>
      <c r="C11" s="228">
        <f>'Pricing Trends'!R17</f>
        <v>0</v>
      </c>
      <c r="D11" s="249">
        <f>'Pricing Trends'!S17</f>
        <v>0</v>
      </c>
      <c r="E11" s="223">
        <f>'Pricing Trends'!U17</f>
        <v>0</v>
      </c>
      <c r="F11" s="220" t="b">
        <v>0</v>
      </c>
      <c r="G11" s="84"/>
      <c r="H11" s="245" t="s">
        <v>62</v>
      </c>
      <c r="I11" s="84"/>
      <c r="J11" s="265">
        <f>IFERROR(VLOOKUP($J$2&amp;$H11,Validation!$E:$O,4,FALSE),0)</f>
        <v>0</v>
      </c>
      <c r="K11" s="99">
        <f t="shared" si="2"/>
        <v>0</v>
      </c>
      <c r="L11" s="265">
        <f>IFERROR(VLOOKUP($J$2&amp;$H11,Validation!$E:$O,5,FALSE),0)</f>
        <v>0</v>
      </c>
      <c r="M11" s="99">
        <f t="shared" si="3"/>
        <v>0</v>
      </c>
      <c r="N11" s="265">
        <f>IFERROR(VLOOKUP($J$2&amp;$H11,Validation!$E:$O,6,FALSE),0)</f>
        <v>0</v>
      </c>
      <c r="O11" s="99">
        <f t="shared" si="4"/>
        <v>0</v>
      </c>
      <c r="P11" s="265">
        <f>IFERROR(VLOOKUP($J$2&amp;$H11,Validation!$E:$O,6,FALSE),0)</f>
        <v>0</v>
      </c>
      <c r="Q11" s="99">
        <f t="shared" si="5"/>
        <v>0</v>
      </c>
      <c r="R11" s="266">
        <f>IFERROR(VLOOKUP($J$2&amp;$H11,Validation!$E:$O,7,FALSE),0)</f>
        <v>0</v>
      </c>
      <c r="S11" s="99">
        <f t="shared" si="6"/>
        <v>0</v>
      </c>
      <c r="T11" s="266">
        <f>IFERROR(VLOOKUP($J$2&amp;$H11,Validation!$E:$O,7,FALSE),0)</f>
        <v>0</v>
      </c>
      <c r="U11" s="99">
        <f t="shared" si="7"/>
        <v>0</v>
      </c>
      <c r="V11" s="84"/>
      <c r="W11" s="265">
        <f>IFERROR(VLOOKUP($W$2&amp;$H11,Validation!$E:$O,9,FALSE),0)</f>
        <v>0</v>
      </c>
      <c r="X11" s="99">
        <f t="shared" si="8"/>
        <v>0</v>
      </c>
      <c r="Y11" s="265">
        <f>IFERROR(VLOOKUP($W$2&amp;$H11,Validation!$E:$O,10,FALSE),0)</f>
        <v>0</v>
      </c>
      <c r="Z11" s="99">
        <f t="shared" si="9"/>
        <v>0</v>
      </c>
      <c r="AA11" s="265">
        <f>IFERROR(VLOOKUP($W$2&amp;$H11,Validation!$E:$O,5,FALSE),0)</f>
        <v>0</v>
      </c>
      <c r="AB11" s="99">
        <f t="shared" si="10"/>
        <v>0</v>
      </c>
      <c r="AC11" s="265">
        <f>IFERROR(VLOOKUP($W$2&amp;$H11,Validation!$E:$O,6,FALSE),0)</f>
        <v>0</v>
      </c>
      <c r="AD11" s="99">
        <f t="shared" si="11"/>
        <v>0</v>
      </c>
      <c r="AE11" s="265">
        <f>IFERROR(VLOOKUP($W$2&amp;$H11,Validation!$E:$O,7,FALSE),0)</f>
        <v>0</v>
      </c>
      <c r="AF11" s="99">
        <f t="shared" si="12"/>
        <v>0</v>
      </c>
      <c r="AG11" s="131"/>
      <c r="AH11" s="266">
        <f>IFERROR(VLOOKUP($AH$2&amp;$H11,Validation!E:O,8,FALSE),0)</f>
        <v>0</v>
      </c>
      <c r="AI11" s="99">
        <f t="shared" si="0"/>
        <v>0</v>
      </c>
      <c r="AJ11" s="266">
        <f>IFERROR(VLOOKUP($AH$2&amp;$H11,Validation!E:O,11,FALSE),0)</f>
        <v>0</v>
      </c>
      <c r="AK11" s="99">
        <f t="shared" si="1"/>
        <v>0</v>
      </c>
      <c r="AL11" s="131"/>
      <c r="AM11" s="265">
        <f>IFERROR(VLOOKUP($AM$2&amp;$H11,Validation!$E:$O,6,FALSE),0)</f>
        <v>66.576033005083374</v>
      </c>
      <c r="AN11" s="99">
        <f t="shared" si="13"/>
        <v>0.4738211641333841</v>
      </c>
      <c r="AO11" s="265">
        <f>IFERROR(VLOOKUP($AM$2&amp;$H11,Validation!$E:$O,7,FALSE),0)</f>
        <v>133.15206601016675</v>
      </c>
      <c r="AP11" s="99">
        <f t="shared" si="14"/>
        <v>0.48240006524949913</v>
      </c>
      <c r="AQ11" s="84"/>
      <c r="AR11" s="265">
        <f>IFERROR(VLOOKUP($AR$2&amp;$H11,Validation!$E:$O,8,FALSE),0)</f>
        <v>332.88016502541683</v>
      </c>
      <c r="AS11" s="99">
        <f t="shared" si="15"/>
        <v>0.60851156227225955</v>
      </c>
      <c r="AT11" s="265">
        <f>IFERROR(VLOOKUP($AR$2&amp;$H11,Validation!$E:$O,11,FALSE),0)</f>
        <v>1480.9858514790699</v>
      </c>
      <c r="AU11" s="99">
        <f t="shared" si="16"/>
        <v>0.70523135784717617</v>
      </c>
      <c r="AV11" s="84"/>
      <c r="AW11" s="265">
        <f>IFERROR(VLOOKUP($AW$2&amp;$H11,Validation!$E:$O,6,FALSE),0)</f>
        <v>0</v>
      </c>
      <c r="AX11" s="99">
        <f t="shared" si="17"/>
        <v>0</v>
      </c>
      <c r="AY11" s="265">
        <f>IFERROR(VLOOKUP($AW$2&amp;$H11,Validation!$E:$O,7,FALSE),0)</f>
        <v>0</v>
      </c>
      <c r="AZ11" s="99">
        <f t="shared" si="18"/>
        <v>0</v>
      </c>
      <c r="BA11" s="84"/>
      <c r="BB11" s="265">
        <f>IFERROR(VLOOKUP($BB$2&amp;$H11,Validation!$E:$L,8,FALSE),0)</f>
        <v>0</v>
      </c>
      <c r="BC11" s="99">
        <f t="shared" si="19"/>
        <v>0</v>
      </c>
      <c r="BD11" s="265">
        <f>IFERROR(VLOOKUP($BB$2&amp;$H11,Validation!$E:$O,11,FALSE),0)</f>
        <v>0</v>
      </c>
      <c r="BE11" s="99">
        <f t="shared" si="20"/>
        <v>0</v>
      </c>
      <c r="BF11" s="84"/>
      <c r="BG11" s="265">
        <f>IFERROR(VLOOKUP($BG$2&amp;$H11,Validation!E:O,11,FALSE),0)</f>
        <v>0</v>
      </c>
      <c r="BH11" s="99">
        <f t="shared" si="21"/>
        <v>0</v>
      </c>
      <c r="BI11" s="84"/>
      <c r="BJ11" s="84"/>
    </row>
    <row r="12" spans="1:62" hidden="1" x14ac:dyDescent="0.2">
      <c r="A12" s="84"/>
      <c r="B12" s="222"/>
      <c r="C12" s="228" t="str">
        <f>'Pricing Trends'!R18</f>
        <v>RBD COCONUT OIL</v>
      </c>
      <c r="D12" s="249">
        <f>'Pricing Trends'!S18</f>
        <v>45468</v>
      </c>
      <c r="E12" s="223">
        <f>'Pricing Trends'!U18</f>
        <v>64.678485570000007</v>
      </c>
      <c r="F12" s="220" t="b">
        <v>1</v>
      </c>
      <c r="G12" s="84"/>
      <c r="H12" s="245" t="s">
        <v>67</v>
      </c>
      <c r="I12" s="84"/>
      <c r="J12" s="265">
        <f>IFERROR(VLOOKUP($J$2&amp;$H12,Validation!$E:$O,4,FALSE),0)</f>
        <v>0</v>
      </c>
      <c r="K12" s="99">
        <f t="shared" si="2"/>
        <v>0</v>
      </c>
      <c r="L12" s="265">
        <f>IFERROR(VLOOKUP($J$2&amp;$H12,Validation!$E:$O,5,FALSE),0)</f>
        <v>0</v>
      </c>
      <c r="M12" s="99">
        <f t="shared" si="3"/>
        <v>0</v>
      </c>
      <c r="N12" s="265">
        <f>IFERROR(VLOOKUP($J$2&amp;$H12,Validation!$E:$O,6,FALSE),0)</f>
        <v>0</v>
      </c>
      <c r="O12" s="99">
        <f t="shared" si="4"/>
        <v>0</v>
      </c>
      <c r="P12" s="265">
        <f>IFERROR(VLOOKUP($J$2&amp;$H12,Validation!$E:$O,6,FALSE),0)</f>
        <v>0</v>
      </c>
      <c r="Q12" s="99">
        <f t="shared" si="5"/>
        <v>0</v>
      </c>
      <c r="R12" s="266">
        <f>IFERROR(VLOOKUP($J$2&amp;$H12,Validation!$E:$O,7,FALSE),0)</f>
        <v>0</v>
      </c>
      <c r="S12" s="99">
        <f t="shared" si="6"/>
        <v>0</v>
      </c>
      <c r="T12" s="266">
        <f>IFERROR(VLOOKUP($J$2&amp;$H12,Validation!$E:$O,7,FALSE),0)</f>
        <v>0</v>
      </c>
      <c r="U12" s="99">
        <f t="shared" si="7"/>
        <v>0</v>
      </c>
      <c r="V12" s="84"/>
      <c r="W12" s="265">
        <f>IFERROR(VLOOKUP($W$2&amp;$H12,Validation!$E:$O,9,FALSE),0)</f>
        <v>0</v>
      </c>
      <c r="X12" s="99">
        <f t="shared" si="8"/>
        <v>0</v>
      </c>
      <c r="Y12" s="265">
        <f>IFERROR(VLOOKUP($W$2&amp;$H12,Validation!$E:$O,10,FALSE),0)</f>
        <v>0</v>
      </c>
      <c r="Z12" s="99">
        <f t="shared" si="9"/>
        <v>0</v>
      </c>
      <c r="AA12" s="265">
        <f>IFERROR(VLOOKUP($W$2&amp;$H12,Validation!$E:$O,5,FALSE),0)</f>
        <v>0</v>
      </c>
      <c r="AB12" s="99">
        <f t="shared" si="10"/>
        <v>0</v>
      </c>
      <c r="AC12" s="265">
        <f>IFERROR(VLOOKUP($W$2&amp;$H12,Validation!$E:$O,6,FALSE),0)</f>
        <v>0</v>
      </c>
      <c r="AD12" s="99">
        <f t="shared" si="11"/>
        <v>0</v>
      </c>
      <c r="AE12" s="265">
        <f>IFERROR(VLOOKUP($W$2&amp;$H12,Validation!$E:$O,7,FALSE),0)</f>
        <v>0</v>
      </c>
      <c r="AF12" s="99">
        <f t="shared" si="12"/>
        <v>0</v>
      </c>
      <c r="AG12" s="131"/>
      <c r="AH12" s="266">
        <f>IFERROR(VLOOKUP($AH$2&amp;$H12,Validation!E:O,8,FALSE),0)</f>
        <v>0</v>
      </c>
      <c r="AI12" s="99">
        <f t="shared" si="0"/>
        <v>0</v>
      </c>
      <c r="AJ12" s="266">
        <f>IFERROR(VLOOKUP($AH$2&amp;$H12,Validation!E:O,11,FALSE),0)</f>
        <v>0</v>
      </c>
      <c r="AK12" s="99">
        <f t="shared" si="1"/>
        <v>0</v>
      </c>
      <c r="AL12" s="131"/>
      <c r="AM12" s="265">
        <f>IFERROR(VLOOKUP($AM$2&amp;$H12,Validation!$E:$O,6,FALSE),0)</f>
        <v>0</v>
      </c>
      <c r="AN12" s="99">
        <f t="shared" si="13"/>
        <v>0</v>
      </c>
      <c r="AO12" s="265">
        <f>IFERROR(VLOOKUP($AM$2&amp;$H12,Validation!$E:$O,7,FALSE),0)</f>
        <v>0</v>
      </c>
      <c r="AP12" s="99">
        <f t="shared" si="14"/>
        <v>0</v>
      </c>
      <c r="AQ12" s="84"/>
      <c r="AR12" s="265">
        <f>IFERROR(VLOOKUP($AR$2&amp;$H12,Validation!$E:$O,8,FALSE),0)</f>
        <v>0</v>
      </c>
      <c r="AS12" s="99">
        <f t="shared" si="15"/>
        <v>0</v>
      </c>
      <c r="AT12" s="265">
        <f>IFERROR(VLOOKUP($AR$2&amp;$H12,Validation!$E:$O,11,FALSE),0)</f>
        <v>0</v>
      </c>
      <c r="AU12" s="99">
        <f t="shared" si="16"/>
        <v>0</v>
      </c>
      <c r="AV12" s="84"/>
      <c r="AW12" s="265">
        <f>IFERROR(VLOOKUP($AW$2&amp;$H12,Validation!$E:$O,6,FALSE),0)</f>
        <v>0</v>
      </c>
      <c r="AX12" s="99">
        <f t="shared" si="17"/>
        <v>0</v>
      </c>
      <c r="AY12" s="265">
        <f>IFERROR(VLOOKUP($AW$2&amp;$H12,Validation!$E:$O,7,FALSE),0)</f>
        <v>0</v>
      </c>
      <c r="AZ12" s="99">
        <f t="shared" si="18"/>
        <v>0</v>
      </c>
      <c r="BA12" s="84"/>
      <c r="BB12" s="265">
        <f>IFERROR(VLOOKUP($J$2&amp;$H12,Validation!$E:$K,4,FALSE),0)</f>
        <v>0</v>
      </c>
      <c r="BC12" s="99">
        <f t="shared" si="19"/>
        <v>0</v>
      </c>
      <c r="BD12" s="265">
        <f>IFERROR(VLOOKUP($BB$2&amp;$H12,Validation!$E:$O,11,FALSE),0)</f>
        <v>0</v>
      </c>
      <c r="BE12" s="99">
        <f t="shared" si="20"/>
        <v>0</v>
      </c>
      <c r="BF12" s="84"/>
      <c r="BG12" s="265">
        <f>IFERROR(VLOOKUP($BG$2&amp;$H12,Validation!E:O,11,FALSE),0)</f>
        <v>1519.02</v>
      </c>
      <c r="BH12" s="99">
        <f t="shared" si="21"/>
        <v>1.3324736842105263</v>
      </c>
      <c r="BI12" s="84"/>
      <c r="BJ12" s="84"/>
    </row>
    <row r="13" spans="1:62" hidden="1" x14ac:dyDescent="0.2">
      <c r="A13" s="84"/>
      <c r="B13" s="222"/>
      <c r="C13" s="228" t="str">
        <f>'Pricing Trends'!R19</f>
        <v>RBD COCONUT OIL</v>
      </c>
      <c r="D13" s="249">
        <f>'Pricing Trends'!S19</f>
        <v>45222</v>
      </c>
      <c r="E13" s="223">
        <f>'Pricing Trends'!U19</f>
        <v>51.478299999999997</v>
      </c>
      <c r="F13" s="220" t="b">
        <v>0</v>
      </c>
      <c r="G13" s="84"/>
      <c r="H13" s="245" t="s">
        <v>73</v>
      </c>
      <c r="I13" s="84"/>
      <c r="J13" s="98">
        <f>IFERROR(VLOOKUP("350ML LABEL PALM",'Pricing Trends'!$K:$N,4,FALSE),0)</f>
        <v>0.3</v>
      </c>
      <c r="K13" s="99">
        <f t="shared" si="2"/>
        <v>6.9623981694058373E-3</v>
      </c>
      <c r="L13" s="98">
        <f>IFERROR(VLOOKUP("500ML LABEL PALM",'Pricing Trends'!$K:$N,4,FALSE),0)</f>
        <v>0.45</v>
      </c>
      <c r="M13" s="99">
        <f t="shared" si="3"/>
        <v>7.4435352080357243E-3</v>
      </c>
      <c r="N13" s="98">
        <f>IFERROR(VLOOKUP("1LITER LABEL PALM",'Pricing Trends'!$K:$N,4,FALSE),0)</f>
        <v>0.55000000000000004</v>
      </c>
      <c r="O13" s="99">
        <f t="shared" si="4"/>
        <v>4.7064747177812949E-3</v>
      </c>
      <c r="P13" s="98">
        <f>IFERROR(VLOOKUP("1LITER LABEL PALM MZL",'Pricing Trends'!$K:$N,4,FALSE),0)</f>
        <v>0.7</v>
      </c>
      <c r="Q13" s="99">
        <f t="shared" si="5"/>
        <v>5.990058731721648E-3</v>
      </c>
      <c r="R13" s="94">
        <f>IFERROR(VLOOKUP("2LITERS LABEL PALM",'Pricing Trends'!$K:$N,4,FALSE),0)</f>
        <v>1.02</v>
      </c>
      <c r="S13" s="99">
        <f t="shared" si="6"/>
        <v>4.5088735992180502E-3</v>
      </c>
      <c r="T13" s="94">
        <f>IFERROR(VLOOKUP("2LITERS LABEL PALM MZL",'Pricing Trends'!$K:$N,4,FALSE),0)</f>
        <v>0</v>
      </c>
      <c r="U13" s="99">
        <f t="shared" si="7"/>
        <v>0</v>
      </c>
      <c r="V13" s="84"/>
      <c r="W13" s="252"/>
      <c r="X13" s="99">
        <f t="shared" si="8"/>
        <v>0</v>
      </c>
      <c r="Y13" s="252"/>
      <c r="Z13" s="99">
        <f t="shared" si="9"/>
        <v>0</v>
      </c>
      <c r="AA13" s="252"/>
      <c r="AB13" s="99">
        <f t="shared" si="10"/>
        <v>0</v>
      </c>
      <c r="AC13" s="252"/>
      <c r="AD13" s="99">
        <f t="shared" si="11"/>
        <v>0</v>
      </c>
      <c r="AE13" s="252"/>
      <c r="AF13" s="99">
        <f t="shared" si="12"/>
        <v>0</v>
      </c>
      <c r="AG13" s="131"/>
      <c r="AH13" s="94">
        <f>IFERROR(VLOOKUP("4LITERS LABEL PALM",'Pricing Trends'!$K:$N,4,FALSE),0)</f>
        <v>7</v>
      </c>
      <c r="AI13" s="99">
        <f t="shared" si="0"/>
        <v>1.5644515147614998E-2</v>
      </c>
      <c r="AJ13" s="251"/>
      <c r="AK13" s="99">
        <f t="shared" si="1"/>
        <v>0</v>
      </c>
      <c r="AL13" s="131"/>
      <c r="AM13" s="98">
        <f>IFERROR(VLOOKUP("1LITER LABEL CANOLEIN",'Pricing Trends'!$K:$N,4,FALSE),0)</f>
        <v>0.72</v>
      </c>
      <c r="AN13" s="99">
        <f t="shared" si="13"/>
        <v>5.1242349953471711E-3</v>
      </c>
      <c r="AO13" s="98">
        <f>IFERROR(VLOOKUP("2LITERS LABEL CANOLEIN",'Pricing Trends'!$K:$N,4,FALSE),0)</f>
        <v>1.05</v>
      </c>
      <c r="AP13" s="99">
        <f t="shared" si="14"/>
        <v>3.8040721686834291E-3</v>
      </c>
      <c r="AQ13" s="84"/>
      <c r="AR13" s="98">
        <f>IFERROR(VLOOKUP("4LITERS LABEL CANOLA",'Pricing Trends'!$K:$N,4,FALSE),0)</f>
        <v>7</v>
      </c>
      <c r="AS13" s="99">
        <f t="shared" si="15"/>
        <v>1.2796139221994737E-2</v>
      </c>
      <c r="AT13" s="252"/>
      <c r="AU13" s="99">
        <f t="shared" si="16"/>
        <v>0</v>
      </c>
      <c r="AV13" s="84"/>
      <c r="AW13" s="98">
        <f>IFERROR(VLOOKUP("1LITER LABEL SOYA",'Pricing Trends'!$K:$N,4,FALSE),0)</f>
        <v>0.72</v>
      </c>
      <c r="AX13" s="99">
        <f t="shared" si="17"/>
        <v>4.9789776499225488E-3</v>
      </c>
      <c r="AY13" s="98">
        <f>IFERROR(VLOOKUP("2LITERS LABEL SOYA",'Pricing Trends'!$K:$N,4,FALSE),0)</f>
        <v>1.05</v>
      </c>
      <c r="AZ13" s="99">
        <f t="shared" si="18"/>
        <v>3.7740460649279698E-3</v>
      </c>
      <c r="BA13" s="84"/>
      <c r="BB13" s="98">
        <f>IFERROR(VLOOKUP("4LITERS LABEL SOYA",'Pricing Trends'!$K:$N,4,FALSE),0)</f>
        <v>7</v>
      </c>
      <c r="BC13" s="99">
        <f t="shared" si="19"/>
        <v>1.269422159033208E-2</v>
      </c>
      <c r="BD13" s="252"/>
      <c r="BE13" s="99">
        <f t="shared" si="20"/>
        <v>0</v>
      </c>
      <c r="BF13" s="84"/>
      <c r="BG13" s="252"/>
      <c r="BH13" s="99">
        <f t="shared" si="21"/>
        <v>0</v>
      </c>
      <c r="BI13" s="84"/>
      <c r="BJ13" s="84"/>
    </row>
    <row r="14" spans="1:62" x14ac:dyDescent="0.2">
      <c r="A14" s="84"/>
      <c r="B14" s="222"/>
      <c r="C14" s="228" t="str">
        <f>'Pricing Trends'!R20</f>
        <v>RBD COCONUT OIL</v>
      </c>
      <c r="D14" s="249">
        <f>'Pricing Trends'!S20</f>
        <v>45133</v>
      </c>
      <c r="E14" s="223">
        <f>'Pricing Trends'!U20</f>
        <v>54.558999999999997</v>
      </c>
      <c r="F14" s="220" t="b">
        <v>0</v>
      </c>
      <c r="G14" s="84"/>
      <c r="H14" s="245" t="s">
        <v>77</v>
      </c>
      <c r="I14" s="84"/>
      <c r="J14" s="98">
        <f>IFERROR(VLOOKUP("350ML BOTTLE PALM [SWAK]",'Pricing Trends'!$A:$D,4,FALSE),0)</f>
        <v>3.35</v>
      </c>
      <c r="K14" s="99">
        <f t="shared" si="2"/>
        <v>7.7746779558365189E-2</v>
      </c>
      <c r="L14" s="98">
        <f>IFERROR(VLOOKUP("500ML BOTTLE PALM [SWAK]",'Pricing Trends'!$A:$D,4,FALSE),0)</f>
        <v>3.65</v>
      </c>
      <c r="M14" s="99">
        <f t="shared" si="3"/>
        <v>6.0375341131845318E-2</v>
      </c>
      <c r="N14" s="98">
        <f>IFERROR(VLOOKUP("1LITER BOTTLE PALM [SWAK]",'Pricing Trends'!$A:$D,4,FALSE),0)</f>
        <v>6.55</v>
      </c>
      <c r="O14" s="99">
        <f t="shared" si="4"/>
        <v>5.6049835275395421E-2</v>
      </c>
      <c r="P14" s="98">
        <f>IFERROR(VLOOKUP("1LITER BOTTLE PALM [MZL]",'Pricing Trends'!$A:$D,4,FALSE),0)</f>
        <v>0</v>
      </c>
      <c r="Q14" s="99">
        <f t="shared" si="5"/>
        <v>0</v>
      </c>
      <c r="R14" s="94">
        <f>IFERROR(VLOOKUP("2LITERS BOTTLE PALM [NUTRI]",'Pricing Trends'!$A:$D,4,FALSE),0)</f>
        <v>15.75</v>
      </c>
      <c r="S14" s="99">
        <f t="shared" si="6"/>
        <v>6.9622312929102245E-2</v>
      </c>
      <c r="T14" s="94">
        <f>IFERROR(VLOOKUP("2LITERS BOTTLE PALM [MZL]",'Pricing Trends'!$A:$D,4,FALSE),0)</f>
        <v>0</v>
      </c>
      <c r="U14" s="99">
        <f t="shared" si="7"/>
        <v>0</v>
      </c>
      <c r="V14" s="84"/>
      <c r="W14" s="98">
        <f>IFERROR(VLOOKUP("180ML POUCH PALM [SUP]",'Pricing Trends'!$A:$D,4,FALSE),0)</f>
        <v>2.1</v>
      </c>
      <c r="X14" s="99">
        <f>W14/W$7</f>
        <v>0.1144105346535475</v>
      </c>
      <c r="Y14" s="98">
        <f>IFERROR(VLOOKUP("300ML POUCH PALM [SUP]",'Pricing Trends'!$A:$D,4,FALSE),0)</f>
        <v>2.6</v>
      </c>
      <c r="Z14" s="99">
        <f>Y14/Y$7</f>
        <v>8.846710435108715E-2</v>
      </c>
      <c r="AA14" s="98">
        <f>IFERROR(VLOOKUP("500ML POUCH PALM [SUP]",'Pricing Trends'!$A:$D,4,FALSE),0)</f>
        <v>0</v>
      </c>
      <c r="AB14" s="99">
        <f>AA14/AA$7</f>
        <v>0</v>
      </c>
      <c r="AC14" s="98">
        <f>IFERROR(VLOOKUP("1LITER POUCH PALM [SUP]",'Pricing Trends'!$A:$D,4,FALSE),0)</f>
        <v>4.7</v>
      </c>
      <c r="AD14" s="99">
        <f>AC14/AC$7</f>
        <v>5.1112410502169213E-2</v>
      </c>
      <c r="AE14" s="98">
        <f>IFERROR(VLOOKUP("2LITERS POUCH PALM [SUP]",'Pricing Trends'!$A:$D,4,FALSE),0)</f>
        <v>6.17</v>
      </c>
      <c r="AF14" s="99">
        <f>AE14/AE$7</f>
        <v>4.1733074336656503E-2</v>
      </c>
      <c r="AG14" s="131"/>
      <c r="AH14" s="94">
        <f>IFERROR(VLOOKUP("4LITERS BOTTLE GODZILLA",'Pricing Trends'!$A:$D,4,FALSE),0)</f>
        <v>32.479999999999997</v>
      </c>
      <c r="AI14" s="99">
        <f t="shared" si="0"/>
        <v>7.259055028493358E-2</v>
      </c>
      <c r="AJ14" s="251"/>
      <c r="AK14" s="99">
        <f t="shared" si="1"/>
        <v>0</v>
      </c>
      <c r="AL14" s="131"/>
      <c r="AM14" s="98">
        <f>IFERROR(VLOOKUP("1LITER BOTTLE CANSOY [NUTRI]",'Pricing Trends'!$A:$D,4,FALSE),0)</f>
        <v>6.6</v>
      </c>
      <c r="AN14" s="99">
        <f t="shared" si="13"/>
        <v>4.6972154124015737E-2</v>
      </c>
      <c r="AO14" s="98">
        <f>IFERROR(VLOOKUP("2LITERS BOTTLE CANOLEIN [ROUND]",'Pricing Trends'!$A:$D,4,FALSE),0)</f>
        <v>18.100000000000001</v>
      </c>
      <c r="AP14" s="99">
        <f t="shared" si="14"/>
        <v>6.5574958336352449E-2</v>
      </c>
      <c r="AQ14" s="84"/>
      <c r="AR14" s="98">
        <f>IFERROR(VLOOKUP("4LITERS BOTTLE GODZILLA",'Pricing Trends'!$A:$D,4,FALSE),0)</f>
        <v>32.479999999999997</v>
      </c>
      <c r="AS14" s="99">
        <f t="shared" si="15"/>
        <v>5.9374085990055572E-2</v>
      </c>
      <c r="AT14" s="252"/>
      <c r="AU14" s="99">
        <f t="shared" si="16"/>
        <v>0</v>
      </c>
      <c r="AV14" s="84"/>
      <c r="AW14" s="98">
        <f>IFERROR(VLOOKUP("1LITER BOTTLE CANSOY [NUTRI]",'Pricing Trends'!$A:$D,4,FALSE),0)</f>
        <v>6.6</v>
      </c>
      <c r="AX14" s="99">
        <f t="shared" si="17"/>
        <v>4.5640628457623365E-2</v>
      </c>
      <c r="AY14" s="98">
        <f>IFERROR(VLOOKUP("2LITERS BOTTLE SOYA [ROUND]",'Pricing Trends'!$A:$D,4,FALSE),0)</f>
        <v>19</v>
      </c>
      <c r="AZ14" s="99">
        <f t="shared" si="18"/>
        <v>6.8292262127268022E-2</v>
      </c>
      <c r="BA14" s="84"/>
      <c r="BB14" s="98">
        <f>IFERROR(VLOOKUP("4LITERS BOTTLE GODZILLA",'Pricing Trends'!$A:$D,4,FALSE),0)</f>
        <v>32.479999999999997</v>
      </c>
      <c r="BC14" s="99">
        <f t="shared" si="19"/>
        <v>5.8901188179140848E-2</v>
      </c>
      <c r="BD14" s="252"/>
      <c r="BE14" s="99">
        <f t="shared" si="20"/>
        <v>0</v>
      </c>
      <c r="BF14" s="84"/>
      <c r="BG14" s="252"/>
      <c r="BH14" s="99">
        <f t="shared" si="21"/>
        <v>0</v>
      </c>
      <c r="BI14" s="84"/>
      <c r="BJ14" s="84"/>
    </row>
    <row r="15" spans="1:62" hidden="1" x14ac:dyDescent="0.2">
      <c r="A15" s="84"/>
      <c r="B15" s="222"/>
      <c r="C15" s="228" t="str">
        <f>'Pricing Trends'!R21</f>
        <v>RBD COCONUT OIL</v>
      </c>
      <c r="D15" s="249">
        <f>'Pricing Trends'!S21</f>
        <v>44965</v>
      </c>
      <c r="E15" s="223">
        <f>'Pricing Trends'!U21</f>
        <v>52.798299999999998</v>
      </c>
      <c r="F15" s="220" t="b">
        <v>0</v>
      </c>
      <c r="G15" s="84"/>
      <c r="H15" s="245" t="s">
        <v>80</v>
      </c>
      <c r="I15" s="84"/>
      <c r="J15" s="98">
        <f>IFERROR(VLOOKUP("350ML BOX PALM",'Pricing Trends'!$F:$I,4,FALSE),0)/K5</f>
        <v>0.80555555555555558</v>
      </c>
      <c r="K15" s="99">
        <f t="shared" si="2"/>
        <v>1.869532841784901E-2</v>
      </c>
      <c r="L15" s="98">
        <f>IFERROR(VLOOKUP("500ML BOX PALM",'Pricing Trends'!$F:$I,4,FALSE),0)/M5</f>
        <v>0.86249999999999993</v>
      </c>
      <c r="M15" s="99">
        <f t="shared" si="3"/>
        <v>1.4266775815401804E-2</v>
      </c>
      <c r="N15" s="98">
        <f>IFERROR(VLOOKUP("1LITER BOX PALM",'Pricing Trends'!$F:$I,4,FALSE),0)/O5</f>
        <v>2.5833333333333335</v>
      </c>
      <c r="O15" s="99">
        <f t="shared" si="4"/>
        <v>2.2106169128972751E-2</v>
      </c>
      <c r="P15" s="98">
        <f>IFERROR(VLOOKUP("1LITER BOX PALM MZL",'Pricing Trends'!$F:$I,4,FALSE),0)/Q5</f>
        <v>1.375</v>
      </c>
      <c r="Q15" s="99">
        <f t="shared" si="5"/>
        <v>1.1766186794453237E-2</v>
      </c>
      <c r="R15" s="94">
        <f>IFERROR(VLOOKUP("2LITERS BOX PALM",'Pricing Trends'!$F:$I,4,FALSE),0)/S5</f>
        <v>4.5</v>
      </c>
      <c r="S15" s="99">
        <f t="shared" si="6"/>
        <v>1.9892089408314929E-2</v>
      </c>
      <c r="T15" s="94">
        <f>IFERROR(VLOOKUP("2LITERS BOX PALM MZL",'Pricing Trends'!$F:$I,4,FALSE),0)/U5</f>
        <v>2.8333333333333335</v>
      </c>
      <c r="U15" s="99">
        <f t="shared" si="7"/>
        <v>1.2524648886716807E-2</v>
      </c>
      <c r="V15" s="84"/>
      <c r="W15" s="98">
        <f>IFERROR(VLOOKUP("180ML BOX PALM SUP",'Pricing Trends'!$F:$I,4,FALSE),0)/X5</f>
        <v>0.52083333333333337</v>
      </c>
      <c r="X15" s="99">
        <f t="shared" si="8"/>
        <v>2.5583466776696043E-2</v>
      </c>
      <c r="Y15" s="98">
        <f>IFERROR(VLOOKUP("300ML BOX PALM SUP",'Pricing Trends'!$F:$I,4,FALSE),0)/Z5</f>
        <v>0.69444444444444442</v>
      </c>
      <c r="Z15" s="99">
        <f t="shared" si="9"/>
        <v>2.1303937308477607E-2</v>
      </c>
      <c r="AA15" s="98">
        <f>IFERROR(VLOOKUP("500ML BOX PALM SUP",'Pricing Trends'!$F:$I,4,FALSE),0)/AB5</f>
        <v>0.91666666666666663</v>
      </c>
      <c r="AB15" s="99">
        <f t="shared" si="10"/>
        <v>1.7297229298361482E-2</v>
      </c>
      <c r="AC15" s="98">
        <f>IFERROR(VLOOKUP("1LITER BOX PALM SUP",'Pricing Trends'!$F:$I,4,FALSE),0)/AD5</f>
        <v>2.5833333333333335</v>
      </c>
      <c r="AD15" s="99">
        <f t="shared" si="11"/>
        <v>2.5329280648429587E-2</v>
      </c>
      <c r="AE15" s="98">
        <f>IFERROR(VLOOKUP("2LITERS BOX PALM SUP",'Pricing Trends'!$F:$I,4,FALSE),0)/AF5</f>
        <v>4.5</v>
      </c>
      <c r="AF15" s="99">
        <f t="shared" si="12"/>
        <v>2.7442371020856202E-2</v>
      </c>
      <c r="AG15" s="131"/>
      <c r="AH15" s="94">
        <f>IFERROR(VLOOKUP("4LITERS BOX CHECK",'Pricing Trends'!$F:$I,4,FALSE),0)/AI5</f>
        <v>4</v>
      </c>
      <c r="AI15" s="99">
        <f t="shared" si="0"/>
        <v>8.9397229414942842E-3</v>
      </c>
      <c r="AJ15" s="251"/>
      <c r="AK15" s="99">
        <f t="shared" si="1"/>
        <v>0</v>
      </c>
      <c r="AL15" s="131"/>
      <c r="AM15" s="98">
        <f>IFERROR(VLOOKUP("1LITER BOX CANOLEIN",'Pricing Trends'!$F:$I,4,FALSE),0)/AN5</f>
        <v>1.25</v>
      </c>
      <c r="AN15" s="99">
        <f t="shared" si="13"/>
        <v>8.8962413113666174E-3</v>
      </c>
      <c r="AO15" s="98">
        <f>IFERROR(VLOOKUP("2LITERS BOX CANOLEIN",'Pricing Trends'!$F:$I,4,FALSE),0)/AP5</f>
        <v>2.7333333333333329</v>
      </c>
      <c r="AP15" s="99">
        <f t="shared" si="14"/>
        <v>9.9026640581600361E-3</v>
      </c>
      <c r="AQ15" s="84"/>
      <c r="AR15" s="98">
        <f>IFERROR(VLOOKUP("4LITERS BOX CHECK",'Pricing Trends'!$F:$I,4,FALSE),0)/AS5</f>
        <v>4</v>
      </c>
      <c r="AS15" s="99">
        <f t="shared" si="15"/>
        <v>7.3120795554255632E-3</v>
      </c>
      <c r="AT15" s="252"/>
      <c r="AU15" s="99">
        <f t="shared" si="16"/>
        <v>0</v>
      </c>
      <c r="AV15" s="84"/>
      <c r="AW15" s="98">
        <f>IFERROR(VLOOKUP("1LITER BOX SOYA",'Pricing Trends'!$F:$I,4,FALSE),0)/AX5</f>
        <v>1.25</v>
      </c>
      <c r="AX15" s="99">
        <f t="shared" si="17"/>
        <v>8.6440584200044249E-3</v>
      </c>
      <c r="AY15" s="98">
        <f>IFERROR(VLOOKUP("2LITERS BOX CANOLEIN",'Pricing Trends'!$F:$I,4,FALSE),0)/AZ5</f>
        <v>2.7333333333333329</v>
      </c>
      <c r="AZ15" s="99">
        <f t="shared" si="18"/>
        <v>9.824500867431538E-3</v>
      </c>
      <c r="BA15" s="84"/>
      <c r="BB15" s="98">
        <f>IFERROR(VLOOKUP("4LITERS BOX CHECK",'Pricing Trends'!$F:$I,4,FALSE),0)/BC5</f>
        <v>4</v>
      </c>
      <c r="BC15" s="99">
        <f t="shared" si="19"/>
        <v>7.2538409087611888E-3</v>
      </c>
      <c r="BD15" s="252"/>
      <c r="BE15" s="99">
        <f t="shared" si="20"/>
        <v>0</v>
      </c>
      <c r="BF15" s="84"/>
      <c r="BG15" s="252"/>
      <c r="BH15" s="99">
        <f t="shared" si="21"/>
        <v>0</v>
      </c>
      <c r="BI15" s="84"/>
      <c r="BJ15" s="84"/>
    </row>
    <row r="16" spans="1:62" hidden="1" x14ac:dyDescent="0.2">
      <c r="A16" s="84"/>
      <c r="B16" s="222"/>
      <c r="C16" s="228">
        <f>'Pricing Trends'!R22</f>
        <v>0</v>
      </c>
      <c r="D16" s="249">
        <f>'Pricing Trends'!S22</f>
        <v>0</v>
      </c>
      <c r="E16" s="223">
        <f>'Pricing Trends'!U22</f>
        <v>0</v>
      </c>
      <c r="F16" s="220" t="b">
        <v>1</v>
      </c>
      <c r="G16" s="84"/>
      <c r="H16" s="245" t="s">
        <v>87</v>
      </c>
      <c r="I16" s="84"/>
      <c r="J16" s="98">
        <f>((IFERROR(VLOOKUP($H$16,'Pricing Trends'!$W:$Z,4,FALSE),0)/10000)*200)/K5</f>
        <v>1.3888888888888888E-2</v>
      </c>
      <c r="K16" s="99">
        <f t="shared" si="2"/>
        <v>3.2233324858360358E-4</v>
      </c>
      <c r="L16" s="98">
        <f>((IFERROR(VLOOKUP($H$16,'Pricing Trends'!$W:$Z,4,FALSE),0)/10000)*200)/M5</f>
        <v>2.0833333333333332E-2</v>
      </c>
      <c r="M16" s="99">
        <f t="shared" si="3"/>
        <v>3.4460811148313538E-4</v>
      </c>
      <c r="N16" s="98">
        <f>((IFERROR(VLOOKUP($H$16,'Pricing Trends'!$W:$Z,4,FALSE),0)/10000)*200)/O5</f>
        <v>4.1666666666666664E-2</v>
      </c>
      <c r="O16" s="99">
        <f t="shared" si="4"/>
        <v>3.565511149834314E-4</v>
      </c>
      <c r="P16" s="98">
        <f>((IFERROR(VLOOKUP($H$16,'Pricing Trends'!$W:$Z,4,FALSE),0)/10000)*200)/Q5</f>
        <v>4.1666666666666664E-2</v>
      </c>
      <c r="Q16" s="99">
        <f t="shared" si="5"/>
        <v>3.565511149834314E-4</v>
      </c>
      <c r="R16" s="98">
        <f>((IFERROR(VLOOKUP($H$16,'Pricing Trends'!$W:$Z,4,FALSE),0)/10000)*200)/S5</f>
        <v>8.3333333333333329E-2</v>
      </c>
      <c r="S16" s="99">
        <f t="shared" si="6"/>
        <v>3.6837202607990609E-4</v>
      </c>
      <c r="T16" s="98">
        <f>((IFERROR(VLOOKUP($H$16,'Pricing Trends'!$W:$Z,4,FALSE),0)/10000)*200)/U5</f>
        <v>8.3333333333333329E-2</v>
      </c>
      <c r="U16" s="99">
        <f t="shared" si="7"/>
        <v>3.6837202607990609E-4</v>
      </c>
      <c r="V16" s="84"/>
      <c r="W16" s="98">
        <f>((IFERROR(VLOOKUP($H$16,'Pricing Trends'!$W:$Z,4,FALSE),0)/10000)*200)/X5</f>
        <v>1.0416666666666666E-2</v>
      </c>
      <c r="X16" s="99">
        <f t="shared" si="8"/>
        <v>5.1166933553392082E-4</v>
      </c>
      <c r="Y16" s="98">
        <f>((IFERROR(VLOOKUP($H$16,'Pricing Trends'!$W:$Z,4,FALSE),0)/10000)*200)/Z5</f>
        <v>1.3888888888888888E-2</v>
      </c>
      <c r="Z16" s="99">
        <f t="shared" si="9"/>
        <v>4.2607874616955213E-4</v>
      </c>
      <c r="AA16" s="98">
        <f>((IFERROR(VLOOKUP($H$16,'Pricing Trends'!$W:$Z,4,FALSE),0)/10000)*200)/AB5</f>
        <v>2.0833333333333332E-2</v>
      </c>
      <c r="AB16" s="99">
        <f t="shared" si="10"/>
        <v>3.9311884769003365E-4</v>
      </c>
      <c r="AC16" s="98">
        <f>((IFERROR(VLOOKUP($H$16,'Pricing Trends'!$W:$Z,4,FALSE),0)/10000)*200)/AD5</f>
        <v>4.1666666666666664E-2</v>
      </c>
      <c r="AD16" s="99">
        <f t="shared" si="11"/>
        <v>4.0853678465209008E-4</v>
      </c>
      <c r="AE16" s="98">
        <f>((IFERROR(VLOOKUP($H$16,'Pricing Trends'!$W:$Z,4,FALSE),0)/10000)*200)/AF5</f>
        <v>8.3333333333333329E-2</v>
      </c>
      <c r="AF16" s="99">
        <f t="shared" si="12"/>
        <v>5.0819205594178156E-4</v>
      </c>
      <c r="AG16" s="131"/>
      <c r="AH16" s="98">
        <f>((IFERROR(VLOOKUP($H$16,'Pricing Trends'!$W:$Z,4,FALSE),0)/10000)*200)/AI5</f>
        <v>0.125</v>
      </c>
      <c r="AI16" s="99">
        <f t="shared" si="0"/>
        <v>2.7936634192169638E-4</v>
      </c>
      <c r="AJ16" s="251"/>
      <c r="AK16" s="99">
        <f t="shared" si="1"/>
        <v>0</v>
      </c>
      <c r="AL16" s="131"/>
      <c r="AM16" s="98">
        <f>((IFERROR(VLOOKUP($H$16,'Pricing Trends'!$W:$Z,4,FALSE),0)/10000)*200)/AN5</f>
        <v>4.1666666666666664E-2</v>
      </c>
      <c r="AN16" s="99">
        <f t="shared" si="13"/>
        <v>2.965413770455539E-4</v>
      </c>
      <c r="AO16" s="98">
        <f>((IFERROR(VLOOKUP($H$16,'Pricing Trends'!$W:$Z,4,FALSE),0)/10000)*200)/AP5</f>
        <v>8.3333333333333329E-2</v>
      </c>
      <c r="AP16" s="99">
        <f t="shared" si="14"/>
        <v>3.0191048957804988E-4</v>
      </c>
      <c r="AQ16" s="84"/>
      <c r="AR16" s="98">
        <f>((IFERROR(VLOOKUP($H$16,'Pricing Trends'!$W:$Z,4,FALSE),0)/10000)*200)/AS5</f>
        <v>0.125</v>
      </c>
      <c r="AS16" s="99">
        <f t="shared" si="15"/>
        <v>2.2850248610704885E-4</v>
      </c>
      <c r="AT16" s="252"/>
      <c r="AU16" s="99">
        <f t="shared" si="16"/>
        <v>0</v>
      </c>
      <c r="AV16" s="84"/>
      <c r="AW16" s="98">
        <f>((IFERROR(VLOOKUP($H$16,'Pricing Trends'!$W:$Z,4,FALSE),0)/10000)*200)/AX5</f>
        <v>4.1666666666666664E-2</v>
      </c>
      <c r="AX16" s="99">
        <f t="shared" si="17"/>
        <v>2.8813528066681419E-4</v>
      </c>
      <c r="AY16" s="98">
        <f>((IFERROR(VLOOKUP($H$16,'Pricing Trends'!$W:$Z,4,FALSE),0)/10000)*200)/AZ5</f>
        <v>8.3333333333333329E-2</v>
      </c>
      <c r="AZ16" s="99">
        <f t="shared" si="18"/>
        <v>2.9952746547047375E-4</v>
      </c>
      <c r="BA16" s="84"/>
      <c r="BB16" s="98">
        <f>((IFERROR(VLOOKUP($H$16,'Pricing Trends'!$W:$Z,4,FALSE),0)/10000)*200)/BC5</f>
        <v>0.125</v>
      </c>
      <c r="BC16" s="99">
        <f t="shared" si="19"/>
        <v>2.2668252839878715E-4</v>
      </c>
      <c r="BD16" s="252"/>
      <c r="BE16" s="99">
        <f t="shared" si="20"/>
        <v>0</v>
      </c>
      <c r="BF16" s="84"/>
      <c r="BG16" s="252"/>
      <c r="BH16" s="99">
        <f t="shared" si="21"/>
        <v>0</v>
      </c>
      <c r="BI16" s="84"/>
      <c r="BJ16" s="84"/>
    </row>
    <row r="17" spans="1:62" hidden="1" x14ac:dyDescent="0.2">
      <c r="A17" s="84"/>
      <c r="B17" s="222"/>
      <c r="C17" s="228" t="str">
        <f>'Pricing Trends'!R23</f>
        <v>RBD PALM OLEIN (FOREIGN)</v>
      </c>
      <c r="D17" s="249">
        <f>'Pricing Trends'!S23</f>
        <v>45547</v>
      </c>
      <c r="E17" s="223">
        <f>'Pricing Trends'!U23</f>
        <v>60.65316</v>
      </c>
      <c r="F17" s="220" t="b">
        <v>0</v>
      </c>
      <c r="G17" s="84"/>
      <c r="H17" s="245" t="s">
        <v>103</v>
      </c>
      <c r="I17" s="84"/>
      <c r="J17" s="98">
        <f>((40/3000)*7)</f>
        <v>9.3333333333333338E-2</v>
      </c>
      <c r="K17" s="99">
        <f t="shared" si="2"/>
        <v>2.1660794304818164E-3</v>
      </c>
      <c r="L17" s="98">
        <f>((40/3000)*7)</f>
        <v>9.3333333333333338E-2</v>
      </c>
      <c r="M17" s="99">
        <f t="shared" si="3"/>
        <v>1.5438443394444467E-3</v>
      </c>
      <c r="N17" s="98">
        <f>((40/3000)*12)</f>
        <v>0.16</v>
      </c>
      <c r="O17" s="99">
        <f t="shared" si="4"/>
        <v>1.3691562815363767E-3</v>
      </c>
      <c r="P17" s="251"/>
      <c r="Q17" s="99">
        <f t="shared" si="5"/>
        <v>0</v>
      </c>
      <c r="R17" s="251"/>
      <c r="S17" s="99">
        <f t="shared" si="6"/>
        <v>0</v>
      </c>
      <c r="T17" s="251"/>
      <c r="U17" s="99">
        <f t="shared" si="7"/>
        <v>0</v>
      </c>
      <c r="V17" s="84"/>
      <c r="W17" s="252"/>
      <c r="X17" s="99">
        <f t="shared" si="8"/>
        <v>0</v>
      </c>
      <c r="Y17" s="252"/>
      <c r="Z17" s="99">
        <f t="shared" si="9"/>
        <v>0</v>
      </c>
      <c r="AA17" s="252"/>
      <c r="AB17" s="99">
        <f t="shared" si="10"/>
        <v>0</v>
      </c>
      <c r="AC17" s="252"/>
      <c r="AD17" s="99">
        <f t="shared" si="11"/>
        <v>0</v>
      </c>
      <c r="AE17" s="252"/>
      <c r="AF17" s="99">
        <f t="shared" si="12"/>
        <v>0</v>
      </c>
      <c r="AG17" s="131"/>
      <c r="AH17" s="251"/>
      <c r="AI17" s="99">
        <f t="shared" si="0"/>
        <v>0</v>
      </c>
      <c r="AJ17" s="251"/>
      <c r="AK17" s="99">
        <f t="shared" si="1"/>
        <v>0</v>
      </c>
      <c r="AL17" s="131"/>
      <c r="AM17" s="250"/>
      <c r="AN17" s="99">
        <f t="shared" si="13"/>
        <v>0</v>
      </c>
      <c r="AO17" s="250"/>
      <c r="AP17" s="99">
        <f t="shared" si="14"/>
        <v>0</v>
      </c>
      <c r="AQ17" s="84"/>
      <c r="AR17" s="252"/>
      <c r="AS17" s="99">
        <f t="shared" si="15"/>
        <v>0</v>
      </c>
      <c r="AT17" s="252"/>
      <c r="AU17" s="99">
        <f t="shared" si="16"/>
        <v>0</v>
      </c>
      <c r="AV17" s="84"/>
      <c r="AW17" s="252"/>
      <c r="AX17" s="99">
        <f t="shared" si="17"/>
        <v>0</v>
      </c>
      <c r="AY17" s="252"/>
      <c r="AZ17" s="99">
        <f t="shared" si="18"/>
        <v>0</v>
      </c>
      <c r="BA17" s="84"/>
      <c r="BB17" s="252"/>
      <c r="BC17" s="99">
        <f t="shared" si="19"/>
        <v>0</v>
      </c>
      <c r="BD17" s="252"/>
      <c r="BE17" s="99">
        <f t="shared" si="20"/>
        <v>0</v>
      </c>
      <c r="BF17" s="84"/>
      <c r="BG17" s="252"/>
      <c r="BH17" s="99">
        <f t="shared" si="21"/>
        <v>0</v>
      </c>
      <c r="BI17" s="84"/>
      <c r="BJ17" s="84"/>
    </row>
    <row r="18" spans="1:62" hidden="1" x14ac:dyDescent="0.2">
      <c r="A18" s="84"/>
      <c r="B18" s="222"/>
      <c r="C18" s="228" t="str">
        <f>'Pricing Trends'!R24</f>
        <v>RBD PALM OLEIN (FOREIGN)</v>
      </c>
      <c r="D18" s="249">
        <f>'Pricing Trends'!S24</f>
        <v>45517</v>
      </c>
      <c r="E18" s="223">
        <f>'Pricing Trends'!U24</f>
        <v>60.97</v>
      </c>
      <c r="F18" s="220" t="b">
        <v>0</v>
      </c>
      <c r="G18" s="84"/>
      <c r="H18" s="246" t="s">
        <v>112</v>
      </c>
      <c r="I18" s="84"/>
      <c r="J18" s="197">
        <f>SUM(J8:J17)</f>
        <v>26.676083527277779</v>
      </c>
      <c r="K18" s="195">
        <f>J18/J6</f>
        <v>0.61909838372412007</v>
      </c>
      <c r="L18" s="197">
        <f>SUM(L8:L17)</f>
        <v>36.667103451666662</v>
      </c>
      <c r="M18" s="195">
        <f>L18/L6</f>
        <v>0.60651750115370895</v>
      </c>
      <c r="N18" s="197">
        <f>SUM(N8:N17)</f>
        <v>73.065873569999994</v>
      </c>
      <c r="O18" s="195">
        <f>N18/N6</f>
        <v>0.62524124852692631</v>
      </c>
      <c r="P18" s="197">
        <f>SUM(P8:P17)</f>
        <v>65.297540236666677</v>
      </c>
      <c r="Q18" s="195">
        <f>P18/P6</f>
        <v>0.55876585864941553</v>
      </c>
      <c r="R18" s="197">
        <f>SUM(R8:R17)</f>
        <v>147.71508047333333</v>
      </c>
      <c r="S18" s="195">
        <f>R18/R6</f>
        <v>0.65296924171821802</v>
      </c>
      <c r="T18" s="197">
        <f>SUM(T8:T17)</f>
        <v>129.27841380666666</v>
      </c>
      <c r="U18" s="195">
        <f>T18/T6</f>
        <v>0.57147061466829963</v>
      </c>
      <c r="V18" s="84"/>
      <c r="W18" s="197">
        <f>SUM(W8:W17)</f>
        <v>14.003807242599999</v>
      </c>
      <c r="X18" s="195">
        <f>W18/W6</f>
        <v>0.68787059968955988</v>
      </c>
      <c r="Y18" s="197">
        <f>SUM(Y8:Y17)</f>
        <v>22.262595404333332</v>
      </c>
      <c r="Z18" s="195">
        <f>Y18/Y6</f>
        <v>0.68296454901780335</v>
      </c>
      <c r="AA18" s="197">
        <f>SUM(AA8:AA17)</f>
        <v>32.527936785000001</v>
      </c>
      <c r="AB18" s="195">
        <f>AA18/AA6</f>
        <v>0.61379256127936599</v>
      </c>
      <c r="AC18" s="197">
        <f>SUM(AC8:AC17)</f>
        <v>70.505873569999991</v>
      </c>
      <c r="AD18" s="195">
        <f>AC18/AC6</f>
        <v>0.6913018292969898</v>
      </c>
      <c r="AE18" s="197">
        <f>SUM(AE8:AE17)</f>
        <v>137.11508047333334</v>
      </c>
      <c r="AF18" s="195">
        <f>AE18/AE6</f>
        <v>0.83616953575639308</v>
      </c>
      <c r="AG18" s="131"/>
      <c r="AH18" s="197">
        <f>SUM(AH8:AH17)</f>
        <v>43.604999999999997</v>
      </c>
      <c r="AI18" s="195">
        <f>AH18/AH6</f>
        <v>9.7454154715964553E-2</v>
      </c>
      <c r="AJ18" s="197">
        <f>SUM(AJ8:AJ17)</f>
        <v>0</v>
      </c>
      <c r="AK18" s="195">
        <f>AJ18/AJ6</f>
        <v>0</v>
      </c>
      <c r="AL18" s="131"/>
      <c r="AM18" s="197">
        <f>SUM(AM8:AM17)</f>
        <v>87.318331671750045</v>
      </c>
      <c r="AN18" s="195">
        <f>AM18/AM6</f>
        <v>0.62144395956626786</v>
      </c>
      <c r="AO18" s="197">
        <f>SUM(AO8:AO17)</f>
        <v>179.37999667683343</v>
      </c>
      <c r="AP18" s="195">
        <f>AO18/AO6</f>
        <v>0.64988043140654095</v>
      </c>
      <c r="AQ18" s="84"/>
      <c r="AR18" s="197">
        <f>SUM(AR8:AR17)</f>
        <v>376.48516502541685</v>
      </c>
      <c r="AS18" s="195">
        <f>AR18/AR6</f>
        <v>0.68822236952584248</v>
      </c>
      <c r="AT18" s="197">
        <f>SUM(AT8:AT17)</f>
        <v>1480.9858514790699</v>
      </c>
      <c r="AU18" s="195">
        <f>AT18/AT6</f>
        <v>0.70523135784717617</v>
      </c>
      <c r="AV18" s="84"/>
      <c r="AW18" s="197">
        <f>SUM(AW8:AW17)</f>
        <v>76.005396186666673</v>
      </c>
      <c r="AX18" s="195">
        <f>AW18/AW6</f>
        <v>0.52559606789850266</v>
      </c>
      <c r="AY18" s="197">
        <f>SUM(AY8:AY17)</f>
        <v>157.65412570666669</v>
      </c>
      <c r="AZ18" s="195">
        <f>AY18/AY6</f>
        <v>0.56666088832657602</v>
      </c>
      <c r="BA18" s="84"/>
      <c r="BB18" s="197">
        <f>SUM(BB8:BB17)</f>
        <v>319.9204876</v>
      </c>
      <c r="BC18" s="195">
        <f>BB18/BB6</f>
        <v>0.58016308012592666</v>
      </c>
      <c r="BD18" s="197">
        <f>SUM(BD8:BD17)</f>
        <v>1229.3292622253257</v>
      </c>
      <c r="BE18" s="195">
        <f>BD18/BD6</f>
        <v>0.57178105219782593</v>
      </c>
      <c r="BF18" s="84"/>
      <c r="BG18" s="197">
        <f>SUM(BG8:BG17)</f>
        <v>1519.02</v>
      </c>
      <c r="BH18" s="195">
        <f>BG18/BG6</f>
        <v>1.3324736842105263</v>
      </c>
      <c r="BI18" s="84"/>
      <c r="BJ18" s="84"/>
    </row>
    <row r="19" spans="1:62" s="74" customFormat="1" hidden="1" x14ac:dyDescent="0.2">
      <c r="A19" s="84"/>
      <c r="B19" s="222"/>
      <c r="C19" s="228" t="str">
        <f>'Pricing Trends'!R25</f>
        <v>RBD PALM OLEIN (FOREIGN)</v>
      </c>
      <c r="D19" s="249">
        <f>'Pricing Trends'!S25</f>
        <v>45494</v>
      </c>
      <c r="E19" s="223">
        <f>'Pricing Trends'!U25</f>
        <v>60.496870000000001</v>
      </c>
      <c r="F19" s="220" t="b">
        <v>1</v>
      </c>
      <c r="G19" s="84"/>
      <c r="H19" s="243" t="s">
        <v>406</v>
      </c>
      <c r="I19" s="84"/>
      <c r="J19" s="96">
        <f>J6-J18</f>
        <v>16.412517943155162</v>
      </c>
      <c r="K19" s="97">
        <f>J19/J6</f>
        <v>0.38090161627587987</v>
      </c>
      <c r="L19" s="96">
        <f>L6-L18</f>
        <v>23.788041506094686</v>
      </c>
      <c r="M19" s="97">
        <f>L19/L6</f>
        <v>0.393482498846291</v>
      </c>
      <c r="N19" s="96">
        <f>N6-N18</f>
        <v>43.794416345522706</v>
      </c>
      <c r="O19" s="97">
        <f>N19/N6</f>
        <v>0.37475875147307364</v>
      </c>
      <c r="P19" s="96">
        <f>P6-P18</f>
        <v>51.562749678856022</v>
      </c>
      <c r="Q19" s="97">
        <f>P19/P6</f>
        <v>0.44123414135058447</v>
      </c>
      <c r="R19" s="96">
        <f>R6-R18</f>
        <v>78.505499357712068</v>
      </c>
      <c r="S19" s="97">
        <f>R19/R6</f>
        <v>0.34703075828178193</v>
      </c>
      <c r="T19" s="96">
        <f>T6-T18</f>
        <v>96.942166024378736</v>
      </c>
      <c r="U19" s="97">
        <f>T19/T6</f>
        <v>0.42852938533170037</v>
      </c>
      <c r="V19" s="84"/>
      <c r="W19" s="96">
        <f>W6-W18</f>
        <v>6.3543927574000012</v>
      </c>
      <c r="X19" s="97">
        <f>W19/W6</f>
        <v>0.31212940031044006</v>
      </c>
      <c r="Y19" s="96">
        <f>Y6-Y18</f>
        <v>10.334404595666662</v>
      </c>
      <c r="Z19" s="97">
        <f>Y19/Y6</f>
        <v>0.31703545098219665</v>
      </c>
      <c r="AA19" s="96">
        <f>AA6-AA18</f>
        <v>20.467063214999996</v>
      </c>
      <c r="AB19" s="97">
        <f>AA19/AA6</f>
        <v>0.38620743872063396</v>
      </c>
      <c r="AC19" s="96">
        <f>AC6-AC18</f>
        <v>31.484126430000003</v>
      </c>
      <c r="AD19" s="97">
        <f>AC19/AC6</f>
        <v>0.30869817070301014</v>
      </c>
      <c r="AE19" s="96">
        <f>AE6-AE18</f>
        <v>26.864919526666654</v>
      </c>
      <c r="AF19" s="97">
        <f>AE19/AE6</f>
        <v>0.16383046424360687</v>
      </c>
      <c r="AG19" s="131"/>
      <c r="AH19" s="96">
        <f>AH6-AH18</f>
        <v>403.83615966209078</v>
      </c>
      <c r="AI19" s="97">
        <f>AH19/AH6</f>
        <v>0.90254584528403536</v>
      </c>
      <c r="AJ19" s="96">
        <f>AJ6-AJ18</f>
        <v>1400</v>
      </c>
      <c r="AK19" s="97">
        <f>AJ19/AJ6</f>
        <v>1</v>
      </c>
      <c r="AL19" s="131"/>
      <c r="AM19" s="96">
        <f>AM6-AM18</f>
        <v>53.190446839337611</v>
      </c>
      <c r="AN19" s="97">
        <f>AM19/AM6</f>
        <v>0.37855604043373214</v>
      </c>
      <c r="AO19" s="96">
        <f>AO6-AO18</f>
        <v>96.640003323166553</v>
      </c>
      <c r="AP19" s="97">
        <f>AO19/AO6</f>
        <v>0.350119568593459</v>
      </c>
      <c r="AQ19" s="84"/>
      <c r="AR19" s="96">
        <f>AR6-AR18</f>
        <v>170.55483497458312</v>
      </c>
      <c r="AS19" s="97">
        <f>AR19/AR6</f>
        <v>0.31177763047415752</v>
      </c>
      <c r="AT19" s="96">
        <f>AT6-AT18</f>
        <v>619.01414852093012</v>
      </c>
      <c r="AU19" s="97">
        <f>AT19/AT6</f>
        <v>0.29476864215282389</v>
      </c>
      <c r="AV19" s="84"/>
      <c r="AW19" s="96">
        <f>AW6-AW18</f>
        <v>68.602603813333332</v>
      </c>
      <c r="AX19" s="97">
        <f>AW19/AW6</f>
        <v>0.47440393210149734</v>
      </c>
      <c r="AY19" s="96">
        <f>AY6-AY18</f>
        <v>120.56187429333332</v>
      </c>
      <c r="AZ19" s="97">
        <f>AY19/AY6</f>
        <v>0.43333911167342393</v>
      </c>
      <c r="BA19" s="84"/>
      <c r="BB19" s="96">
        <f>BB6-BB18</f>
        <v>231.51151240000002</v>
      </c>
      <c r="BC19" s="97">
        <f>BB19/BB6</f>
        <v>0.41983691987407334</v>
      </c>
      <c r="BD19" s="96">
        <f>BD6-BD18</f>
        <v>920.67073777467431</v>
      </c>
      <c r="BE19" s="97">
        <f>BD19/BD6</f>
        <v>0.42821894780217412</v>
      </c>
      <c r="BF19" s="84"/>
      <c r="BG19" s="96">
        <f>BG6-BG18</f>
        <v>-379.02</v>
      </c>
      <c r="BH19" s="97">
        <f>BG19/BG6</f>
        <v>-0.33247368421052631</v>
      </c>
      <c r="BI19" s="84"/>
      <c r="BJ19" s="84"/>
    </row>
    <row r="20" spans="1:62" s="74" customFormat="1" hidden="1" x14ac:dyDescent="0.2">
      <c r="A20" s="84"/>
      <c r="B20" s="222"/>
      <c r="C20" s="228" t="str">
        <f>'Pricing Trends'!R26</f>
        <v>RBD PALM OLEIN (FOREIGN)</v>
      </c>
      <c r="D20" s="249">
        <f>'Pricing Trends'!S26</f>
        <v>45314</v>
      </c>
      <c r="E20" s="223">
        <f>'Pricing Trends'!U26</f>
        <v>57.513559999999998</v>
      </c>
      <c r="F20" s="220" t="b">
        <v>1</v>
      </c>
      <c r="G20" s="84"/>
      <c r="H20" s="244" t="s">
        <v>407</v>
      </c>
      <c r="I20" s="84"/>
      <c r="J20" s="191">
        <f>J7-J18</f>
        <v>12.172599558464558</v>
      </c>
      <c r="K20" s="188">
        <f>J20/J7</f>
        <v>0.31333364715603357</v>
      </c>
      <c r="L20" s="191">
        <f>L7-L18</f>
        <v>17.839255242250971</v>
      </c>
      <c r="M20" s="188">
        <f>L20/L7</f>
        <v>0.32728759854291373</v>
      </c>
      <c r="N20" s="191">
        <f>N7-N18</f>
        <v>32.295363817835266</v>
      </c>
      <c r="O20" s="188">
        <f>N20/N7</f>
        <v>0.30652035434014374</v>
      </c>
      <c r="P20" s="191">
        <f>P7-P18</f>
        <v>40.063697151168583</v>
      </c>
      <c r="Q20" s="188">
        <f>P20/P7</f>
        <v>0.3802508222610741</v>
      </c>
      <c r="R20" s="191">
        <f>R7-R18</f>
        <v>56.245394302337189</v>
      </c>
      <c r="S20" s="188">
        <f>R20/R7</f>
        <v>0.27576614716257974</v>
      </c>
      <c r="T20" s="191">
        <f>T7-T18</f>
        <v>74.682060969003857</v>
      </c>
      <c r="U20" s="188">
        <f>T20/T7</f>
        <v>0.36615947796328785</v>
      </c>
      <c r="V20" s="84"/>
      <c r="W20" s="191">
        <f>W7-W18</f>
        <v>4.3511458774000022</v>
      </c>
      <c r="X20" s="188">
        <f>W20/W7</f>
        <v>0.23705567913757777</v>
      </c>
      <c r="Y20" s="191">
        <f>Y7-Y18</f>
        <v>7.1268597956666611</v>
      </c>
      <c r="Z20" s="188">
        <f>Y20/Y7</f>
        <v>0.24249717278415772</v>
      </c>
      <c r="AA20" s="191">
        <f>AA7-AA18</f>
        <v>15.252355215000001</v>
      </c>
      <c r="AB20" s="188">
        <f>AA20/AA7</f>
        <v>0.31921854339023298</v>
      </c>
      <c r="AC20" s="191">
        <f>AC7-AC18</f>
        <v>21.448310430000006</v>
      </c>
      <c r="AD20" s="188">
        <f>AC20/AC7</f>
        <v>0.23324996750555696</v>
      </c>
      <c r="AE20" s="191">
        <f>AE7-AE18</f>
        <v>10.729287526666667</v>
      </c>
      <c r="AF20" s="188">
        <f>AE20/AE7</f>
        <v>7.2571499826538322E-2</v>
      </c>
      <c r="AG20" s="131"/>
      <c r="AH20" s="191">
        <f>AH7-AH18</f>
        <v>359.8079495513411</v>
      </c>
      <c r="AI20" s="188">
        <f>AH20/AH7</f>
        <v>0.89190976628664087</v>
      </c>
      <c r="AJ20" s="191">
        <f>AJ7-AJ18</f>
        <v>1330</v>
      </c>
      <c r="AK20" s="188">
        <f>AJ20/AJ7</f>
        <v>1</v>
      </c>
      <c r="AL20" s="131"/>
      <c r="AM20" s="191">
        <f>AM7-AM18</f>
        <v>39.364383033846593</v>
      </c>
      <c r="AN20" s="188">
        <f>AM20/AM7</f>
        <v>0.31073207678985376</v>
      </c>
      <c r="AO20" s="191">
        <f>AO7-AO18</f>
        <v>69.479635323166576</v>
      </c>
      <c r="AP20" s="188">
        <f>AO20/AO7</f>
        <v>0.27919206809389874</v>
      </c>
      <c r="AQ20" s="84"/>
      <c r="AR20" s="191">
        <f>AR7-AR18</f>
        <v>116.72609897458312</v>
      </c>
      <c r="AS20" s="188">
        <f>AR20/AR7</f>
        <v>0.23666551738482422</v>
      </c>
      <c r="AT20" s="191">
        <f>AT7-AT18</f>
        <v>514.01414852093012</v>
      </c>
      <c r="AU20" s="188">
        <f>AT20/AT7</f>
        <v>0.25765120226613036</v>
      </c>
      <c r="AV20" s="84"/>
      <c r="AW20" s="191">
        <f>AW7-AW18</f>
        <v>54.373176613333328</v>
      </c>
      <c r="AX20" s="188">
        <f>AW20/AW7</f>
        <v>0.41704074101763239</v>
      </c>
      <c r="AY20" s="191">
        <f>AY7-AY18</f>
        <v>93.185419893333346</v>
      </c>
      <c r="AZ20" s="188">
        <f>AY20/AY7</f>
        <v>0.37149413450912155</v>
      </c>
      <c r="BA20" s="84"/>
      <c r="BB20" s="191">
        <f>BB7-BB18</f>
        <v>177.25060360000003</v>
      </c>
      <c r="BC20" s="188">
        <f>BB20/BB7</f>
        <v>0.35651832284169627</v>
      </c>
      <c r="BD20" s="191">
        <f>BD7-BD18</f>
        <v>813.17073777467431</v>
      </c>
      <c r="BE20" s="188">
        <f>BD20/BD7</f>
        <v>0.39812520821281483</v>
      </c>
      <c r="BF20" s="84"/>
      <c r="BG20" s="191">
        <f>BG7-BG18</f>
        <v>-379.02</v>
      </c>
      <c r="BH20" s="188">
        <f>BG20/BG7</f>
        <v>-0.33247368421052631</v>
      </c>
      <c r="BI20" s="84"/>
      <c r="BJ20" s="84"/>
    </row>
    <row r="21" spans="1:62" s="74" customFormat="1" hidden="1" x14ac:dyDescent="0.2">
      <c r="A21" s="84"/>
      <c r="B21" s="222"/>
      <c r="C21" s="228" t="str">
        <f>'Pricing Trends'!R27</f>
        <v>RBD PALM OLEIN (FOREIGN)</v>
      </c>
      <c r="D21" s="249">
        <f>'Pricing Trends'!S27</f>
        <v>45248</v>
      </c>
      <c r="E21" s="223">
        <f>'Pricing Trends'!U27</f>
        <v>61.450510000000001</v>
      </c>
      <c r="F21" s="220" t="b">
        <v>0</v>
      </c>
      <c r="G21" s="84"/>
      <c r="H21" s="246" t="s">
        <v>408</v>
      </c>
      <c r="I21" s="84"/>
      <c r="J21" s="197">
        <f>SUM(J22:J31)</f>
        <v>10.691742884984075</v>
      </c>
      <c r="K21" s="195">
        <f>J21/J6</f>
        <v>0.24813390363390339</v>
      </c>
      <c r="L21" s="197">
        <f>SUM(L22:L31)</f>
        <v>15.045204121405821</v>
      </c>
      <c r="M21" s="195">
        <f>L21/L6</f>
        <v>0.24886557019948535</v>
      </c>
      <c r="N21" s="197">
        <f>SUM(N22:N31)</f>
        <v>29.363908242811643</v>
      </c>
      <c r="O21" s="195">
        <f>N21/N6</f>
        <v>0.25127362138189596</v>
      </c>
      <c r="P21" s="197">
        <f>SUM(P22:P31)</f>
        <v>29.363908242811643</v>
      </c>
      <c r="Q21" s="195">
        <f>P21/P6</f>
        <v>0.25127362138189596</v>
      </c>
      <c r="R21" s="197">
        <f>SUM(R22:R31)</f>
        <v>57.552816485623282</v>
      </c>
      <c r="S21" s="195">
        <f>R21/R6</f>
        <v>0.25441017138496885</v>
      </c>
      <c r="T21" s="197">
        <f>SUM(T22:T31)</f>
        <v>57.552816485623282</v>
      </c>
      <c r="U21" s="195">
        <f>T21/T6</f>
        <v>0.25441017138496885</v>
      </c>
      <c r="V21" s="84"/>
      <c r="W21" s="197">
        <f>SUM(W22:W31)</f>
        <v>5.3615386996828649</v>
      </c>
      <c r="X21" s="195">
        <f>W21/W6</f>
        <v>0.2633601546149888</v>
      </c>
      <c r="Y21" s="197">
        <f>SUM(Y22:Y31)</f>
        <v>8.6292311661381049</v>
      </c>
      <c r="Z21" s="195">
        <f>Y21/Y6</f>
        <v>0.26472470368862494</v>
      </c>
      <c r="AA21" s="197">
        <f>SUM(AA22:AA31)</f>
        <v>14.075385276896847</v>
      </c>
      <c r="AB21" s="195">
        <f>AA21/AA6</f>
        <v>0.26559836356065381</v>
      </c>
      <c r="AC21" s="197">
        <f>SUM(AC22:AC31)</f>
        <v>28.249954233793687</v>
      </c>
      <c r="AD21" s="195">
        <f>AC21/AC6</f>
        <v>0.27698749126182654</v>
      </c>
      <c r="AE21" s="197">
        <f>SUM(AE22:AE31)</f>
        <v>49.461541107587379</v>
      </c>
      <c r="AF21" s="195">
        <f>AE21/AE6</f>
        <v>0.30163154718616531</v>
      </c>
      <c r="AG21" s="131"/>
      <c r="AH21" s="197">
        <f>SUM(AH22:AH31)</f>
        <v>100.46777484491932</v>
      </c>
      <c r="AI21" s="195">
        <f>AH21/AH6</f>
        <v>0.22453851791550189</v>
      </c>
      <c r="AJ21" s="197">
        <f>SUM(AJ22:AJ31)</f>
        <v>229.3050393738271</v>
      </c>
      <c r="AK21" s="195">
        <f>AJ21/AJ6</f>
        <v>0.16378931383844794</v>
      </c>
      <c r="AL21" s="131"/>
      <c r="AM21" s="197">
        <f>SUM(AM22:AM31)</f>
        <v>32.477675240627789</v>
      </c>
      <c r="AN21" s="195">
        <f>AM21/AM6</f>
        <v>0.23114338893825734</v>
      </c>
      <c r="AO21" s="197">
        <f>SUM(AO22:AO31)</f>
        <v>64.105668068372793</v>
      </c>
      <c r="AP21" s="195">
        <f>AO21/AO6</f>
        <v>0.23225008357500471</v>
      </c>
      <c r="AQ21" s="84"/>
      <c r="AR21" s="197">
        <f>SUM(AR22:AR31)</f>
        <v>127.43930392644154</v>
      </c>
      <c r="AS21" s="195">
        <f>AR21/AR6</f>
        <v>0.23296158219954949</v>
      </c>
      <c r="AT21" s="197">
        <f>SUM(AT22:AT31)</f>
        <v>275.98977554500578</v>
      </c>
      <c r="AU21" s="195">
        <f>AT21/AT6</f>
        <v>0.13142370264047895</v>
      </c>
      <c r="AV21" s="84"/>
      <c r="AW21" s="197">
        <f>SUM(AW22:AW31)</f>
        <v>33.035284402632456</v>
      </c>
      <c r="AX21" s="195">
        <f>AW21/AW6</f>
        <v>0.22844714263825275</v>
      </c>
      <c r="AY21" s="197">
        <f>SUM(AY22:AY31)</f>
        <v>64.440568805264917</v>
      </c>
      <c r="AZ21" s="195">
        <f>AY21/AY6</f>
        <v>0.23162064297260013</v>
      </c>
      <c r="BA21" s="84"/>
      <c r="BB21" s="197">
        <f>SUM(BB22:BB31)</f>
        <v>128.13381576867187</v>
      </c>
      <c r="BC21" s="195">
        <f>BB21/BB6</f>
        <v>0.23236557865461538</v>
      </c>
      <c r="BD21" s="197">
        <f>SUM(BD22:BD31)</f>
        <v>257.18020526361556</v>
      </c>
      <c r="BE21" s="195">
        <f>BD21/BD6</f>
        <v>0.11961870012261189</v>
      </c>
      <c r="BF21" s="84"/>
      <c r="BG21" s="197">
        <f>SUM(BG22:BG31)</f>
        <v>221.50503937382712</v>
      </c>
      <c r="BH21" s="195">
        <f>BG21/BG6</f>
        <v>0.19430266611739222</v>
      </c>
      <c r="BI21" s="84"/>
      <c r="BJ21" s="84"/>
    </row>
    <row r="22" spans="1:62" hidden="1" x14ac:dyDescent="0.2">
      <c r="A22" s="84"/>
      <c r="B22" s="222"/>
      <c r="C22" s="228" t="str">
        <f>'Pricing Trends'!R28</f>
        <v>RBD PALM OLEIN (FOREIGN)</v>
      </c>
      <c r="D22" s="249">
        <f>'Pricing Trends'!S28</f>
        <v>45244</v>
      </c>
      <c r="E22" s="223">
        <f>'Pricing Trends'!U28</f>
        <v>63.352640000000001</v>
      </c>
      <c r="F22" s="220" t="b">
        <v>0</v>
      </c>
      <c r="G22" s="84"/>
      <c r="H22" s="247" t="s">
        <v>409</v>
      </c>
      <c r="I22" s="84"/>
      <c r="J22" s="94">
        <f>N22*0.35</f>
        <v>1.818937586053635</v>
      </c>
      <c r="K22" s="99">
        <f>J22/J$6</f>
        <v>4.2213892398011009E-2</v>
      </c>
      <c r="L22" s="94">
        <f>N22*0.5</f>
        <v>2.5984822657909072</v>
      </c>
      <c r="M22" s="99">
        <f>L22/L$6</f>
        <v>4.2981987184157917E-2</v>
      </c>
      <c r="N22" s="94">
        <f>((IFERROR(VLOOKUP(J2&amp;$H$8,Validation!$E:$F,2,FALSE),0)*'Shipping Cost'!$E$4)+(IFERROR(VLOOKUP(J2&amp;$H$10,Validation!$E:$F,2,FALSE),0)*'Shipping Cost'!$C$4)+(IFERROR(VLOOKUP(J2&amp;$H$11,Validation!$E:$F,2,FALSE),0)*'Shipping Cost'!$D$4))</f>
        <v>5.1969645315818145</v>
      </c>
      <c r="O22" s="99">
        <f>N22/N$6</f>
        <v>4.4471603958356219E-2</v>
      </c>
      <c r="P22" s="94">
        <f>((IFERROR(VLOOKUP(J2&amp;$H$8,Validation!$E:$F,2,FALSE),0)*'Shipping Cost'!$E$4)+(IFERROR(VLOOKUP(J2&amp;$H$10,Validation!$E:$F,2,FALSE),0)*'Shipping Cost'!$C$4)+(IFERROR(VLOOKUP(J2&amp;$H$11,Validation!$E:$F,2,FALSE),0)*'Shipping Cost'!$D$4))</f>
        <v>5.1969645315818145</v>
      </c>
      <c r="Q22" s="99">
        <f>P22/P$6</f>
        <v>4.4471603958356219E-2</v>
      </c>
      <c r="R22" s="94">
        <f>N22*2</f>
        <v>10.393929063163629</v>
      </c>
      <c r="S22" s="99">
        <f>R22/R$6</f>
        <v>4.5945992495140878E-2</v>
      </c>
      <c r="T22" s="94">
        <f>N22*2</f>
        <v>10.393929063163629</v>
      </c>
      <c r="U22" s="99">
        <f>T22/T$6</f>
        <v>4.5945992495140878E-2</v>
      </c>
      <c r="V22" s="84"/>
      <c r="W22" s="94">
        <f>$AC22*0.18</f>
        <v>0.93545361568472662</v>
      </c>
      <c r="X22" s="99">
        <f>W22/W$6</f>
        <v>4.5949721276179946E-2</v>
      </c>
      <c r="Y22" s="94">
        <f>$AC22*0.3</f>
        <v>1.5590893594745443</v>
      </c>
      <c r="Z22" s="99">
        <f>Y22/Y$6</f>
        <v>4.782922844048669E-2</v>
      </c>
      <c r="AA22" s="94">
        <f>$AC22*0.5</f>
        <v>2.5984822657909072</v>
      </c>
      <c r="AB22" s="99">
        <f>AA22/AA$6</f>
        <v>4.9032592995394045E-2</v>
      </c>
      <c r="AC22" s="94">
        <f>((IFERROR(VLOOKUP(W2&amp;$H$8,Validation!$E:$F,2,FALSE),0)*'Shipping Cost'!$E$4)+(IFERROR(VLOOKUP(W2&amp;$H$10,Validation!$E:$F,2,FALSE),0)*'Shipping Cost'!$C$4)+(IFERROR(VLOOKUP(W2&amp;$H$11,Validation!$E:$F,2,FALSE),0)*'Shipping Cost'!$D$4))</f>
        <v>5.1969645315818145</v>
      </c>
      <c r="AD22" s="99">
        <f>AC22/AC$6</f>
        <v>5.0955628312401358E-2</v>
      </c>
      <c r="AE22" s="94">
        <f>$AC22*2</f>
        <v>10.393929063163629</v>
      </c>
      <c r="AF22" s="99">
        <f>AE22/AE$6</f>
        <v>6.3385346159065922E-2</v>
      </c>
      <c r="AG22" s="131"/>
      <c r="AH22" s="94">
        <f>((IFERROR(VLOOKUP(AH2&amp;$H$8,Validation!$E:$F,2,FALSE),0)*'Shipping Cost'!$E$4)+(IFERROR(VLOOKUP(AH2&amp;$H$10,Validation!$E:$F,2,FALSE),0)*'Shipping Cost'!$C$4)+(IFERROR(VLOOKUP(AH2&amp;$H$11,Validation!$E:$F,2,FALSE),0)*'Shipping Cost'!$D$4))*AI5</f>
        <v>0</v>
      </c>
      <c r="AI22" s="99">
        <f t="shared" ref="AI22:AI31" si="22">AH22/AH$6</f>
        <v>0</v>
      </c>
      <c r="AJ22" s="94">
        <f>((IFERROR(VLOOKUP(AH2&amp;$H$8,Validation!$E:$F,2,FALSE),0)*'Shipping Cost'!$E$4)+(IFERROR(VLOOKUP(AH2&amp;$H$10,Validation!$E:$F,2,FALSE),0)*'Shipping Cost'!$C$4)+(IFERROR(VLOOKUP(AH2&amp;$H$11,Validation!$E:$F,2,FALSE),0)*'Shipping Cost'!$D$4))*15.66*1.1364</f>
        <v>0</v>
      </c>
      <c r="AK22" s="99">
        <f t="shared" ref="AK22:AK31" si="23">AJ22/AJ$6</f>
        <v>0</v>
      </c>
      <c r="AL22" s="131"/>
      <c r="AM22" s="94">
        <f>((IFERROR(VLOOKUP(AM2&amp;$H$8,Validation!$E:$F,2,FALSE),0)*'Shipping Cost'!$E$4)+(IFERROR(VLOOKUP(AM2&amp;$H$10,Validation!$E:$F,2,FALSE),0)*'Shipping Cost'!$C$4)+(IFERROR(VLOOKUP(AM2&amp;$H$11,Validation!$E:$F,2,FALSE),0)*'Shipping Cost'!$D$4))</f>
        <v>5.2364280119745183</v>
      </c>
      <c r="AN22" s="99">
        <f>AM22/AM$6</f>
        <v>3.7267621763300063E-2</v>
      </c>
      <c r="AO22" s="94">
        <f>AM22*2</f>
        <v>10.472856023949037</v>
      </c>
      <c r="AP22" s="99">
        <f>AO22/AO$6</f>
        <v>3.7942381073650597E-2</v>
      </c>
      <c r="AQ22" s="84"/>
      <c r="AR22" s="94">
        <f>((IFERROR(VLOOKUP(AR2&amp;$H$8,Validation!$E:$F,2,FALSE),0)*'Shipping Cost'!$E$4)+(IFERROR(VLOOKUP(AR2&amp;$H$10,Validation!$E:$F,2,FALSE),0)*'Shipping Cost'!$C$4)+(IFERROR(VLOOKUP(AR2&amp;$H$11,Validation!$E:$F,2,FALSE),0)*'Shipping Cost'!$D$4))*AS5</f>
        <v>21.023679837594035</v>
      </c>
      <c r="AS22" s="99">
        <f>AR22/AR$6</f>
        <v>3.8431704880070992E-2</v>
      </c>
      <c r="AT22" s="94">
        <f>((IFERROR(VLOOKUP(J2&amp;$H$8,Validation!$E:$F,2,FALSE),0)*'Shipping Cost'!$E$4)+(IFERROR(VLOOKUP(J2&amp;$H$10,Validation!$E:$F,2,FALSE),0)*'Shipping Cost'!$C$4)+(IFERROR(VLOOKUP(J2&amp;$H$11,Validation!$E:$F,2,FALSE),0)*'Shipping Cost'!$D$4))*15.66*1.1364</f>
        <v>92.485305531178739</v>
      </c>
      <c r="AU22" s="99">
        <f>AT22/AT$6</f>
        <v>4.4040621681513688E-2</v>
      </c>
      <c r="AV22" s="84"/>
      <c r="AW22" s="94">
        <f>((IFERROR(VLOOKUP(AW2&amp;$H$8,Validation!$E:$F,2,FALSE),0)*'Shipping Cost'!$E$4)+(IFERROR(VLOOKUP(AW2&amp;$H$10,Validation!$E:$F,2,FALSE),0)*'Shipping Cost'!$C$4)+(IFERROR(VLOOKUP(AW2&amp;$H$11,Validation!$E:$F,2,FALSE),0)*'Shipping Cost'!$D$4))</f>
        <v>5.2611383804205794</v>
      </c>
      <c r="AX22" s="99">
        <f>AW22/AW$6</f>
        <v>3.6382070012866363E-2</v>
      </c>
      <c r="AY22" s="94">
        <f>AW22*2</f>
        <v>10.522276760841159</v>
      </c>
      <c r="AZ22" s="99">
        <f>AY22/AY$6</f>
        <v>3.7820530669843422E-2</v>
      </c>
      <c r="BA22" s="84"/>
      <c r="BB22" s="94">
        <f>((IFERROR(VLOOKUP(BB2&amp;$H$8,Validation!$E:$F,2,FALSE),0)*'Shipping Cost'!$E$4)+(IFERROR(VLOOKUP(BB2&amp;$H$10,Validation!$E:$F,2,FALSE),0)*'Shipping Cost'!$C$4)+(IFERROR(VLOOKUP(BB2&amp;$H$11,Validation!$E:$F,2,FALSE),0)*'Shipping Cost'!$D$4))*BC5</f>
        <v>21.147231679824337</v>
      </c>
      <c r="BC22" s="99">
        <f>BB22/BB$6</f>
        <v>3.8349663566540092E-2</v>
      </c>
      <c r="BD22" s="94">
        <f>((IFERROR(VLOOKUP(BB2&amp;$H$8,Validation!$E:$F,2,FALSE),0)*'Shipping Cost'!$E$4)+(IFERROR(VLOOKUP(BB2&amp;$H$10,Validation!$E:$F,2,FALSE),0)*'Shipping Cost'!$C$4)+(IFERROR(VLOOKUP(BB2&amp;$H$11,Validation!$E:$F,2,FALSE),0)*'Shipping Cost'!$D$4))*15.66*1.1364</f>
        <v>94.084160626928551</v>
      </c>
      <c r="BE22" s="99">
        <f>BD22/BD$6</f>
        <v>4.3760074710199326E-2</v>
      </c>
      <c r="BF22" s="84"/>
      <c r="BG22" s="94">
        <f>((IFERROR(VLOOKUP(BG2&amp;$H$8,Validation!$E:$F,2,FALSE),0)*'Shipping Cost'!$E$4)+(IFERROR(VLOOKUP(BG2&amp;$H$10,Validation!$E:$F,2,FALSE),0)*'Shipping Cost'!$C$4)+(IFERROR(VLOOKUP(BG2&amp;$H$11,Validation!$E:$F,2,FALSE),0)*'Shipping Cost'!$D$4))</f>
        <v>0</v>
      </c>
      <c r="BH22" s="99">
        <f>BG22/BG$6</f>
        <v>0</v>
      </c>
      <c r="BI22" s="84"/>
      <c r="BJ22" s="84"/>
    </row>
    <row r="23" spans="1:62" s="212" customFormat="1" hidden="1" x14ac:dyDescent="0.2">
      <c r="A23" s="210"/>
      <c r="B23" s="222"/>
      <c r="C23" s="228" t="str">
        <f>'Pricing Trends'!R29</f>
        <v>RBD PALM OLEIN (FOREIGN)</v>
      </c>
      <c r="D23" s="249">
        <f>'Pricing Trends'!S29</f>
        <v>45234</v>
      </c>
      <c r="E23" s="223">
        <f>'Pricing Trends'!U29</f>
        <v>56.635750000000002</v>
      </c>
      <c r="F23" s="220" t="b">
        <v>0</v>
      </c>
      <c r="G23" s="210"/>
      <c r="H23" s="247" t="s">
        <v>410</v>
      </c>
      <c r="I23" s="84"/>
      <c r="J23" s="94">
        <f>N23*0.35</f>
        <v>0</v>
      </c>
      <c r="K23" s="99">
        <f t="shared" ref="K23:K31" si="24">J23/J$6</f>
        <v>0</v>
      </c>
      <c r="L23" s="94">
        <f>N23*0.5</f>
        <v>0</v>
      </c>
      <c r="M23" s="99">
        <f t="shared" ref="M23:M31" si="25">L23/L$6</f>
        <v>0</v>
      </c>
      <c r="N23" s="94">
        <f>((IFERROR(VLOOKUP(J2&amp;$H$12,Validation!$E:$F,2,FALSE),0)*'Pick Up Cost'!$C$16)+(IFERROR(VLOOKUP(J2&amp;$H$9,Validation!$E:$F,2,FALSE),0)*'Pick Up Cost'!$C$16))</f>
        <v>0</v>
      </c>
      <c r="O23" s="99">
        <f t="shared" ref="O23:O31" si="26">N23/N$6</f>
        <v>0</v>
      </c>
      <c r="P23" s="94">
        <f>((IFERROR(VLOOKUP(J2&amp;$H$12,Validation!$E:$F,2,FALSE),0)*'Pick Up Cost'!$C$16)+(IFERROR(VLOOKUP(J2&amp;$H$9,Validation!$E:$F,2,FALSE),0)*'Pick Up Cost'!$C$16))</f>
        <v>0</v>
      </c>
      <c r="Q23" s="99">
        <f t="shared" ref="Q23:Q27" si="27">P23/P$6</f>
        <v>0</v>
      </c>
      <c r="R23" s="94">
        <f>N23*2</f>
        <v>0</v>
      </c>
      <c r="S23" s="99">
        <f t="shared" ref="S23:S28" si="28">R23/R$6</f>
        <v>0</v>
      </c>
      <c r="T23" s="94">
        <f>N23*2</f>
        <v>0</v>
      </c>
      <c r="U23" s="99">
        <f t="shared" ref="U23:U31" si="29">T23/T$6</f>
        <v>0</v>
      </c>
      <c r="V23" s="84"/>
      <c r="W23" s="94">
        <f>$AC23*0.18</f>
        <v>0</v>
      </c>
      <c r="X23" s="99">
        <f t="shared" ref="X23:X31" si="30">W23/W$6</f>
        <v>0</v>
      </c>
      <c r="Y23" s="94">
        <f>$AC23*0.3</f>
        <v>0</v>
      </c>
      <c r="Z23" s="99">
        <f t="shared" ref="Z23:Z31" si="31">Y23/Y$6</f>
        <v>0</v>
      </c>
      <c r="AA23" s="94">
        <f>$AC23*0.5</f>
        <v>0</v>
      </c>
      <c r="AB23" s="99">
        <f t="shared" ref="AB23:AB31" si="32">AA23/AA$6</f>
        <v>0</v>
      </c>
      <c r="AC23" s="94">
        <f>((IFERROR(VLOOKUP(W2&amp;$H$12,Validation!$E:$F,2,FALSE),0)*'Pick Up Cost'!$C$16)+(IFERROR(VLOOKUP(W2&amp;$H$9,Validation!$E:$F,2,FALSE),0)*'Pick Up Cost'!$C$16))</f>
        <v>0</v>
      </c>
      <c r="AD23" s="99">
        <f t="shared" ref="AD23:AD31" si="33">AC23/AC$6</f>
        <v>0</v>
      </c>
      <c r="AE23" s="94">
        <f>$AC23*2</f>
        <v>0</v>
      </c>
      <c r="AF23" s="99">
        <f t="shared" ref="AF23:AF31" si="34">AE23/AE$6</f>
        <v>0</v>
      </c>
      <c r="AG23" s="131"/>
      <c r="AH23" s="94">
        <f>((IFERROR(VLOOKUP(AH2&amp;$H$12,Validation!$E:$F,2,FALSE),0)*'Pick Up Cost'!$C$16)+(IFERROR(VLOOKUP(AH2&amp;$H$9,Validation!$E:$F,2,FALSE),0)*'Pick Up Cost'!$C$16))*AI5</f>
        <v>7</v>
      </c>
      <c r="AI23" s="99">
        <f t="shared" si="22"/>
        <v>1.5644515147614998E-2</v>
      </c>
      <c r="AJ23" s="94">
        <f>((IFERROR(VLOOKUP(AH2&amp;$H$12,Validation!$E:$F,2,FALSE),0)*'Pick Up Cost'!$C$16)+(IFERROR(VLOOKUP(AH2&amp;$H$9,Validation!$E:$F,2,FALSE),0)*'Pick Up Cost'!$C$16))*15.66*1.1364</f>
        <v>31.143042000000005</v>
      </c>
      <c r="AK23" s="99">
        <f t="shared" si="23"/>
        <v>2.2245030000000002E-2</v>
      </c>
      <c r="AL23" s="131"/>
      <c r="AM23" s="94">
        <f>((IFERROR(VLOOKUP(AM2&amp;$H$12,Validation!$E:$F,2,FALSE),0)*'Pick Up Cost'!$C$16)+(IFERROR(VLOOKUP(AM2&amp;$H$9,Validation!$E:$F,2,FALSE),0)*'Pick Up Cost'!$C$16))</f>
        <v>0</v>
      </c>
      <c r="AN23" s="99">
        <f t="shared" ref="AN23:AN31" si="35">AM23/AM$6</f>
        <v>0</v>
      </c>
      <c r="AO23" s="94">
        <f>AM23*2</f>
        <v>0</v>
      </c>
      <c r="AP23" s="99">
        <f t="shared" ref="AP23:AP31" si="36">AO23/AO$6</f>
        <v>0</v>
      </c>
      <c r="AQ23" s="84"/>
      <c r="AR23" s="94">
        <f>((IFERROR(VLOOKUP(AR2&amp;$H$12,Validation!$E:$F,2,FALSE),0)*'Pick Up Cost'!$C$16)+(IFERROR(VLOOKUP(AR2&amp;$H$9,Validation!$E:$F,2,FALSE),0)*'Pick Up Cost'!$C$16))*AS5</f>
        <v>0</v>
      </c>
      <c r="AS23" s="99">
        <f t="shared" ref="AS23:AS31" si="37">AR23/AR$6</f>
        <v>0</v>
      </c>
      <c r="AT23" s="94">
        <f>((IFERROR(VLOOKUP(AR2&amp;$H$12,Validation!$E:$F,2,FALSE),0)*'Pick Up Cost'!$C$16)+(IFERROR(VLOOKUP(AR2&amp;$H$9,Validation!$E:$F,2,FALSE),0)*'Pick Up Cost'!$C$16))*AS5*15.66*1.1364</f>
        <v>0</v>
      </c>
      <c r="AU23" s="99">
        <f t="shared" ref="AU23:AU31" si="38">AT23/AT$6</f>
        <v>0</v>
      </c>
      <c r="AV23" s="84"/>
      <c r="AW23" s="94">
        <f>((IFERROR(VLOOKUP(AW2&amp;$H$12,Validation!$E:$F,2,FALSE),0)*'Pick Up Cost'!$C$16)+(IFERROR(VLOOKUP(AW2&amp;$H$9,Validation!$E:$F,2,FALSE),0)*'Pick Up Cost'!$C$16))</f>
        <v>0</v>
      </c>
      <c r="AX23" s="99">
        <f t="shared" ref="AX23:AX31" si="39">AW23/AW$6</f>
        <v>0</v>
      </c>
      <c r="AY23" s="94">
        <f>AW23*2</f>
        <v>0</v>
      </c>
      <c r="AZ23" s="99">
        <f t="shared" ref="AZ23:AZ31" si="40">AY23/AY$6</f>
        <v>0</v>
      </c>
      <c r="BA23" s="84"/>
      <c r="BB23" s="94">
        <f>((IFERROR(VLOOKUP(J2&amp;$H$12,Validation!$E:$F,2,FALSE),0)*'Pick Up Cost'!$C$16)+(IFERROR(VLOOKUP(J2&amp;$H$9,Validation!$E:$F,2,FALSE),0)*'Pick Up Cost'!$C$16))*BC5</f>
        <v>0</v>
      </c>
      <c r="BC23" s="99">
        <f t="shared" ref="BC23:BC31" si="41">BB23/BB$6</f>
        <v>0</v>
      </c>
      <c r="BD23" s="94">
        <f>((IFERROR(VLOOKUP(J2&amp;$H$12,Validation!$E:$F,2,FALSE),0)*'Pick Up Cost'!$C$16)+(IFERROR(VLOOKUP(J2&amp;$H$9,Validation!$E:$F,2,FALSE),0)*'Pick Up Cost'!$C$16))*15.66*1.1364</f>
        <v>0</v>
      </c>
      <c r="BE23" s="99">
        <f t="shared" ref="BE23:BE31" si="42">BD23/BD$6</f>
        <v>0</v>
      </c>
      <c r="BF23" s="84"/>
      <c r="BG23" s="94">
        <f>((IFERROR(VLOOKUP(BG2&amp;$H$12,Validation!$E:$F,2,FALSE),0)*'Pick Up Cost'!$C$16)+(IFERROR(VLOOKUP(BG2&amp;$H$9,Validation!$E:$F,2,FALSE),0)*'Pick Up Cost'!$C$16))*15.66*1.1364</f>
        <v>31.143042000000005</v>
      </c>
      <c r="BH23" s="99">
        <f t="shared" ref="BH23:BH31" si="43">BG23/BG$6</f>
        <v>2.7318457894736848E-2</v>
      </c>
      <c r="BI23" s="210"/>
      <c r="BJ23" s="210"/>
    </row>
    <row r="24" spans="1:62" hidden="1" x14ac:dyDescent="0.2">
      <c r="A24" s="84"/>
      <c r="B24" s="222"/>
      <c r="C24" s="228">
        <f>'Pricing Trends'!R30</f>
        <v>0</v>
      </c>
      <c r="D24" s="249">
        <f>'Pricing Trends'!S30</f>
        <v>0</v>
      </c>
      <c r="E24" s="223">
        <f>'Pricing Trends'!U30</f>
        <v>0</v>
      </c>
      <c r="F24" s="220" t="b">
        <v>1</v>
      </c>
      <c r="G24" s="84"/>
      <c r="H24" s="247" t="s">
        <v>411</v>
      </c>
      <c r="I24" s="84"/>
      <c r="J24" s="94">
        <f>N24*0.35</f>
        <v>1.7972871077741563</v>
      </c>
      <c r="K24" s="99">
        <f t="shared" si="24"/>
        <v>4.1711428230211664E-2</v>
      </c>
      <c r="L24" s="94">
        <f>N24*0.5</f>
        <v>2.5675530111059377</v>
      </c>
      <c r="M24" s="99">
        <f t="shared" si="25"/>
        <v>4.2470380525922641E-2</v>
      </c>
      <c r="N24" s="94">
        <f>'Delivery Cost'!C15</f>
        <v>5.1351060222118754</v>
      </c>
      <c r="O24" s="99">
        <f t="shared" si="26"/>
        <v>4.394226666666666E-2</v>
      </c>
      <c r="P24" s="94">
        <f>'Delivery Cost'!C15</f>
        <v>5.1351060222118754</v>
      </c>
      <c r="Q24" s="99">
        <f t="shared" si="27"/>
        <v>4.394226666666666E-2</v>
      </c>
      <c r="R24" s="94">
        <f>N24*2</f>
        <v>10.270212044423751</v>
      </c>
      <c r="S24" s="99">
        <f t="shared" si="28"/>
        <v>4.5399105828895579E-2</v>
      </c>
      <c r="T24" s="94">
        <f>N24*2</f>
        <v>10.270212044423751</v>
      </c>
      <c r="U24" s="99">
        <f t="shared" si="29"/>
        <v>4.5399105828895579E-2</v>
      </c>
      <c r="V24" s="84"/>
      <c r="W24" s="94">
        <f>$N24*0.18</f>
        <v>0.92431908399813756</v>
      </c>
      <c r="X24" s="99">
        <f t="shared" si="30"/>
        <v>4.5402790226942338E-2</v>
      </c>
      <c r="Y24" s="94">
        <f>$N24*0.3</f>
        <v>1.5405318066635625</v>
      </c>
      <c r="Z24" s="99">
        <f t="shared" si="31"/>
        <v>4.7259925964461845E-2</v>
      </c>
      <c r="AA24" s="94">
        <f>$N24*0.5</f>
        <v>2.5675530111059377</v>
      </c>
      <c r="AB24" s="99">
        <f t="shared" si="32"/>
        <v>4.8448967093234041E-2</v>
      </c>
      <c r="AC24" s="94">
        <f>$N24</f>
        <v>5.1351060222118754</v>
      </c>
      <c r="AD24" s="99">
        <f t="shared" si="33"/>
        <v>5.0349112875888571E-2</v>
      </c>
      <c r="AE24" s="94">
        <f>$N24*2</f>
        <v>10.270212044423751</v>
      </c>
      <c r="AF24" s="99">
        <f t="shared" si="34"/>
        <v>6.2630882085765047E-2</v>
      </c>
      <c r="AG24" s="131"/>
      <c r="AH24" s="94">
        <f>N24*AI5</f>
        <v>20.540424088847502</v>
      </c>
      <c r="AI24" s="99">
        <f t="shared" si="22"/>
        <v>4.5906425113772957E-2</v>
      </c>
      <c r="AJ24" s="94">
        <f>N24*15.66*1.1364</f>
        <v>91.38447001382707</v>
      </c>
      <c r="AK24" s="99">
        <f t="shared" si="23"/>
        <v>6.5274621438447908E-2</v>
      </c>
      <c r="AL24" s="131"/>
      <c r="AM24" s="94">
        <f>N24</f>
        <v>5.1351060222118754</v>
      </c>
      <c r="AN24" s="99">
        <f t="shared" si="35"/>
        <v>3.6546513866439027E-2</v>
      </c>
      <c r="AO24" s="94">
        <f>AM24*2</f>
        <v>10.270212044423751</v>
      </c>
      <c r="AP24" s="99">
        <f t="shared" si="36"/>
        <v>3.7208216956828313E-2</v>
      </c>
      <c r="AQ24" s="84"/>
      <c r="AR24" s="94">
        <f>AM24*4</f>
        <v>20.540424088847502</v>
      </c>
      <c r="AS24" s="99">
        <f t="shared" si="37"/>
        <v>3.7548303759958143E-2</v>
      </c>
      <c r="AT24" s="94">
        <f>N24*15.66*1.1364</f>
        <v>91.38447001382707</v>
      </c>
      <c r="AU24" s="99">
        <f t="shared" si="38"/>
        <v>4.3516414292298605E-2</v>
      </c>
      <c r="AV24" s="84"/>
      <c r="AW24" s="94">
        <f>AM24</f>
        <v>5.1351060222118754</v>
      </c>
      <c r="AX24" s="99">
        <f t="shared" si="39"/>
        <v>3.5510525159132798E-2</v>
      </c>
      <c r="AY24" s="94">
        <f>AW24*2</f>
        <v>10.270212044423751</v>
      </c>
      <c r="AZ24" s="99">
        <f t="shared" si="40"/>
        <v>3.6914527002126947E-2</v>
      </c>
      <c r="BA24" s="84"/>
      <c r="BB24" s="94">
        <f>N24*4</f>
        <v>20.540424088847502</v>
      </c>
      <c r="BC24" s="99">
        <f t="shared" si="41"/>
        <v>3.7249242134746445E-2</v>
      </c>
      <c r="BD24" s="94">
        <f>N24*15.66*1.1364</f>
        <v>91.38447001382707</v>
      </c>
      <c r="BE24" s="99">
        <f t="shared" si="42"/>
        <v>4.2504404657593989E-2</v>
      </c>
      <c r="BF24" s="84"/>
      <c r="BG24" s="94">
        <f>N24*15.66*1.1364</f>
        <v>91.38447001382707</v>
      </c>
      <c r="BH24" s="99">
        <f t="shared" si="43"/>
        <v>8.0161815801602698E-2</v>
      </c>
      <c r="BI24" s="84"/>
      <c r="BJ24" s="84"/>
    </row>
    <row r="25" spans="1:62" hidden="1" x14ac:dyDescent="0.2">
      <c r="A25" s="84"/>
      <c r="B25" s="222"/>
      <c r="C25" s="228" t="str">
        <f>'Pricing Trends'!R31</f>
        <v>RBD CANOLA OIL</v>
      </c>
      <c r="D25" s="249">
        <f>'Pricing Trends'!S31</f>
        <v>45269</v>
      </c>
      <c r="E25" s="223">
        <f>'Pricing Trends'!U31</f>
        <v>73.180847</v>
      </c>
      <c r="F25" s="220" t="b">
        <v>0</v>
      </c>
      <c r="G25" s="84"/>
      <c r="H25" s="247" t="s">
        <v>412</v>
      </c>
      <c r="I25" s="84"/>
      <c r="J25" s="94">
        <v>0.2</v>
      </c>
      <c r="K25" s="99">
        <f t="shared" si="24"/>
        <v>4.6415987796038921E-3</v>
      </c>
      <c r="L25" s="94">
        <v>0.2</v>
      </c>
      <c r="M25" s="99">
        <f t="shared" si="25"/>
        <v>3.3082378702380998E-3</v>
      </c>
      <c r="N25" s="94">
        <v>0.2</v>
      </c>
      <c r="O25" s="99">
        <f t="shared" si="26"/>
        <v>1.7114453519204709E-3</v>
      </c>
      <c r="P25" s="94">
        <v>0.2</v>
      </c>
      <c r="Q25" s="99">
        <f t="shared" si="27"/>
        <v>1.7114453519204709E-3</v>
      </c>
      <c r="R25" s="94">
        <v>0.2</v>
      </c>
      <c r="S25" s="99">
        <f t="shared" si="28"/>
        <v>8.8409286259177465E-4</v>
      </c>
      <c r="T25" s="94">
        <v>0.2</v>
      </c>
      <c r="U25" s="99">
        <f t="shared" si="29"/>
        <v>8.8409286259177465E-4</v>
      </c>
      <c r="V25" s="84"/>
      <c r="W25" s="94">
        <v>0.2</v>
      </c>
      <c r="X25" s="99">
        <f t="shared" si="30"/>
        <v>9.8240512422512801E-3</v>
      </c>
      <c r="Y25" s="94">
        <v>0.2</v>
      </c>
      <c r="Z25" s="99">
        <f t="shared" si="31"/>
        <v>6.1355339448415517E-3</v>
      </c>
      <c r="AA25" s="94">
        <v>0.2</v>
      </c>
      <c r="AB25" s="99">
        <f t="shared" si="32"/>
        <v>3.7739409378243233E-3</v>
      </c>
      <c r="AC25" s="94">
        <v>0.2</v>
      </c>
      <c r="AD25" s="99">
        <f t="shared" si="33"/>
        <v>1.9609765663300325E-3</v>
      </c>
      <c r="AE25" s="94">
        <v>0.2</v>
      </c>
      <c r="AF25" s="99">
        <f t="shared" si="34"/>
        <v>1.2196609342602757E-3</v>
      </c>
      <c r="AG25" s="131"/>
      <c r="AH25" s="94">
        <v>0.2</v>
      </c>
      <c r="AI25" s="99">
        <f t="shared" si="22"/>
        <v>4.4698614707471424E-4</v>
      </c>
      <c r="AJ25" s="251"/>
      <c r="AK25" s="99">
        <f t="shared" si="23"/>
        <v>0</v>
      </c>
      <c r="AL25" s="131"/>
      <c r="AM25" s="94">
        <v>0.2</v>
      </c>
      <c r="AN25" s="99">
        <f t="shared" si="35"/>
        <v>1.4233986098186589E-3</v>
      </c>
      <c r="AO25" s="94">
        <v>0.2</v>
      </c>
      <c r="AP25" s="99">
        <f t="shared" si="36"/>
        <v>7.245851749873198E-4</v>
      </c>
      <c r="AQ25" s="84"/>
      <c r="AR25" s="94">
        <v>0.2</v>
      </c>
      <c r="AS25" s="99">
        <f t="shared" si="37"/>
        <v>3.6560397777127821E-4</v>
      </c>
      <c r="AT25" s="251"/>
      <c r="AU25" s="99">
        <f t="shared" si="38"/>
        <v>0</v>
      </c>
      <c r="AV25" s="84"/>
      <c r="AW25" s="94">
        <v>0.2</v>
      </c>
      <c r="AX25" s="99">
        <f t="shared" si="39"/>
        <v>1.3830493472007082E-3</v>
      </c>
      <c r="AY25" s="94">
        <v>0.2</v>
      </c>
      <c r="AZ25" s="99">
        <f t="shared" si="40"/>
        <v>7.1886591712913713E-4</v>
      </c>
      <c r="BA25" s="84"/>
      <c r="BB25" s="94">
        <v>0.2</v>
      </c>
      <c r="BC25" s="99">
        <f t="shared" si="41"/>
        <v>3.6269204543805947E-4</v>
      </c>
      <c r="BD25" s="251"/>
      <c r="BE25" s="99">
        <f t="shared" si="42"/>
        <v>0</v>
      </c>
      <c r="BF25" s="84"/>
      <c r="BG25" s="251"/>
      <c r="BH25" s="99">
        <f t="shared" si="43"/>
        <v>0</v>
      </c>
      <c r="BI25" s="84"/>
      <c r="BJ25" s="84"/>
    </row>
    <row r="26" spans="1:62" hidden="1" x14ac:dyDescent="0.2">
      <c r="A26" s="84"/>
      <c r="B26" s="222"/>
      <c r="C26" s="228" t="str">
        <f>'Pricing Trends'!R32</f>
        <v>RBD CANOLA OIL</v>
      </c>
      <c r="D26" s="249">
        <f>'Pricing Trends'!S32</f>
        <v>45118</v>
      </c>
      <c r="E26" s="223">
        <f>'Pricing Trends'!U32</f>
        <v>80.463780999999997</v>
      </c>
      <c r="F26" s="220" t="b">
        <v>0</v>
      </c>
      <c r="G26" s="84"/>
      <c r="H26" s="247" t="s">
        <v>413</v>
      </c>
      <c r="I26" s="84"/>
      <c r="J26" s="94">
        <f>0.4*0.35</f>
        <v>0.13999999999999999</v>
      </c>
      <c r="K26" s="99">
        <f t="shared" si="24"/>
        <v>3.2491191457227238E-3</v>
      </c>
      <c r="L26" s="94">
        <f>0.4*0.5</f>
        <v>0.2</v>
      </c>
      <c r="M26" s="99">
        <f t="shared" si="25"/>
        <v>3.3082378702380998E-3</v>
      </c>
      <c r="N26" s="94">
        <v>0.4</v>
      </c>
      <c r="O26" s="99">
        <f t="shared" si="26"/>
        <v>3.4228907038409417E-3</v>
      </c>
      <c r="P26" s="94">
        <v>0.4</v>
      </c>
      <c r="Q26" s="99">
        <f t="shared" si="27"/>
        <v>3.4228907038409417E-3</v>
      </c>
      <c r="R26" s="94">
        <f>N26*2</f>
        <v>0.8</v>
      </c>
      <c r="S26" s="99">
        <f t="shared" si="28"/>
        <v>3.5363714503670986E-3</v>
      </c>
      <c r="T26" s="94">
        <f>N26*2</f>
        <v>0.8</v>
      </c>
      <c r="U26" s="99">
        <f t="shared" si="29"/>
        <v>3.5363714503670986E-3</v>
      </c>
      <c r="V26" s="84"/>
      <c r="W26" s="94">
        <f>$N26*0.18</f>
        <v>7.1999999999999995E-2</v>
      </c>
      <c r="X26" s="99">
        <f t="shared" si="30"/>
        <v>3.5366584472104603E-3</v>
      </c>
      <c r="Y26" s="94">
        <f>$N26*0.3</f>
        <v>0.12</v>
      </c>
      <c r="Z26" s="99">
        <f t="shared" si="31"/>
        <v>3.6813203669049306E-3</v>
      </c>
      <c r="AA26" s="94">
        <f>$N26*0.5</f>
        <v>0.2</v>
      </c>
      <c r="AB26" s="99">
        <f t="shared" si="32"/>
        <v>3.7739409378243233E-3</v>
      </c>
      <c r="AC26" s="94">
        <f>$N26</f>
        <v>0.4</v>
      </c>
      <c r="AD26" s="99">
        <f t="shared" si="33"/>
        <v>3.9219531326600649E-3</v>
      </c>
      <c r="AE26" s="94">
        <f>$N26*2</f>
        <v>0.8</v>
      </c>
      <c r="AF26" s="99">
        <f t="shared" si="34"/>
        <v>4.8786437370411028E-3</v>
      </c>
      <c r="AG26" s="131"/>
      <c r="AH26" s="94">
        <f>N26*4</f>
        <v>1.6</v>
      </c>
      <c r="AI26" s="99">
        <f t="shared" si="22"/>
        <v>3.5758891765977139E-3</v>
      </c>
      <c r="AJ26" s="94">
        <f>0.4*15.66*1.1364</f>
        <v>7.1184096000000006</v>
      </c>
      <c r="AK26" s="99">
        <f t="shared" si="23"/>
        <v>5.0845782857142858E-3</v>
      </c>
      <c r="AL26" s="131"/>
      <c r="AM26" s="94">
        <v>0.4</v>
      </c>
      <c r="AN26" s="99">
        <f t="shared" si="35"/>
        <v>2.8467972196373178E-3</v>
      </c>
      <c r="AO26" s="94">
        <f>AM26*2</f>
        <v>0.8</v>
      </c>
      <c r="AP26" s="99">
        <f t="shared" si="36"/>
        <v>2.8983406999492792E-3</v>
      </c>
      <c r="AQ26" s="84"/>
      <c r="AR26" s="94">
        <f>AM26*4</f>
        <v>1.6</v>
      </c>
      <c r="AS26" s="99">
        <f t="shared" si="37"/>
        <v>2.9248318221702257E-3</v>
      </c>
      <c r="AT26" s="94">
        <f>AO26*4</f>
        <v>3.2</v>
      </c>
      <c r="AU26" s="99">
        <f t="shared" si="38"/>
        <v>1.5238095238095239E-3</v>
      </c>
      <c r="AV26" s="84"/>
      <c r="AW26" s="94">
        <v>0.4</v>
      </c>
      <c r="AX26" s="99">
        <f t="shared" si="39"/>
        <v>2.7660986944014164E-3</v>
      </c>
      <c r="AY26" s="94">
        <f>AW26*2</f>
        <v>0.8</v>
      </c>
      <c r="AZ26" s="99">
        <f t="shared" si="40"/>
        <v>2.8754636685165485E-3</v>
      </c>
      <c r="BA26" s="84"/>
      <c r="BB26" s="94">
        <f>AW26*4</f>
        <v>1.6</v>
      </c>
      <c r="BC26" s="99">
        <f t="shared" si="41"/>
        <v>2.9015363635044758E-3</v>
      </c>
      <c r="BD26" s="94">
        <f>N26*15.66*1.1364</f>
        <v>7.1184096000000006</v>
      </c>
      <c r="BE26" s="99">
        <f t="shared" si="42"/>
        <v>3.3108881860465121E-3</v>
      </c>
      <c r="BF26" s="84"/>
      <c r="BG26" s="94">
        <f>AJ26</f>
        <v>7.1184096000000006</v>
      </c>
      <c r="BH26" s="99">
        <f t="shared" si="43"/>
        <v>6.2442189473684217E-3</v>
      </c>
      <c r="BI26" s="84"/>
      <c r="BJ26" s="84"/>
    </row>
    <row r="27" spans="1:62" hidden="1" x14ac:dyDescent="0.2">
      <c r="A27" s="84"/>
      <c r="B27" s="222"/>
      <c r="C27" s="228">
        <f>'Pricing Trends'!R33</f>
        <v>0</v>
      </c>
      <c r="D27" s="249">
        <f>'Pricing Trends'!S33</f>
        <v>0</v>
      </c>
      <c r="E27" s="223">
        <f>'Pricing Trends'!U33</f>
        <v>0</v>
      </c>
      <c r="F27" s="220" t="b">
        <v>0</v>
      </c>
      <c r="G27" s="84"/>
      <c r="H27" s="247" t="s">
        <v>34</v>
      </c>
      <c r="I27" s="84"/>
      <c r="J27" s="94">
        <f>N27*0.35</f>
        <v>1.1339999999999999</v>
      </c>
      <c r="K27" s="99">
        <f t="shared" si="24"/>
        <v>2.6317865080354063E-2</v>
      </c>
      <c r="L27" s="94">
        <f>N27*0.5</f>
        <v>1.62</v>
      </c>
      <c r="M27" s="99">
        <f t="shared" si="25"/>
        <v>2.679672674892861E-2</v>
      </c>
      <c r="N27" s="94">
        <v>3.24</v>
      </c>
      <c r="O27" s="99">
        <f t="shared" si="26"/>
        <v>2.7725414701111631E-2</v>
      </c>
      <c r="P27" s="94">
        <v>3.24</v>
      </c>
      <c r="Q27" s="99">
        <f t="shared" si="27"/>
        <v>2.7725414701111631E-2</v>
      </c>
      <c r="R27" s="94">
        <f>N27*2</f>
        <v>6.48</v>
      </c>
      <c r="S27" s="99">
        <f t="shared" si="28"/>
        <v>2.8644608747973501E-2</v>
      </c>
      <c r="T27" s="94">
        <f>N27*2</f>
        <v>6.48</v>
      </c>
      <c r="U27" s="99">
        <f t="shared" si="29"/>
        <v>2.8644608747973501E-2</v>
      </c>
      <c r="V27" s="84"/>
      <c r="W27" s="94">
        <f>$N27*0.18</f>
        <v>0.58320000000000005</v>
      </c>
      <c r="X27" s="99">
        <f t="shared" si="30"/>
        <v>2.8646933422404732E-2</v>
      </c>
      <c r="Y27" s="94">
        <f>$N27*0.3</f>
        <v>0.97199999999999998</v>
      </c>
      <c r="Z27" s="99">
        <f t="shared" si="31"/>
        <v>2.9818694971929936E-2</v>
      </c>
      <c r="AA27" s="94">
        <f>$N27*0.5</f>
        <v>1.62</v>
      </c>
      <c r="AB27" s="99">
        <f t="shared" si="32"/>
        <v>3.056892159637702E-2</v>
      </c>
      <c r="AC27" s="94">
        <f>$N27</f>
        <v>3.24</v>
      </c>
      <c r="AD27" s="99">
        <f t="shared" si="33"/>
        <v>3.1767820374546528E-2</v>
      </c>
      <c r="AE27" s="94">
        <f>$N27*2</f>
        <v>6.48</v>
      </c>
      <c r="AF27" s="99">
        <f t="shared" si="34"/>
        <v>3.9517014270032937E-2</v>
      </c>
      <c r="AG27" s="131"/>
      <c r="AH27" s="94">
        <f>N27*4</f>
        <v>12.96</v>
      </c>
      <c r="AI27" s="99">
        <f t="shared" si="22"/>
        <v>2.8964702330441482E-2</v>
      </c>
      <c r="AJ27" s="94">
        <f>N27*15.66*1.1364</f>
        <v>57.659117760000008</v>
      </c>
      <c r="AK27" s="99">
        <f t="shared" si="23"/>
        <v>4.1185084114285717E-2</v>
      </c>
      <c r="AL27" s="131"/>
      <c r="AM27" s="94">
        <f>N27</f>
        <v>3.24</v>
      </c>
      <c r="AN27" s="99">
        <f>AM27/AM$6</f>
        <v>2.3059057479062273E-2</v>
      </c>
      <c r="AO27" s="94">
        <f>AM27*2</f>
        <v>6.48</v>
      </c>
      <c r="AP27" s="99">
        <f t="shared" si="36"/>
        <v>2.3476559669589163E-2</v>
      </c>
      <c r="AQ27" s="84"/>
      <c r="AR27" s="94">
        <f>AM27*4</f>
        <v>12.96</v>
      </c>
      <c r="AS27" s="99">
        <f t="shared" si="37"/>
        <v>2.3691137759578828E-2</v>
      </c>
      <c r="AT27" s="94">
        <f>AO27*4</f>
        <v>25.92</v>
      </c>
      <c r="AU27" s="99">
        <f t="shared" si="38"/>
        <v>1.2342857142857143E-2</v>
      </c>
      <c r="AV27" s="84"/>
      <c r="AW27" s="94">
        <f>AM27</f>
        <v>3.24</v>
      </c>
      <c r="AX27" s="99">
        <f>AW27/AW$6</f>
        <v>2.2405399424651473E-2</v>
      </c>
      <c r="AY27" s="94">
        <f>AW27*2</f>
        <v>6.48</v>
      </c>
      <c r="AZ27" s="99">
        <f t="shared" si="40"/>
        <v>2.3291255714984041E-2</v>
      </c>
      <c r="BA27" s="84"/>
      <c r="BB27" s="94">
        <f>AW27*4</f>
        <v>12.96</v>
      </c>
      <c r="BC27" s="99">
        <f t="shared" si="41"/>
        <v>2.3502444544386252E-2</v>
      </c>
      <c r="BD27" s="94">
        <f>AZ27*4</f>
        <v>9.3165022859936164E-2</v>
      </c>
      <c r="BE27" s="99">
        <f t="shared" si="42"/>
        <v>4.3332568772063333E-5</v>
      </c>
      <c r="BF27" s="84"/>
      <c r="BG27" s="94">
        <f>AJ27</f>
        <v>57.659117760000008</v>
      </c>
      <c r="BH27" s="99">
        <f t="shared" si="43"/>
        <v>5.0578173473684221E-2</v>
      </c>
      <c r="BI27" s="84"/>
      <c r="BJ27" s="84"/>
    </row>
    <row r="28" spans="1:62" hidden="1" x14ac:dyDescent="0.2">
      <c r="A28" s="84"/>
      <c r="B28" s="222"/>
      <c r="C28" s="228">
        <f>'Pricing Trends'!R34</f>
        <v>0</v>
      </c>
      <c r="D28" s="249">
        <f>'Pricing Trends'!S34</f>
        <v>0</v>
      </c>
      <c r="E28" s="223">
        <f>'Pricing Trends'!U34</f>
        <v>0</v>
      </c>
      <c r="F28" s="220" t="b">
        <v>0</v>
      </c>
      <c r="G28" s="84"/>
      <c r="H28" s="247" t="s">
        <v>414</v>
      </c>
      <c r="I28" s="84"/>
      <c r="J28" s="94">
        <f>J6*0.05</f>
        <v>2.1544300735216471</v>
      </c>
      <c r="K28" s="99">
        <f t="shared" si="24"/>
        <v>0.05</v>
      </c>
      <c r="L28" s="94">
        <f>L6*0.05</f>
        <v>3.0227572478880678</v>
      </c>
      <c r="M28" s="99">
        <f t="shared" si="25"/>
        <v>0.05</v>
      </c>
      <c r="N28" s="94">
        <f>N6*0.05</f>
        <v>5.843014495776135</v>
      </c>
      <c r="O28" s="99">
        <f>N28/N$6</f>
        <v>0.05</v>
      </c>
      <c r="P28" s="94">
        <f>P6*0.05</f>
        <v>5.843014495776135</v>
      </c>
      <c r="Q28" s="99">
        <f>P28/P$6</f>
        <v>0.05</v>
      </c>
      <c r="R28" s="94">
        <f>R6*0.05</f>
        <v>11.31102899155227</v>
      </c>
      <c r="S28" s="99">
        <f t="shared" si="28"/>
        <v>0.05</v>
      </c>
      <c r="T28" s="94">
        <f>T6*0.05</f>
        <v>11.31102899155227</v>
      </c>
      <c r="U28" s="99">
        <f t="shared" si="29"/>
        <v>0.05</v>
      </c>
      <c r="V28" s="84"/>
      <c r="W28" s="94">
        <f>W6*0.05</f>
        <v>1.0179100000000001</v>
      </c>
      <c r="X28" s="99">
        <f t="shared" si="30"/>
        <v>0.05</v>
      </c>
      <c r="Y28" s="94">
        <f>Y6*0.05</f>
        <v>1.6298499999999998</v>
      </c>
      <c r="Z28" s="99">
        <f t="shared" si="31"/>
        <v>0.05</v>
      </c>
      <c r="AA28" s="94">
        <f>AA6*0.05</f>
        <v>2.64975</v>
      </c>
      <c r="AB28" s="99">
        <f t="shared" si="32"/>
        <v>0.05</v>
      </c>
      <c r="AC28" s="94">
        <f>AC6*0.05</f>
        <v>5.0994999999999999</v>
      </c>
      <c r="AD28" s="99">
        <f t="shared" si="33"/>
        <v>0.05</v>
      </c>
      <c r="AE28" s="94">
        <f>AE6*0.05</f>
        <v>8.1989999999999998</v>
      </c>
      <c r="AF28" s="99">
        <f t="shared" si="34"/>
        <v>0.05</v>
      </c>
      <c r="AG28" s="131"/>
      <c r="AH28" s="94">
        <f>AH6*0.05</f>
        <v>22.37205798310454</v>
      </c>
      <c r="AI28" s="99">
        <f t="shared" si="22"/>
        <v>0.05</v>
      </c>
      <c r="AJ28" s="251"/>
      <c r="AK28" s="99">
        <f t="shared" si="23"/>
        <v>0</v>
      </c>
      <c r="AL28" s="131"/>
      <c r="AM28" s="94">
        <f>AM6*0.05</f>
        <v>7.0254389255543828</v>
      </c>
      <c r="AN28" s="99">
        <f t="shared" si="35"/>
        <v>0.05</v>
      </c>
      <c r="AO28" s="94">
        <f>AO6*0.05</f>
        <v>13.801</v>
      </c>
      <c r="AP28" s="99">
        <f t="shared" si="36"/>
        <v>0.05</v>
      </c>
      <c r="AQ28" s="84"/>
      <c r="AR28" s="94">
        <f>AR6*0.05</f>
        <v>27.352</v>
      </c>
      <c r="AS28" s="99">
        <f t="shared" si="37"/>
        <v>0.05</v>
      </c>
      <c r="AT28" s="251"/>
      <c r="AU28" s="99">
        <f t="shared" si="38"/>
        <v>0</v>
      </c>
      <c r="AV28" s="84"/>
      <c r="AW28" s="94">
        <f>AW6*0.05</f>
        <v>7.2304000000000004</v>
      </c>
      <c r="AX28" s="99">
        <f t="shared" si="39"/>
        <v>0.05</v>
      </c>
      <c r="AY28" s="94">
        <f>AY6*0.05</f>
        <v>13.910800000000002</v>
      </c>
      <c r="AZ28" s="99">
        <f t="shared" si="40"/>
        <v>0.05</v>
      </c>
      <c r="BA28" s="84"/>
      <c r="BB28" s="94">
        <f>BB6*0.05</f>
        <v>27.571600000000004</v>
      </c>
      <c r="BC28" s="99">
        <f t="shared" si="41"/>
        <v>0.05</v>
      </c>
      <c r="BD28" s="251"/>
      <c r="BE28" s="99">
        <f t="shared" si="42"/>
        <v>0</v>
      </c>
      <c r="BF28" s="84"/>
      <c r="BG28" s="251"/>
      <c r="BH28" s="99">
        <f t="shared" si="43"/>
        <v>0</v>
      </c>
      <c r="BI28" s="84"/>
      <c r="BJ28" s="84"/>
    </row>
    <row r="29" spans="1:62" hidden="1" x14ac:dyDescent="0.2">
      <c r="A29" s="84"/>
      <c r="B29" s="222"/>
      <c r="C29" s="228">
        <f>'Pricing Trends'!R35</f>
        <v>0</v>
      </c>
      <c r="D29" s="249">
        <f>'Pricing Trends'!S35</f>
        <v>0</v>
      </c>
      <c r="E29" s="223">
        <f>'Pricing Trends'!U35</f>
        <v>0</v>
      </c>
      <c r="F29" s="220" t="b">
        <v>0</v>
      </c>
      <c r="G29" s="84"/>
      <c r="H29" s="247" t="s">
        <v>415</v>
      </c>
      <c r="I29" s="84"/>
      <c r="J29" s="94">
        <f>J6*0.05</f>
        <v>2.1544300735216471</v>
      </c>
      <c r="K29" s="99">
        <f t="shared" si="24"/>
        <v>0.05</v>
      </c>
      <c r="L29" s="94">
        <f>L6*0.05</f>
        <v>3.0227572478880678</v>
      </c>
      <c r="M29" s="99">
        <f t="shared" si="25"/>
        <v>0.05</v>
      </c>
      <c r="N29" s="94">
        <f>N6*0.05</f>
        <v>5.843014495776135</v>
      </c>
      <c r="O29" s="99">
        <f t="shared" si="26"/>
        <v>0.05</v>
      </c>
      <c r="P29" s="94">
        <f>P6*0.05</f>
        <v>5.843014495776135</v>
      </c>
      <c r="Q29" s="99">
        <f t="shared" ref="Q29:Q31" si="44">P29/P$6</f>
        <v>0.05</v>
      </c>
      <c r="R29" s="94">
        <f>R6*0.05</f>
        <v>11.31102899155227</v>
      </c>
      <c r="S29" s="99">
        <f>R29/R$6</f>
        <v>0.05</v>
      </c>
      <c r="T29" s="94">
        <f>T6*0.05</f>
        <v>11.31102899155227</v>
      </c>
      <c r="U29" s="99">
        <f>T29/T$6</f>
        <v>0.05</v>
      </c>
      <c r="V29" s="84"/>
      <c r="W29" s="94">
        <f>W6*0.05</f>
        <v>1.0179100000000001</v>
      </c>
      <c r="X29" s="99">
        <f t="shared" si="30"/>
        <v>0.05</v>
      </c>
      <c r="Y29" s="94">
        <f>Y6*0.05</f>
        <v>1.6298499999999998</v>
      </c>
      <c r="Z29" s="99">
        <f t="shared" si="31"/>
        <v>0.05</v>
      </c>
      <c r="AA29" s="94">
        <f>AA6*0.05</f>
        <v>2.64975</v>
      </c>
      <c r="AB29" s="99">
        <f t="shared" si="32"/>
        <v>0.05</v>
      </c>
      <c r="AC29" s="94">
        <f>AC6*0.05</f>
        <v>5.0994999999999999</v>
      </c>
      <c r="AD29" s="99">
        <f t="shared" si="33"/>
        <v>0.05</v>
      </c>
      <c r="AE29" s="94">
        <f>AE6*0.05</f>
        <v>8.1989999999999998</v>
      </c>
      <c r="AF29" s="99">
        <f t="shared" si="34"/>
        <v>0.05</v>
      </c>
      <c r="AG29" s="131"/>
      <c r="AH29" s="94">
        <f>AH6*0.05</f>
        <v>22.37205798310454</v>
      </c>
      <c r="AI29" s="99">
        <f t="shared" si="22"/>
        <v>0.05</v>
      </c>
      <c r="AJ29" s="251"/>
      <c r="AK29" s="99">
        <f t="shared" si="23"/>
        <v>0</v>
      </c>
      <c r="AL29" s="131"/>
      <c r="AM29" s="94">
        <f>AM6*0.05</f>
        <v>7.0254389255543828</v>
      </c>
      <c r="AN29" s="99">
        <f t="shared" si="35"/>
        <v>0.05</v>
      </c>
      <c r="AO29" s="94">
        <f>AO6*0.05</f>
        <v>13.801</v>
      </c>
      <c r="AP29" s="99">
        <f t="shared" si="36"/>
        <v>0.05</v>
      </c>
      <c r="AQ29" s="84"/>
      <c r="AR29" s="94">
        <f>AR6*0.05</f>
        <v>27.352</v>
      </c>
      <c r="AS29" s="99">
        <f t="shared" si="37"/>
        <v>0.05</v>
      </c>
      <c r="AT29" s="251"/>
      <c r="AU29" s="99">
        <f t="shared" si="38"/>
        <v>0</v>
      </c>
      <c r="AV29" s="84"/>
      <c r="AW29" s="94">
        <f>AW6*0.05</f>
        <v>7.2304000000000004</v>
      </c>
      <c r="AX29" s="99">
        <f t="shared" si="39"/>
        <v>0.05</v>
      </c>
      <c r="AY29" s="94">
        <f>AY6*0.05</f>
        <v>13.910800000000002</v>
      </c>
      <c r="AZ29" s="99">
        <f t="shared" si="40"/>
        <v>0.05</v>
      </c>
      <c r="BA29" s="84"/>
      <c r="BB29" s="94">
        <f>BB6*0.05</f>
        <v>27.571600000000004</v>
      </c>
      <c r="BC29" s="99">
        <f t="shared" si="41"/>
        <v>0.05</v>
      </c>
      <c r="BD29" s="251"/>
      <c r="BE29" s="99">
        <f t="shared" si="42"/>
        <v>0</v>
      </c>
      <c r="BF29" s="84"/>
      <c r="BG29" s="251"/>
      <c r="BH29" s="99">
        <f t="shared" si="43"/>
        <v>0</v>
      </c>
      <c r="BI29" s="84"/>
      <c r="BJ29" s="84"/>
    </row>
    <row r="30" spans="1:62" hidden="1" x14ac:dyDescent="0.2">
      <c r="A30" s="84"/>
      <c r="B30" s="222"/>
      <c r="C30" s="228">
        <f>'Pricing Trends'!R36</f>
        <v>0</v>
      </c>
      <c r="D30" s="249">
        <f>'Pricing Trends'!S36</f>
        <v>0</v>
      </c>
      <c r="E30" s="223">
        <f>'Pricing Trends'!U36</f>
        <v>0</v>
      </c>
      <c r="F30" s="220" t="b">
        <v>0</v>
      </c>
      <c r="G30" s="84"/>
      <c r="H30" s="247" t="s">
        <v>416</v>
      </c>
      <c r="I30" s="84"/>
      <c r="J30" s="94">
        <f>J6*0.02</f>
        <v>0.86177202940865882</v>
      </c>
      <c r="K30" s="99">
        <f t="shared" si="24"/>
        <v>0.02</v>
      </c>
      <c r="L30" s="94">
        <f>L6*0.02</f>
        <v>1.2091028991552271</v>
      </c>
      <c r="M30" s="99">
        <f t="shared" si="25"/>
        <v>0.02</v>
      </c>
      <c r="N30" s="94">
        <f>N6*0.02</f>
        <v>2.3372057983104542</v>
      </c>
      <c r="O30" s="99">
        <f t="shared" si="26"/>
        <v>0.02</v>
      </c>
      <c r="P30" s="94">
        <f>P6*0.02</f>
        <v>2.3372057983104542</v>
      </c>
      <c r="Q30" s="99">
        <f t="shared" si="44"/>
        <v>0.02</v>
      </c>
      <c r="R30" s="94">
        <f>R6*0.02</f>
        <v>4.524411596620908</v>
      </c>
      <c r="S30" s="99">
        <f t="shared" ref="S30:S31" si="45">R30/R$6</f>
        <v>0.02</v>
      </c>
      <c r="T30" s="94">
        <f>T6*0.02</f>
        <v>4.524411596620908</v>
      </c>
      <c r="U30" s="99">
        <f t="shared" si="29"/>
        <v>0.02</v>
      </c>
      <c r="V30" s="84"/>
      <c r="W30" s="94">
        <f>W6*0.02</f>
        <v>0.40716400000000003</v>
      </c>
      <c r="X30" s="99">
        <f t="shared" si="30"/>
        <v>0.02</v>
      </c>
      <c r="Y30" s="94">
        <f>Y6*0.02</f>
        <v>0.65193999999999985</v>
      </c>
      <c r="Z30" s="99">
        <f t="shared" si="31"/>
        <v>0.02</v>
      </c>
      <c r="AA30" s="94">
        <f>AA6*0.02</f>
        <v>1.0599000000000001</v>
      </c>
      <c r="AB30" s="99">
        <f t="shared" si="32"/>
        <v>2.0000000000000004E-2</v>
      </c>
      <c r="AC30" s="94">
        <f>AC6*0.02</f>
        <v>2.0398000000000001</v>
      </c>
      <c r="AD30" s="99">
        <f t="shared" si="33"/>
        <v>0.02</v>
      </c>
      <c r="AE30" s="94">
        <f>AE6*0.02</f>
        <v>3.2795999999999998</v>
      </c>
      <c r="AF30" s="99">
        <f t="shared" si="34"/>
        <v>0.02</v>
      </c>
      <c r="AG30" s="131"/>
      <c r="AH30" s="94">
        <f>AH6*0.02</f>
        <v>8.9488231932418163</v>
      </c>
      <c r="AI30" s="99">
        <f t="shared" si="22"/>
        <v>0.02</v>
      </c>
      <c r="AJ30" s="94">
        <f>AJ6*0.02</f>
        <v>28</v>
      </c>
      <c r="AK30" s="99">
        <f t="shared" si="23"/>
        <v>0.02</v>
      </c>
      <c r="AL30" s="131"/>
      <c r="AM30" s="94">
        <f>AM6*0.02</f>
        <v>2.810175570221753</v>
      </c>
      <c r="AN30" s="99">
        <f t="shared" si="35"/>
        <v>0.02</v>
      </c>
      <c r="AO30" s="94">
        <f>AO6*0.02</f>
        <v>5.5203999999999995</v>
      </c>
      <c r="AP30" s="99">
        <f t="shared" si="36"/>
        <v>0.02</v>
      </c>
      <c r="AQ30" s="84"/>
      <c r="AR30" s="94">
        <f>AR6*0.02</f>
        <v>10.940799999999999</v>
      </c>
      <c r="AS30" s="99">
        <f t="shared" si="37"/>
        <v>0.02</v>
      </c>
      <c r="AT30" s="94">
        <f>AT6*0.02</f>
        <v>42</v>
      </c>
      <c r="AU30" s="99">
        <f t="shared" si="38"/>
        <v>0.02</v>
      </c>
      <c r="AV30" s="84"/>
      <c r="AW30" s="94">
        <f>AW6*0.02</f>
        <v>2.8921600000000001</v>
      </c>
      <c r="AX30" s="99">
        <f t="shared" si="39"/>
        <v>0.02</v>
      </c>
      <c r="AY30" s="94">
        <f>AY6*0.02</f>
        <v>5.5643200000000004</v>
      </c>
      <c r="AZ30" s="99">
        <f t="shared" si="40"/>
        <v>0.02</v>
      </c>
      <c r="BA30" s="84"/>
      <c r="BB30" s="94">
        <f>BB6*0.02</f>
        <v>11.028640000000001</v>
      </c>
      <c r="BC30" s="99">
        <f t="shared" si="41"/>
        <v>0.02</v>
      </c>
      <c r="BD30" s="94">
        <f>BD6*0.02</f>
        <v>43</v>
      </c>
      <c r="BE30" s="99">
        <f t="shared" si="42"/>
        <v>0.02</v>
      </c>
      <c r="BF30" s="84"/>
      <c r="BG30" s="94">
        <f>BG6*0.02</f>
        <v>22.8</v>
      </c>
      <c r="BH30" s="99">
        <f t="shared" si="43"/>
        <v>0.02</v>
      </c>
      <c r="BI30" s="84"/>
      <c r="BJ30" s="84"/>
    </row>
    <row r="31" spans="1:62" hidden="1" x14ac:dyDescent="0.2">
      <c r="A31" s="84"/>
      <c r="B31" s="222"/>
      <c r="C31" s="228">
        <f>'Pricing Trends'!R37</f>
        <v>0</v>
      </c>
      <c r="D31" s="249">
        <f>'Pricing Trends'!S37</f>
        <v>0</v>
      </c>
      <c r="E31" s="223">
        <f>'Pricing Trends'!U37</f>
        <v>0</v>
      </c>
      <c r="F31" s="220" t="b">
        <v>0</v>
      </c>
      <c r="G31" s="84"/>
      <c r="H31" s="247" t="s">
        <v>417</v>
      </c>
      <c r="I31" s="84"/>
      <c r="J31" s="94">
        <f>J6*0.01</f>
        <v>0.43088601470432941</v>
      </c>
      <c r="K31" s="99">
        <f t="shared" si="24"/>
        <v>0.01</v>
      </c>
      <c r="L31" s="94">
        <f>L6*0.01</f>
        <v>0.60455144957761353</v>
      </c>
      <c r="M31" s="99">
        <f t="shared" si="25"/>
        <v>0.01</v>
      </c>
      <c r="N31" s="94">
        <f>N6*0.01</f>
        <v>1.1686028991552271</v>
      </c>
      <c r="O31" s="99">
        <f t="shared" si="26"/>
        <v>0.01</v>
      </c>
      <c r="P31" s="94">
        <f>P6*0.01</f>
        <v>1.1686028991552271</v>
      </c>
      <c r="Q31" s="99">
        <f t="shared" si="44"/>
        <v>0.01</v>
      </c>
      <c r="R31" s="94">
        <f>R6*0.01</f>
        <v>2.262205798310454</v>
      </c>
      <c r="S31" s="99">
        <f t="shared" si="45"/>
        <v>0.01</v>
      </c>
      <c r="T31" s="94">
        <f>T6*0.01</f>
        <v>2.262205798310454</v>
      </c>
      <c r="U31" s="99">
        <f t="shared" si="29"/>
        <v>0.01</v>
      </c>
      <c r="V31" s="84"/>
      <c r="W31" s="94">
        <f>W6*0.01</f>
        <v>0.20358200000000001</v>
      </c>
      <c r="X31" s="99">
        <f t="shared" si="30"/>
        <v>0.01</v>
      </c>
      <c r="Y31" s="94">
        <f>Y6*0.01</f>
        <v>0.32596999999999993</v>
      </c>
      <c r="Z31" s="99">
        <f t="shared" si="31"/>
        <v>0.01</v>
      </c>
      <c r="AA31" s="94">
        <f>AA6*0.01</f>
        <v>0.52995000000000003</v>
      </c>
      <c r="AB31" s="99">
        <f t="shared" si="32"/>
        <v>1.0000000000000002E-2</v>
      </c>
      <c r="AC31" s="94">
        <f>AC7*0.02</f>
        <v>1.8390836799999999</v>
      </c>
      <c r="AD31" s="99">
        <f t="shared" si="33"/>
        <v>1.8031999999999999E-2</v>
      </c>
      <c r="AE31" s="94">
        <f>AE6*0.01</f>
        <v>1.6397999999999999</v>
      </c>
      <c r="AF31" s="99">
        <f t="shared" si="34"/>
        <v>0.01</v>
      </c>
      <c r="AG31" s="131"/>
      <c r="AH31" s="94">
        <f>AH6*0.01</f>
        <v>4.4744115966209081</v>
      </c>
      <c r="AI31" s="99">
        <f t="shared" si="22"/>
        <v>0.01</v>
      </c>
      <c r="AJ31" s="94">
        <f>AJ6*0.01</f>
        <v>14</v>
      </c>
      <c r="AK31" s="99">
        <f t="shared" si="23"/>
        <v>0.01</v>
      </c>
      <c r="AL31" s="131"/>
      <c r="AM31" s="94">
        <f>AM6*0.01</f>
        <v>1.4050877851108765</v>
      </c>
      <c r="AN31" s="99">
        <f t="shared" si="35"/>
        <v>0.01</v>
      </c>
      <c r="AO31" s="94">
        <f>AO6*0.01</f>
        <v>2.7601999999999998</v>
      </c>
      <c r="AP31" s="99">
        <f t="shared" si="36"/>
        <v>0.01</v>
      </c>
      <c r="AQ31" s="84"/>
      <c r="AR31" s="94">
        <f>AR6*0.01</f>
        <v>5.4703999999999997</v>
      </c>
      <c r="AS31" s="99">
        <f t="shared" si="37"/>
        <v>0.01</v>
      </c>
      <c r="AT31" s="94">
        <f>AT6*0.01</f>
        <v>21</v>
      </c>
      <c r="AU31" s="99">
        <f t="shared" si="38"/>
        <v>0.01</v>
      </c>
      <c r="AV31" s="84"/>
      <c r="AW31" s="94">
        <f>AW6*0.01</f>
        <v>1.44608</v>
      </c>
      <c r="AX31" s="99">
        <f t="shared" si="39"/>
        <v>0.01</v>
      </c>
      <c r="AY31" s="94">
        <f>AY6*0.01</f>
        <v>2.7821600000000002</v>
      </c>
      <c r="AZ31" s="99">
        <f t="shared" si="40"/>
        <v>0.01</v>
      </c>
      <c r="BA31" s="84"/>
      <c r="BB31" s="94">
        <f>BB6*0.01</f>
        <v>5.5143200000000006</v>
      </c>
      <c r="BC31" s="99">
        <f t="shared" si="41"/>
        <v>0.01</v>
      </c>
      <c r="BD31" s="94">
        <f>BD6*0.01</f>
        <v>21.5</v>
      </c>
      <c r="BE31" s="99">
        <f t="shared" si="42"/>
        <v>0.01</v>
      </c>
      <c r="BF31" s="84"/>
      <c r="BG31" s="94">
        <f>BG6*0.01</f>
        <v>11.4</v>
      </c>
      <c r="BH31" s="99">
        <f t="shared" si="43"/>
        <v>0.01</v>
      </c>
      <c r="BI31" s="84"/>
      <c r="BJ31" s="84"/>
    </row>
    <row r="32" spans="1:62" hidden="1" x14ac:dyDescent="0.2">
      <c r="A32" s="84"/>
      <c r="B32" s="222"/>
      <c r="C32" s="228" t="str">
        <f>'Pricing Trends'!R38</f>
        <v>RBD COCONUT OIL</v>
      </c>
      <c r="D32" s="249">
        <f>'Pricing Trends'!S38</f>
        <v>45468</v>
      </c>
      <c r="E32" s="223">
        <f>'Pricing Trends'!U38</f>
        <v>85.357268567405839</v>
      </c>
      <c r="F32" s="220" t="b">
        <v>0</v>
      </c>
      <c r="G32" s="84"/>
      <c r="H32" s="243" t="s">
        <v>418</v>
      </c>
      <c r="I32" s="84"/>
      <c r="J32" s="96">
        <f>J19-J21</f>
        <v>5.7207750581710872</v>
      </c>
      <c r="K32" s="97">
        <f>J32/J6</f>
        <v>0.13276771264197651</v>
      </c>
      <c r="L32" s="96">
        <f>L19-L21</f>
        <v>8.7428373846888654</v>
      </c>
      <c r="M32" s="97">
        <f>L32/L6</f>
        <v>0.14461692864680564</v>
      </c>
      <c r="N32" s="96">
        <f>N19-N21</f>
        <v>14.430508102711062</v>
      </c>
      <c r="O32" s="97">
        <f>N32/N6</f>
        <v>0.1234851300911777</v>
      </c>
      <c r="P32" s="96">
        <f>P19-P21</f>
        <v>22.198841436044379</v>
      </c>
      <c r="Q32" s="97">
        <f>P32/P6</f>
        <v>0.18996051996868851</v>
      </c>
      <c r="R32" s="96">
        <f>R19-R21</f>
        <v>20.952682872088786</v>
      </c>
      <c r="S32" s="97">
        <f>R32/R6</f>
        <v>9.2620586896813101E-2</v>
      </c>
      <c r="T32" s="96">
        <f>T19-T21</f>
        <v>39.389349538755454</v>
      </c>
      <c r="U32" s="97">
        <f>T32/T6</f>
        <v>0.17411921394673152</v>
      </c>
      <c r="V32" s="84"/>
      <c r="W32" s="96">
        <f>W19-W21</f>
        <v>0.99285405771713631</v>
      </c>
      <c r="X32" s="97">
        <f>W32/W6</f>
        <v>4.8769245695451283E-2</v>
      </c>
      <c r="Y32" s="96">
        <f>Y19-Y21</f>
        <v>1.705173429528557</v>
      </c>
      <c r="Z32" s="97">
        <f>Y32/Y6</f>
        <v>5.231074729357172E-2</v>
      </c>
      <c r="AA32" s="96">
        <f>AA19-AA21</f>
        <v>6.3916779381031485</v>
      </c>
      <c r="AB32" s="97">
        <f>AA32/AA6</f>
        <v>0.12060907515998016</v>
      </c>
      <c r="AC32" s="96">
        <f>AC19-AC21</f>
        <v>3.2341721962063161</v>
      </c>
      <c r="AD32" s="97">
        <f>AC32/AC6</f>
        <v>3.1710679441183609E-2</v>
      </c>
      <c r="AE32" s="96">
        <f>AE19-AE21</f>
        <v>-22.596621580920726</v>
      </c>
      <c r="AF32" s="97">
        <f>AE32/AE6</f>
        <v>-0.13780108294255841</v>
      </c>
      <c r="AG32" s="131"/>
      <c r="AH32" s="96">
        <f>AH19-AH21</f>
        <v>303.36838481717143</v>
      </c>
      <c r="AI32" s="97">
        <f>AH32/AH6</f>
        <v>0.67800732736853342</v>
      </c>
      <c r="AJ32" s="96">
        <f>AJ19-AJ21</f>
        <v>1170.6949606261728</v>
      </c>
      <c r="AK32" s="97">
        <f>AJ32/AJ6</f>
        <v>0.83621068616155203</v>
      </c>
      <c r="AL32" s="131"/>
      <c r="AM32" s="96">
        <f>AM19-AM21</f>
        <v>20.712771598709821</v>
      </c>
      <c r="AN32" s="97">
        <f>AM32/AM6</f>
        <v>0.14741265149547478</v>
      </c>
      <c r="AO32" s="96">
        <f>AO19-AO21</f>
        <v>32.53433525479376</v>
      </c>
      <c r="AP32" s="97">
        <f>AO32/AO6</f>
        <v>0.11786948501845432</v>
      </c>
      <c r="AQ32" s="84"/>
      <c r="AR32" s="96">
        <f>AR19-AR21</f>
        <v>43.115531048141577</v>
      </c>
      <c r="AS32" s="97">
        <f>AR32/AR6</f>
        <v>7.881604827460803E-2</v>
      </c>
      <c r="AT32" s="96">
        <f>AT19-AT21</f>
        <v>343.02437297592434</v>
      </c>
      <c r="AU32" s="97">
        <f>AT32/AT6</f>
        <v>0.16334493951234491</v>
      </c>
      <c r="AV32" s="84"/>
      <c r="AW32" s="96">
        <f>AW19-AW21</f>
        <v>35.567319410700875</v>
      </c>
      <c r="AX32" s="97">
        <f>AW32/AW6</f>
        <v>0.24595678946324459</v>
      </c>
      <c r="AY32" s="96">
        <f>AY19-AY21</f>
        <v>56.121305488068401</v>
      </c>
      <c r="AZ32" s="97">
        <f>AY32/AY6</f>
        <v>0.20171846870082383</v>
      </c>
      <c r="BA32" s="84"/>
      <c r="BB32" s="96">
        <f>BB19-BB21</f>
        <v>103.37769663132815</v>
      </c>
      <c r="BC32" s="97">
        <f>BB32/BB6</f>
        <v>0.18747134121945797</v>
      </c>
      <c r="BD32" s="96">
        <f>BD19-BD21</f>
        <v>663.49053251105875</v>
      </c>
      <c r="BE32" s="97">
        <f>BD32/BD6</f>
        <v>0.30860024767956223</v>
      </c>
      <c r="BF32" s="84"/>
      <c r="BG32" s="96">
        <f>BG19-BG21</f>
        <v>-600.5250393738271</v>
      </c>
      <c r="BH32" s="97">
        <f>BG32/BG6</f>
        <v>-0.52677635032791847</v>
      </c>
      <c r="BI32" s="84"/>
      <c r="BJ32" s="84"/>
    </row>
    <row r="33" spans="1:62" hidden="1" x14ac:dyDescent="0.2">
      <c r="A33" s="84"/>
      <c r="B33" s="222"/>
      <c r="C33" s="228">
        <f>'Pricing Trends'!R39</f>
        <v>0</v>
      </c>
      <c r="D33" s="249">
        <f>'Pricing Trends'!S39</f>
        <v>0</v>
      </c>
      <c r="E33" s="223">
        <f>'Pricing Trends'!U39</f>
        <v>0</v>
      </c>
      <c r="F33" s="220" t="b">
        <v>0</v>
      </c>
      <c r="G33" s="84"/>
      <c r="H33" s="244" t="s">
        <v>419</v>
      </c>
      <c r="I33" s="84"/>
      <c r="J33" s="194">
        <f>J20-J21</f>
        <v>1.4808566734804831</v>
      </c>
      <c r="K33" s="188">
        <f>J33/J7</f>
        <v>3.8118581013727205E-2</v>
      </c>
      <c r="L33" s="194">
        <f>L20-L21</f>
        <v>2.7940511208451504</v>
      </c>
      <c r="M33" s="188">
        <f>L33/L7</f>
        <v>5.1261012252446406E-2</v>
      </c>
      <c r="N33" s="194">
        <f>N20-N21</f>
        <v>2.9314555750236231</v>
      </c>
      <c r="O33" s="188">
        <f>N33/N7</f>
        <v>2.7822903827836795E-2</v>
      </c>
      <c r="P33" s="194">
        <f>P20-P21</f>
        <v>10.69978890835694</v>
      </c>
      <c r="Q33" s="188">
        <f>P33/P7</f>
        <v>0.10155337174876716</v>
      </c>
      <c r="R33" s="194">
        <f>R20-R21</f>
        <v>-1.3074221832860928</v>
      </c>
      <c r="S33" s="188">
        <f>R33/R7</f>
        <v>-6.4101742493200406E-3</v>
      </c>
      <c r="T33" s="194">
        <f>T20-T21</f>
        <v>17.129244483380575</v>
      </c>
      <c r="U33" s="188">
        <f>T33/T7</f>
        <v>8.3983156551388063E-2</v>
      </c>
      <c r="V33" s="84"/>
      <c r="W33" s="194">
        <f>W20-W21</f>
        <v>-1.0103928222828626</v>
      </c>
      <c r="X33" s="188">
        <f>W33/W7</f>
        <v>-5.5047420479756727E-2</v>
      </c>
      <c r="Y33" s="194">
        <f>Y20-Y21</f>
        <v>-1.5023713704714439</v>
      </c>
      <c r="Z33" s="188">
        <f>Y33/Y7</f>
        <v>-5.111940184830116E-2</v>
      </c>
      <c r="AA33" s="194">
        <f>AA20-AA21</f>
        <v>1.176969938103154</v>
      </c>
      <c r="AB33" s="188">
        <f>AA33/AA7</f>
        <v>2.4632958251974556E-2</v>
      </c>
      <c r="AC33" s="194">
        <f>AC20-AC21</f>
        <v>-6.8016438037936808</v>
      </c>
      <c r="AD33" s="188">
        <f>AC33/AC7</f>
        <v>-7.3967746848731544E-2</v>
      </c>
      <c r="AE33" s="194">
        <f>AE20-AE21</f>
        <v>-38.732253580920712</v>
      </c>
      <c r="AF33" s="188">
        <f>AE33/AE7</f>
        <v>-0.26197990565944801</v>
      </c>
      <c r="AG33" s="131"/>
      <c r="AH33" s="194">
        <f>AH20-AH21</f>
        <v>259.34017470642175</v>
      </c>
      <c r="AI33" s="188">
        <f>AH33/AH7</f>
        <v>0.6428652699296068</v>
      </c>
      <c r="AJ33" s="194">
        <f>AJ20-AJ21</f>
        <v>1100.6949606261728</v>
      </c>
      <c r="AK33" s="188">
        <f>AJ33/AJ7</f>
        <v>0.82759019595952843</v>
      </c>
      <c r="AL33" s="131"/>
      <c r="AM33" s="194">
        <f>AM20-AM21</f>
        <v>6.8867077932188039</v>
      </c>
      <c r="AN33" s="188">
        <f>AM33/AM7</f>
        <v>5.4361858357891348E-2</v>
      </c>
      <c r="AO33" s="194">
        <f>AO20-AO21</f>
        <v>5.3739672547937829</v>
      </c>
      <c r="AP33" s="188">
        <f>AO33/AO7</f>
        <v>2.1594371138480919E-2</v>
      </c>
      <c r="AQ33" s="84"/>
      <c r="AR33" s="194">
        <f>AR20-AR21</f>
        <v>-10.713204951858415</v>
      </c>
      <c r="AS33" s="188">
        <f>AR33/AR7</f>
        <v>-2.1721330662590903E-2</v>
      </c>
      <c r="AT33" s="194">
        <f>AT20-AT21</f>
        <v>238.02437297592434</v>
      </c>
      <c r="AU33" s="188">
        <f>AT33/AT7</f>
        <v>0.11931046264457361</v>
      </c>
      <c r="AV33" s="84"/>
      <c r="AW33" s="194">
        <f>AW20-AW21</f>
        <v>21.337892210700872</v>
      </c>
      <c r="AX33" s="188">
        <f>AW33/AW7</f>
        <v>0.16366103534077703</v>
      </c>
      <c r="AY33" s="194">
        <f>AY20-AY21</f>
        <v>28.74485108806843</v>
      </c>
      <c r="AZ33" s="188">
        <f>AY33/AY7</f>
        <v>0.11459457486781711</v>
      </c>
      <c r="BA33" s="84"/>
      <c r="BB33" s="194">
        <f>BB20-BB21</f>
        <v>49.116787831328168</v>
      </c>
      <c r="BC33" s="188">
        <f>BB33/BB7</f>
        <v>9.879252575361358E-2</v>
      </c>
      <c r="BD33" s="194">
        <f>BD20-BD21</f>
        <v>555.99053251105875</v>
      </c>
      <c r="BE33" s="188">
        <f>BD33/BD7</f>
        <v>0.27221078703111812</v>
      </c>
      <c r="BF33" s="84"/>
      <c r="BG33" s="194">
        <f>BG20-BG21</f>
        <v>-600.5250393738271</v>
      </c>
      <c r="BH33" s="188">
        <f>BG33/BG7</f>
        <v>-0.52677635032791847</v>
      </c>
      <c r="BI33" s="84"/>
      <c r="BJ33" s="84"/>
    </row>
    <row r="34" spans="1:62" ht="15" hidden="1" thickBot="1" x14ac:dyDescent="0.25">
      <c r="A34" s="84"/>
      <c r="B34" s="222"/>
      <c r="C34" s="228" t="str">
        <f>'Pricing Trends'!R40</f>
        <v>RBD CANOLA OIL</v>
      </c>
      <c r="D34" s="249">
        <f>'Pricing Trends'!S40</f>
        <v>0</v>
      </c>
      <c r="E34" s="223">
        <f>'Pricing Trends'!U40</f>
        <v>83.220041256354207</v>
      </c>
      <c r="F34" s="220" t="b">
        <v>0</v>
      </c>
      <c r="G34" s="84"/>
      <c r="H34" s="248" t="s">
        <v>420</v>
      </c>
      <c r="I34" s="84"/>
      <c r="J34" s="96">
        <f>(J8+J9+J10+J11+J13+J14+J12+J15)*K5</f>
        <v>956.47900698199999</v>
      </c>
      <c r="K34" s="100"/>
      <c r="L34" s="96">
        <f>(L8+L9+L10+L11+L13+L14+L12+L15)*M5</f>
        <v>877.27048283999989</v>
      </c>
      <c r="M34" s="100"/>
      <c r="N34" s="96">
        <f>(N8+N9+N10+N11+N13+N14+N12+N15)*O5</f>
        <v>874.37048283999991</v>
      </c>
      <c r="O34" s="100"/>
      <c r="P34" s="96">
        <f>(P8+P9+P10+P11+P13+P14+P12+P15)*Q5</f>
        <v>783.07048284000007</v>
      </c>
      <c r="Q34" s="100"/>
      <c r="R34" s="96">
        <f>(R8+R9+R10+R11+R13+R14+R12+R15)*S5</f>
        <v>885.79048283999987</v>
      </c>
      <c r="S34" s="100"/>
      <c r="T34" s="96">
        <f>(T8+T9+T10+T11+T13+T14+T12+T15)*U5</f>
        <v>775.17048283999998</v>
      </c>
      <c r="U34" s="100"/>
      <c r="V34" s="84"/>
      <c r="W34" s="96">
        <f>(W8+W9+W10+W11+W13+W14+W12+W15)*X5</f>
        <v>671.68274764479997</v>
      </c>
      <c r="X34" s="100"/>
      <c r="Y34" s="96">
        <f>(Y8+Y9+Y10+Y11+Y13+Y14+Y12+Y15)*Z5</f>
        <v>800.95343455599993</v>
      </c>
      <c r="Z34" s="100"/>
      <c r="AA34" s="96">
        <f>(AA8+AA9+AA10+AA11+AA13+AA14+AA12+AA15)*AB5</f>
        <v>780.17048283999998</v>
      </c>
      <c r="AB34" s="100"/>
      <c r="AC34" s="96">
        <f>(AC8+AC9+AC10+AC11+AC13+AC14+AC12+AC15)*AD5</f>
        <v>845.57048283999984</v>
      </c>
      <c r="AD34" s="100"/>
      <c r="AE34" s="96">
        <f>(AE8+AE9+AE10+AE11+AE13+AE14+AE12+AE15)*AF5</f>
        <v>822.19048283999996</v>
      </c>
      <c r="AF34" s="100"/>
      <c r="AG34" s="131"/>
      <c r="AH34" s="96">
        <f>(AH8+AH9+AH10+AH11+AH13+AH14+AH12+AH15)*AI5</f>
        <v>173.92</v>
      </c>
      <c r="AI34" s="100"/>
      <c r="AJ34" s="96">
        <f>(AJ8+AJ9+AJ10+AJ11+AJ13+AJ14+AJ12+AJ15)*AK5</f>
        <v>0</v>
      </c>
      <c r="AK34" s="100"/>
      <c r="AL34" s="131"/>
      <c r="AM34" s="96">
        <f>(AM8+AM9+AM10+AM11+AM13+AM14+AM12+AM15)*AN5</f>
        <v>1047.3199800610005</v>
      </c>
      <c r="AN34" s="100"/>
      <c r="AO34" s="96">
        <f>(AO8+AO9+AO10+AO11+AO13+AO14+AO12+AO15)*AP5</f>
        <v>1075.7799800610005</v>
      </c>
      <c r="AP34" s="100"/>
      <c r="AQ34" s="84"/>
      <c r="AR34" s="96">
        <f>(AR8+AR9+AR10+AR11+AR13+AR14+AR12+AR15)*AS5</f>
        <v>1505.4406601016674</v>
      </c>
      <c r="AS34" s="100"/>
      <c r="AT34" s="96">
        <f>(AT8+AT9+AT10+AT11+AT13+AT14+AT12+AT15)*AU5</f>
        <v>1480.9858514790699</v>
      </c>
      <c r="AU34" s="100"/>
      <c r="AV34" s="84"/>
      <c r="AW34" s="96">
        <f>(AW8+AW9+AW10+AW11+AW13+AW14+AW12+AW15)*AX5</f>
        <v>911.56475423999996</v>
      </c>
      <c r="AX34" s="100"/>
      <c r="AY34" s="96">
        <f>(AY8+AY9+AY10+AY11+AY13+AY14+AY12+AY15)*AZ5</f>
        <v>945.42475424000008</v>
      </c>
      <c r="AZ34" s="100"/>
      <c r="BA34" s="84"/>
      <c r="BB34" s="96">
        <f>(BB8+BB9+BB10+BB11+BB13+BB14+BB12+BB15)*BC5</f>
        <v>1279.1819504</v>
      </c>
      <c r="BC34" s="100"/>
      <c r="BD34" s="96">
        <f>(BD8+BD9+BD10+BD11+BD13+BD14+BD12+BD15)*BE5</f>
        <v>1229.3292622253257</v>
      </c>
      <c r="BE34" s="100"/>
      <c r="BF34" s="84"/>
      <c r="BG34" s="96">
        <f>(BG8+BG9+BG10+BG11+BG13+BG14+BG12+BG15)*BH5</f>
        <v>1519.02</v>
      </c>
      <c r="BH34" s="100"/>
      <c r="BI34" s="84"/>
      <c r="BJ34" s="84"/>
    </row>
    <row r="35" spans="1:62" hidden="1" x14ac:dyDescent="0.2">
      <c r="A35" s="84"/>
      <c r="B35" s="222"/>
      <c r="C35" s="228" t="str">
        <f>'Pricing Trends'!R41</f>
        <v>RBD SOYA BEAN OIL</v>
      </c>
      <c r="D35" s="249">
        <f>'Pricing Trends'!S41</f>
        <v>0</v>
      </c>
      <c r="E35" s="223">
        <f>'Pricing Trends'!U41</f>
        <v>81.666041886659627</v>
      </c>
      <c r="F35" s="220" t="b">
        <v>0</v>
      </c>
      <c r="G35" s="84"/>
      <c r="H35" s="84"/>
      <c r="I35" s="84"/>
      <c r="J35" s="84"/>
      <c r="K35" s="84"/>
      <c r="L35" s="84"/>
      <c r="M35" s="84"/>
      <c r="N35" s="84"/>
      <c r="O35" s="84"/>
      <c r="P35" s="84"/>
      <c r="Q35" s="84"/>
      <c r="R35" s="131"/>
      <c r="S35" s="84"/>
      <c r="T35" s="131"/>
      <c r="U35" s="84"/>
      <c r="V35" s="261"/>
      <c r="W35" s="261"/>
      <c r="X35" s="261"/>
      <c r="Y35" s="261"/>
      <c r="Z35" s="261"/>
      <c r="AA35" s="261"/>
      <c r="AB35" s="261"/>
      <c r="AC35" s="261"/>
      <c r="AD35" s="261"/>
      <c r="AE35" s="261"/>
      <c r="AF35" s="261"/>
      <c r="AG35" s="131"/>
      <c r="AH35" s="131"/>
      <c r="AI35" s="84"/>
      <c r="AJ35" s="131"/>
      <c r="AK35" s="84"/>
      <c r="AL35" s="131"/>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row>
    <row r="36" spans="1:62" hidden="1" x14ac:dyDescent="0.2">
      <c r="A36" s="84"/>
      <c r="B36" s="222"/>
      <c r="C36" s="228">
        <f>'Pricing Trends'!R42</f>
        <v>0</v>
      </c>
      <c r="D36" s="249">
        <f>'Pricing Trends'!S42</f>
        <v>0</v>
      </c>
      <c r="E36" s="223">
        <f>'Pricing Trends'!U42</f>
        <v>0</v>
      </c>
      <c r="F36" s="220" t="b">
        <v>0</v>
      </c>
      <c r="G36" s="84"/>
      <c r="H36" s="260"/>
      <c r="I36" s="260"/>
      <c r="J36" s="262">
        <f>J6*0.92*0.98*0.98</f>
        <v>38.071709424027489</v>
      </c>
      <c r="K36" s="262">
        <f t="shared" ref="K36:BG36" si="46">K6*0.92*0.98*0.98</f>
        <v>0.88356800000000002</v>
      </c>
      <c r="L36" s="262">
        <f t="shared" si="46"/>
        <v>53.416231520039283</v>
      </c>
      <c r="M36" s="262">
        <f t="shared" si="46"/>
        <v>0.88356800000000002</v>
      </c>
      <c r="N36" s="262">
        <f t="shared" si="46"/>
        <v>103.25401264007856</v>
      </c>
      <c r="O36" s="262">
        <f t="shared" si="46"/>
        <v>0.88356800000000002</v>
      </c>
      <c r="P36" s="262">
        <f t="shared" si="46"/>
        <v>103.25401264007856</v>
      </c>
      <c r="Q36" s="262">
        <f t="shared" si="46"/>
        <v>0.88356800000000002</v>
      </c>
      <c r="R36" s="262">
        <f t="shared" si="46"/>
        <v>199.88126528015709</v>
      </c>
      <c r="S36" s="262">
        <f t="shared" si="46"/>
        <v>0.88356800000000002</v>
      </c>
      <c r="T36" s="262">
        <f t="shared" si="46"/>
        <v>199.88126528015709</v>
      </c>
      <c r="U36" s="262">
        <f t="shared" si="46"/>
        <v>0.88356800000000002</v>
      </c>
      <c r="V36" s="261"/>
      <c r="W36" s="261"/>
      <c r="X36" s="261"/>
      <c r="Y36" s="261"/>
      <c r="Z36" s="261"/>
      <c r="AA36" s="261"/>
      <c r="AB36" s="261"/>
      <c r="AC36" s="261"/>
      <c r="AD36" s="261"/>
      <c r="AE36" s="261"/>
      <c r="AF36" s="261"/>
      <c r="AG36" s="262">
        <f t="shared" si="46"/>
        <v>0</v>
      </c>
      <c r="AH36" s="262">
        <f t="shared" si="46"/>
        <v>395.34469056031429</v>
      </c>
      <c r="AI36" s="262">
        <f t="shared" si="46"/>
        <v>0.88356800000000002</v>
      </c>
      <c r="AJ36" s="262">
        <f t="shared" si="46"/>
        <v>1236.9952000000001</v>
      </c>
      <c r="AK36" s="262">
        <f t="shared" si="46"/>
        <v>0.88356800000000002</v>
      </c>
      <c r="AL36" s="262">
        <f t="shared" si="46"/>
        <v>0</v>
      </c>
      <c r="AM36" s="262">
        <f t="shared" si="46"/>
        <v>124.1490604114847</v>
      </c>
      <c r="AN36" s="262">
        <f t="shared" si="46"/>
        <v>0.88356800000000002</v>
      </c>
      <c r="AO36" s="262">
        <f t="shared" si="46"/>
        <v>243.88243936000001</v>
      </c>
      <c r="AP36" s="262">
        <f t="shared" si="46"/>
        <v>0.88356800000000002</v>
      </c>
      <c r="AQ36" s="262">
        <f t="shared" si="46"/>
        <v>0</v>
      </c>
      <c r="AR36" s="262">
        <f t="shared" si="46"/>
        <v>483.34703871999994</v>
      </c>
      <c r="AS36" s="262">
        <f t="shared" si="46"/>
        <v>0.88356800000000002</v>
      </c>
      <c r="AT36" s="262">
        <f t="shared" si="46"/>
        <v>1855.4927999999998</v>
      </c>
      <c r="AU36" s="262">
        <f t="shared" si="46"/>
        <v>0.88356800000000002</v>
      </c>
      <c r="AV36" s="262">
        <f t="shared" si="46"/>
        <v>0</v>
      </c>
      <c r="AW36" s="262">
        <f t="shared" si="46"/>
        <v>127.771001344</v>
      </c>
      <c r="AX36" s="262">
        <f t="shared" si="46"/>
        <v>0.88356800000000002</v>
      </c>
      <c r="AY36" s="262">
        <f t="shared" si="46"/>
        <v>245.82275468800003</v>
      </c>
      <c r="AZ36" s="262">
        <f t="shared" si="46"/>
        <v>0.88356800000000002</v>
      </c>
      <c r="BA36" s="262">
        <f t="shared" si="46"/>
        <v>0</v>
      </c>
      <c r="BB36" s="262">
        <f t="shared" si="46"/>
        <v>487.22766937600005</v>
      </c>
      <c r="BC36" s="262">
        <f t="shared" si="46"/>
        <v>0.88356800000000002</v>
      </c>
      <c r="BD36" s="262">
        <f t="shared" si="46"/>
        <v>1899.6712</v>
      </c>
      <c r="BE36" s="262">
        <f t="shared" si="46"/>
        <v>0.88356800000000002</v>
      </c>
      <c r="BF36" s="262">
        <f t="shared" si="46"/>
        <v>0</v>
      </c>
      <c r="BG36" s="262">
        <f t="shared" si="46"/>
        <v>1007.2675199999999</v>
      </c>
      <c r="BH36" s="84"/>
      <c r="BI36" s="84"/>
      <c r="BJ36" s="84"/>
    </row>
    <row r="37" spans="1:62" hidden="1" x14ac:dyDescent="0.2">
      <c r="A37" s="84"/>
      <c r="B37" s="222"/>
      <c r="C37" s="228" t="str">
        <f>'Pricing Trends'!R43</f>
        <v>RBD PALM OLEIN (FOREIGN)</v>
      </c>
      <c r="D37" s="249">
        <f>'Pricing Trends'!S43</f>
        <v>0</v>
      </c>
      <c r="E37" s="223">
        <f>'Pricing Trends'!U43</f>
        <v>64.843398983325557</v>
      </c>
      <c r="F37" s="220" t="b">
        <v>0</v>
      </c>
      <c r="G37" s="84"/>
      <c r="H37" s="260"/>
      <c r="I37" s="260"/>
      <c r="J37" s="262">
        <f>J21+J18-J28</f>
        <v>35.21339633874021</v>
      </c>
      <c r="K37" s="262"/>
      <c r="L37" s="262">
        <f>L21+L18-L28</f>
        <v>48.689550325184413</v>
      </c>
      <c r="M37" s="262"/>
      <c r="N37" s="262">
        <f>N21+N18-N28</f>
        <v>96.586767317035509</v>
      </c>
      <c r="O37" s="262"/>
      <c r="P37" s="262">
        <f>P21+P18-P28</f>
        <v>88.818433983702192</v>
      </c>
      <c r="Q37" s="262"/>
      <c r="R37" s="262">
        <f>R21+R18-R28</f>
        <v>193.95686796740435</v>
      </c>
      <c r="S37" s="262"/>
      <c r="T37" s="262">
        <f>T21+T18-T28</f>
        <v>175.52020130073768</v>
      </c>
      <c r="U37" s="262"/>
      <c r="V37" s="261"/>
      <c r="W37" s="261"/>
      <c r="X37" s="261"/>
      <c r="Y37" s="261"/>
      <c r="Z37" s="261"/>
      <c r="AA37" s="261"/>
      <c r="AB37" s="261"/>
      <c r="AC37" s="261"/>
      <c r="AD37" s="261"/>
      <c r="AE37" s="261"/>
      <c r="AF37" s="261"/>
      <c r="AG37" s="262">
        <f t="shared" ref="AG37:BA37" si="47">AG21+AG18-AG28-AG27</f>
        <v>0</v>
      </c>
      <c r="AH37" s="262">
        <f>AH21+AH18</f>
        <v>144.07277484491931</v>
      </c>
      <c r="AI37" s="262"/>
      <c r="AJ37" s="262">
        <f>AJ21+AJ18</f>
        <v>229.3050393738271</v>
      </c>
      <c r="AK37" s="262"/>
      <c r="AL37" s="262">
        <f t="shared" si="47"/>
        <v>0</v>
      </c>
      <c r="AM37" s="262">
        <f>AM21+AM18</f>
        <v>119.79600691237783</v>
      </c>
      <c r="AN37" s="262"/>
      <c r="AO37" s="262">
        <f>AO21+AO18</f>
        <v>243.48566474520624</v>
      </c>
      <c r="AP37" s="262"/>
      <c r="AQ37" s="262">
        <f t="shared" si="47"/>
        <v>0</v>
      </c>
      <c r="AR37" s="262">
        <f>AR21+AR18</f>
        <v>503.92446895185839</v>
      </c>
      <c r="AS37" s="262"/>
      <c r="AT37" s="262">
        <f>AT21+AT18</f>
        <v>1756.9756270240757</v>
      </c>
      <c r="AU37" s="262"/>
      <c r="AV37" s="262">
        <f t="shared" si="47"/>
        <v>0</v>
      </c>
      <c r="AW37" s="262">
        <f>AW21+AW18</f>
        <v>109.04068058929913</v>
      </c>
      <c r="AX37" s="262"/>
      <c r="AY37" s="262">
        <f>AY21+AY18</f>
        <v>222.09469451193161</v>
      </c>
      <c r="AZ37" s="262"/>
      <c r="BA37" s="262">
        <f t="shared" si="47"/>
        <v>0</v>
      </c>
      <c r="BB37" s="262">
        <f>BB21+BB18</f>
        <v>448.05430336867187</v>
      </c>
      <c r="BC37" s="262"/>
      <c r="BD37" s="262">
        <f>BD21+BD18</f>
        <v>1486.5094674889413</v>
      </c>
      <c r="BE37" s="262"/>
      <c r="BF37" s="84"/>
      <c r="BG37" s="262">
        <f>BG21+BG18</f>
        <v>1740.525039373827</v>
      </c>
      <c r="BH37" s="84"/>
      <c r="BI37" s="84"/>
      <c r="BJ37" s="84"/>
    </row>
    <row r="38" spans="1:62" hidden="1" x14ac:dyDescent="0.2">
      <c r="A38" s="84"/>
      <c r="B38" s="222"/>
      <c r="C38" s="228">
        <f>'Pricing Trends'!R44</f>
        <v>0</v>
      </c>
      <c r="D38" s="249">
        <f>'Pricing Trends'!S44</f>
        <v>0</v>
      </c>
      <c r="E38" s="223">
        <f>'Pricing Trends'!U44</f>
        <v>0</v>
      </c>
      <c r="F38" s="220" t="b">
        <v>0</v>
      </c>
      <c r="G38" s="84"/>
      <c r="H38" s="260"/>
      <c r="I38" s="260"/>
      <c r="J38" s="262">
        <f>J36-J37</f>
        <v>2.8583130852872785</v>
      </c>
      <c r="K38" s="263">
        <f>J38/J6</f>
        <v>6.6335712641976338E-2</v>
      </c>
      <c r="L38" s="262">
        <f>L36-L37</f>
        <v>4.7266811948548693</v>
      </c>
      <c r="M38" s="263">
        <f>L38/L6</f>
        <v>7.8184928646805749E-2</v>
      </c>
      <c r="N38" s="262">
        <f>N36-N37</f>
        <v>6.6672453230430477</v>
      </c>
      <c r="O38" s="263">
        <f>N38/N6</f>
        <v>5.7053130091177615E-2</v>
      </c>
      <c r="P38" s="262">
        <f>P36-P37</f>
        <v>14.435578656376364</v>
      </c>
      <c r="Q38" s="263">
        <f>P38/P6</f>
        <v>0.12352851996868842</v>
      </c>
      <c r="R38" s="262">
        <f>R36-R37</f>
        <v>5.9243973127527454</v>
      </c>
      <c r="S38" s="263">
        <f>R38/R6</f>
        <v>2.6188586896812957E-2</v>
      </c>
      <c r="T38" s="262">
        <f>T36-T37</f>
        <v>24.361063979419413</v>
      </c>
      <c r="U38" s="263">
        <f>T38/T6</f>
        <v>0.10768721394673139</v>
      </c>
      <c r="V38" s="261"/>
      <c r="W38" s="261"/>
      <c r="X38" s="261"/>
      <c r="Y38" s="261"/>
      <c r="Z38" s="261"/>
      <c r="AA38" s="261"/>
      <c r="AB38" s="261"/>
      <c r="AC38" s="261"/>
      <c r="AD38" s="261"/>
      <c r="AE38" s="261"/>
      <c r="AF38" s="261"/>
      <c r="AG38" s="262">
        <f t="shared" ref="AG38:BA38" si="48">AG36-AG37</f>
        <v>0</v>
      </c>
      <c r="AH38" s="262">
        <f>AH36-AH37</f>
        <v>251.27191571539498</v>
      </c>
      <c r="AI38" s="263">
        <f>AH38/AH6</f>
        <v>0.56157532736853366</v>
      </c>
      <c r="AJ38" s="262">
        <f>AJ36-AJ37</f>
        <v>1007.690160626173</v>
      </c>
      <c r="AK38" s="263">
        <f>AJ38/AJ6</f>
        <v>0.71977868616155216</v>
      </c>
      <c r="AL38" s="262">
        <f t="shared" si="48"/>
        <v>0</v>
      </c>
      <c r="AM38" s="262">
        <f>AM36-AM37</f>
        <v>4.3530534991068635</v>
      </c>
      <c r="AN38" s="263">
        <f>AM38/AM6</f>
        <v>3.0980651495474788E-2</v>
      </c>
      <c r="AO38" s="262">
        <f>AO36-AO37</f>
        <v>0.3967746147937703</v>
      </c>
      <c r="AP38" s="263">
        <f>AO38/AO6</f>
        <v>1.4374850184543523E-3</v>
      </c>
      <c r="AQ38" s="262">
        <f t="shared" si="48"/>
        <v>0</v>
      </c>
      <c r="AR38" s="262">
        <f>AR36-AR37</f>
        <v>-20.577430231858443</v>
      </c>
      <c r="AS38" s="263">
        <f>AR38/AR6</f>
        <v>-3.7615951725392012E-2</v>
      </c>
      <c r="AT38" s="262">
        <f>AT36-AT37</f>
        <v>98.517172975924041</v>
      </c>
      <c r="AU38" s="263">
        <f>AT38/AT6</f>
        <v>4.6912939512344778E-2</v>
      </c>
      <c r="AV38" s="262">
        <f t="shared" si="48"/>
        <v>0</v>
      </c>
      <c r="AW38" s="262">
        <f>AW36-AW37</f>
        <v>18.73032075470087</v>
      </c>
      <c r="AX38" s="263">
        <f>AW38/AW6</f>
        <v>0.12952478946324456</v>
      </c>
      <c r="AY38" s="262">
        <f>AY36-AY37</f>
        <v>23.728060176068425</v>
      </c>
      <c r="AZ38" s="263">
        <f>AY38/AY6</f>
        <v>8.5286468700823903E-2</v>
      </c>
      <c r="BA38" s="262">
        <f t="shared" si="48"/>
        <v>0</v>
      </c>
      <c r="BB38" s="262">
        <f>BB36-BB37</f>
        <v>39.173366007328184</v>
      </c>
      <c r="BC38" s="263">
        <f>BB38/BB6</f>
        <v>7.1039341219458041E-2</v>
      </c>
      <c r="BD38" s="262">
        <f>BD36-BD37</f>
        <v>413.16173251105874</v>
      </c>
      <c r="BE38" s="263">
        <f>BD38/BD6</f>
        <v>0.1921682476795622</v>
      </c>
      <c r="BF38" s="84"/>
      <c r="BG38" s="262">
        <f>BG36-BG37</f>
        <v>-733.25751937382711</v>
      </c>
      <c r="BH38" s="263">
        <f>BG38/BG6</f>
        <v>-0.64320835032791857</v>
      </c>
      <c r="BI38" s="84"/>
      <c r="BJ38" s="84"/>
    </row>
    <row r="39" spans="1:62" hidden="1" x14ac:dyDescent="0.2">
      <c r="A39" s="84"/>
      <c r="B39" s="222"/>
      <c r="C39" s="228" t="str">
        <f>'Pricing Trends'!R45</f>
        <v>RBD PALM OLEIN (FOREIGN)</v>
      </c>
      <c r="D39" s="249">
        <f>'Pricing Trends'!S45</f>
        <v>0</v>
      </c>
      <c r="E39" s="223">
        <f>'Pricing Trends'!U45</f>
        <v>82.366515166275917</v>
      </c>
      <c r="F39" s="220" t="b">
        <v>0</v>
      </c>
      <c r="G39" s="84"/>
      <c r="H39" s="260"/>
      <c r="I39" s="260"/>
      <c r="J39" s="260"/>
      <c r="K39" s="260"/>
      <c r="L39" s="260"/>
      <c r="M39" s="260"/>
      <c r="N39" s="262"/>
      <c r="O39" s="260"/>
      <c r="P39" s="262"/>
      <c r="Q39" s="260"/>
      <c r="R39" s="260"/>
      <c r="S39" s="260"/>
      <c r="T39" s="260"/>
      <c r="U39" s="260"/>
      <c r="V39" s="261"/>
      <c r="W39" s="261"/>
      <c r="X39" s="261"/>
      <c r="Y39" s="261"/>
      <c r="Z39" s="261"/>
      <c r="AA39" s="261"/>
      <c r="AB39" s="261"/>
      <c r="AC39" s="261"/>
      <c r="AD39" s="261"/>
      <c r="AE39" s="261"/>
      <c r="AF39" s="261"/>
      <c r="AG39" s="260"/>
      <c r="AH39" s="261"/>
      <c r="AI39" s="260"/>
      <c r="AJ39" s="261"/>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84"/>
      <c r="BG39" s="84"/>
      <c r="BH39" s="84"/>
      <c r="BI39" s="84"/>
      <c r="BJ39" s="84"/>
    </row>
    <row r="40" spans="1:62" hidden="1" x14ac:dyDescent="0.2">
      <c r="A40" s="84"/>
      <c r="B40" s="222"/>
      <c r="C40" s="228" t="str">
        <f>'Pricing Trends'!R46</f>
        <v>RBD PALM OLEIN (FOREIGN)</v>
      </c>
      <c r="D40" s="249">
        <f>'Pricing Trends'!S46</f>
        <v>0</v>
      </c>
      <c r="E40" s="223">
        <f>'Pricing Trends'!U46</f>
        <v>74.656859937366562</v>
      </c>
      <c r="F40" s="220" t="b">
        <v>0</v>
      </c>
      <c r="G40" s="84"/>
      <c r="H40" s="260"/>
      <c r="I40" s="260"/>
      <c r="J40" s="262"/>
      <c r="K40" s="260"/>
      <c r="L40" s="260"/>
      <c r="M40" s="260"/>
      <c r="N40" s="260"/>
      <c r="O40" s="260"/>
      <c r="P40" s="260"/>
      <c r="Q40" s="260"/>
      <c r="R40" s="260"/>
      <c r="S40" s="260"/>
      <c r="T40" s="260"/>
      <c r="U40" s="260"/>
      <c r="V40" s="261"/>
      <c r="W40" s="261"/>
      <c r="X40" s="261"/>
      <c r="Y40" s="261"/>
      <c r="Z40" s="261"/>
      <c r="AA40" s="261"/>
      <c r="AB40" s="261"/>
      <c r="AC40" s="261"/>
      <c r="AD40" s="261"/>
      <c r="AE40" s="261"/>
      <c r="AF40" s="261"/>
      <c r="AG40" s="260"/>
      <c r="AH40" s="261"/>
      <c r="AI40" s="260"/>
      <c r="AJ40" s="261"/>
      <c r="AK40" s="260"/>
      <c r="AL40" s="260"/>
      <c r="AM40" s="260"/>
      <c r="AN40" s="260"/>
      <c r="AO40" s="260"/>
      <c r="AP40" s="260"/>
      <c r="AQ40" s="260"/>
      <c r="AR40" s="260"/>
      <c r="AS40" s="260"/>
      <c r="AT40" s="260"/>
      <c r="AU40" s="260"/>
      <c r="AV40" s="260"/>
      <c r="AW40" s="260"/>
      <c r="AX40" s="260"/>
      <c r="AY40" s="260"/>
      <c r="AZ40" s="260"/>
      <c r="BA40" s="260"/>
      <c r="BB40" s="260"/>
      <c r="BC40" s="260"/>
      <c r="BD40" s="260"/>
      <c r="BE40" s="260"/>
      <c r="BF40" s="84"/>
      <c r="BG40" s="84"/>
      <c r="BH40" s="84"/>
      <c r="BI40" s="84"/>
      <c r="BJ40" s="84"/>
    </row>
    <row r="41" spans="1:62" x14ac:dyDescent="0.2">
      <c r="A41" s="84"/>
      <c r="B41" s="222"/>
      <c r="C41" s="228">
        <f>'Pricing Trends'!R47</f>
        <v>0</v>
      </c>
      <c r="D41" s="249">
        <f>'Pricing Trends'!S47</f>
        <v>0</v>
      </c>
      <c r="E41" s="223">
        <f>'Pricing Trends'!U47</f>
        <v>0</v>
      </c>
      <c r="F41" s="220" t="b">
        <v>0</v>
      </c>
      <c r="G41" s="84"/>
      <c r="H41" s="260"/>
      <c r="I41" s="260"/>
      <c r="J41" s="262">
        <f>J6*K5</f>
        <v>1551.1896529355859</v>
      </c>
      <c r="K41" s="260"/>
      <c r="L41" s="262">
        <f>L6*M5</f>
        <v>1450.9234789862724</v>
      </c>
      <c r="M41" s="260"/>
      <c r="N41" s="262">
        <f>N6*O5</f>
        <v>1402.3234789862724</v>
      </c>
      <c r="O41" s="260"/>
      <c r="P41" s="260"/>
      <c r="Q41" s="260"/>
      <c r="R41" s="262">
        <f>R6*S5</f>
        <v>1357.3234789862724</v>
      </c>
      <c r="S41" s="260"/>
      <c r="T41" s="260"/>
      <c r="U41" s="260"/>
      <c r="V41" s="260"/>
      <c r="W41" s="261"/>
      <c r="X41" s="261"/>
      <c r="Y41" s="261"/>
      <c r="Z41" s="261"/>
      <c r="AA41" s="261"/>
      <c r="AB41" s="261"/>
      <c r="AC41" s="261"/>
      <c r="AD41" s="261"/>
      <c r="AE41" s="261"/>
      <c r="AF41" s="261"/>
      <c r="AG41" s="260"/>
      <c r="AH41" s="262">
        <f>AH6*AI5</f>
        <v>1789.7646386483632</v>
      </c>
      <c r="AI41" s="260"/>
      <c r="AJ41" s="261"/>
      <c r="AK41" s="260"/>
      <c r="AL41" s="260"/>
      <c r="AM41" s="262">
        <f>AM6*AN5</f>
        <v>1686.1053421330519</v>
      </c>
      <c r="AN41" s="260"/>
      <c r="AO41" s="262">
        <f>AO6*AP5</f>
        <v>1656.12</v>
      </c>
      <c r="AP41" s="260"/>
      <c r="AQ41" s="260"/>
      <c r="AR41" s="262">
        <f>AR6*AS5</f>
        <v>2188.16</v>
      </c>
      <c r="AS41" s="260"/>
      <c r="AT41" s="260"/>
      <c r="AU41" s="260"/>
      <c r="AV41" s="260"/>
      <c r="AW41" s="262">
        <f>AW6*AX5</f>
        <v>1735.296</v>
      </c>
      <c r="AX41" s="260"/>
      <c r="AY41" s="262">
        <f>AY6*AZ5</f>
        <v>1669.296</v>
      </c>
      <c r="AZ41" s="260"/>
      <c r="BA41" s="260"/>
      <c r="BB41" s="262">
        <f>BB6*BC5</f>
        <v>2205.7280000000001</v>
      </c>
      <c r="BC41" s="260"/>
      <c r="BD41" s="260"/>
      <c r="BE41" s="260"/>
      <c r="BF41" s="84"/>
      <c r="BG41" s="84"/>
      <c r="BH41" s="84"/>
      <c r="BI41" s="84"/>
      <c r="BJ41" s="84"/>
    </row>
    <row r="42" spans="1:62" x14ac:dyDescent="0.2">
      <c r="A42" s="84"/>
      <c r="B42" s="222"/>
      <c r="C42" s="228">
        <f>'Pricing Trends'!R48</f>
        <v>0</v>
      </c>
      <c r="D42" s="249">
        <f>'Pricing Trends'!S48</f>
        <v>0</v>
      </c>
      <c r="E42" s="223">
        <f>'Pricing Trends'!U48</f>
        <v>0</v>
      </c>
      <c r="F42" s="220" t="b">
        <v>0</v>
      </c>
      <c r="G42" s="84"/>
      <c r="H42" s="260"/>
      <c r="I42" s="260"/>
      <c r="J42" s="262">
        <f>J41/K5</f>
        <v>43.088601470432941</v>
      </c>
      <c r="K42" s="260"/>
      <c r="L42" s="262">
        <f>L41/M5</f>
        <v>60.455144957761348</v>
      </c>
      <c r="M42" s="260"/>
      <c r="N42" s="262">
        <f>N41/O5</f>
        <v>116.8602899155227</v>
      </c>
      <c r="O42" s="260"/>
      <c r="P42" s="260"/>
      <c r="Q42" s="260"/>
      <c r="R42" s="262">
        <f>R41/S5</f>
        <v>226.2205798310454</v>
      </c>
      <c r="S42" s="260"/>
      <c r="T42" s="260"/>
      <c r="U42" s="260"/>
      <c r="V42" s="260"/>
      <c r="W42" s="262"/>
      <c r="X42" s="260"/>
      <c r="Y42" s="262"/>
      <c r="Z42" s="260"/>
      <c r="AA42" s="262"/>
      <c r="AB42" s="260"/>
      <c r="AC42" s="261"/>
      <c r="AD42" s="261"/>
      <c r="AE42" s="262"/>
      <c r="AF42" s="260"/>
      <c r="AG42" s="260"/>
      <c r="AH42" s="262">
        <f>AH41/AI5</f>
        <v>447.4411596620908</v>
      </c>
      <c r="AI42" s="260"/>
      <c r="AJ42" s="261"/>
      <c r="AK42" s="260"/>
      <c r="AL42" s="260"/>
      <c r="AM42" s="262">
        <f>AM41/AN5</f>
        <v>140.50877851108766</v>
      </c>
      <c r="AN42" s="260"/>
      <c r="AO42" s="262">
        <f>AO41/AP5</f>
        <v>276.02</v>
      </c>
      <c r="AP42" s="260"/>
      <c r="AQ42" s="260"/>
      <c r="AR42" s="262">
        <f>AR41/AS5</f>
        <v>547.04</v>
      </c>
      <c r="AS42" s="260"/>
      <c r="AT42" s="260"/>
      <c r="AU42" s="260"/>
      <c r="AV42" s="260"/>
      <c r="AW42" s="262">
        <f>AW41/AX5</f>
        <v>144.608</v>
      </c>
      <c r="AX42" s="260"/>
      <c r="AY42" s="262">
        <f>AY41/AZ5</f>
        <v>278.21600000000001</v>
      </c>
      <c r="AZ42" s="260"/>
      <c r="BA42" s="260"/>
      <c r="BB42" s="262">
        <f>BB41/BC5</f>
        <v>551.43200000000002</v>
      </c>
      <c r="BC42" s="260"/>
      <c r="BD42" s="260"/>
      <c r="BE42" s="260"/>
      <c r="BF42" s="84"/>
      <c r="BG42" s="84"/>
      <c r="BH42" s="84"/>
      <c r="BI42" s="84"/>
      <c r="BJ42" s="84"/>
    </row>
    <row r="43" spans="1:62" x14ac:dyDescent="0.2">
      <c r="A43" s="84"/>
      <c r="B43" s="222"/>
      <c r="C43" s="228">
        <f>'Pricing Trends'!R49</f>
        <v>0</v>
      </c>
      <c r="D43" s="249">
        <f>'Pricing Trends'!S49</f>
        <v>0</v>
      </c>
      <c r="E43" s="223">
        <f>'Pricing Trends'!U49</f>
        <v>0</v>
      </c>
      <c r="F43" s="220" t="b">
        <v>0</v>
      </c>
      <c r="G43" s="84"/>
      <c r="H43" s="260"/>
      <c r="I43" s="260"/>
      <c r="J43" s="262">
        <f>J41*0.92*0.98</f>
        <v>1398.5525910867243</v>
      </c>
      <c r="K43" s="260"/>
      <c r="L43" s="262">
        <f>L41*0.92*0.98</f>
        <v>1308.1526086540232</v>
      </c>
      <c r="M43" s="260"/>
      <c r="N43" s="262">
        <f>N41*0.92*0.98</f>
        <v>1264.3348486540233</v>
      </c>
      <c r="O43" s="260"/>
      <c r="P43" s="260"/>
      <c r="Q43" s="260"/>
      <c r="R43" s="262">
        <f>R41*0.92*0.98</f>
        <v>1223.7628486540234</v>
      </c>
      <c r="S43" s="260"/>
      <c r="T43" s="260"/>
      <c r="U43" s="260"/>
      <c r="V43" s="260"/>
      <c r="W43" s="261"/>
      <c r="X43" s="261"/>
      <c r="Y43" s="261" t="s">
        <v>421</v>
      </c>
      <c r="Z43" s="261"/>
      <c r="AA43" s="261"/>
      <c r="AB43" s="261"/>
      <c r="AC43" s="261"/>
      <c r="AD43" s="261"/>
      <c r="AE43" s="261"/>
      <c r="AF43" s="261"/>
      <c r="AG43" s="260"/>
      <c r="AH43" s="262">
        <f>AH41*0.92*0.98</f>
        <v>1613.6517982053645</v>
      </c>
      <c r="AI43" s="260"/>
      <c r="AJ43" s="261"/>
      <c r="AK43" s="260"/>
      <c r="AL43" s="260"/>
      <c r="AM43" s="262">
        <f>AM41*0.92*0.98</f>
        <v>1520.1925764671596</v>
      </c>
      <c r="AN43" s="260"/>
      <c r="AO43" s="262">
        <f>AO41*0.92*0.98</f>
        <v>1493.157792</v>
      </c>
      <c r="AP43" s="260"/>
      <c r="AQ43" s="260"/>
      <c r="AR43" s="262">
        <f>AR41*0.92*0.98</f>
        <v>1972.8450559999999</v>
      </c>
      <c r="AS43" s="260"/>
      <c r="AT43" s="260"/>
      <c r="AU43" s="260"/>
      <c r="AV43" s="260"/>
      <c r="AW43" s="262">
        <f>AW41*0.92*0.98</f>
        <v>1564.5428736000001</v>
      </c>
      <c r="AX43" s="260"/>
      <c r="AY43" s="262">
        <f>AY41*0.92*0.98</f>
        <v>1505.0372735999999</v>
      </c>
      <c r="AZ43" s="260"/>
      <c r="BA43" s="260"/>
      <c r="BB43" s="262">
        <f>BB41*0.92*0.98</f>
        <v>1988.6843648000001</v>
      </c>
      <c r="BC43" s="260"/>
      <c r="BD43" s="260"/>
      <c r="BE43" s="260"/>
      <c r="BF43" s="84"/>
      <c r="BG43" s="84"/>
      <c r="BH43" s="84"/>
      <c r="BI43" s="84"/>
      <c r="BJ43" s="84"/>
    </row>
    <row r="44" spans="1:62" x14ac:dyDescent="0.2">
      <c r="A44" s="84"/>
      <c r="B44" s="222"/>
      <c r="C44" s="228">
        <f>'Pricing Trends'!R50</f>
        <v>0</v>
      </c>
      <c r="D44" s="249">
        <f>'Pricing Trends'!S50</f>
        <v>0</v>
      </c>
      <c r="E44" s="223">
        <f>'Pricing Trends'!U50</f>
        <v>0</v>
      </c>
      <c r="F44" s="220" t="b">
        <v>0</v>
      </c>
      <c r="G44" s="84"/>
      <c r="H44" s="260"/>
      <c r="I44" s="260"/>
      <c r="J44" s="262">
        <f>J43/K5</f>
        <v>38.848683085742344</v>
      </c>
      <c r="K44" s="260"/>
      <c r="L44" s="262">
        <f>L43/M5</f>
        <v>54.506358693917633</v>
      </c>
      <c r="M44" s="260"/>
      <c r="N44" s="262">
        <f>N43/O5</f>
        <v>105.36123738783527</v>
      </c>
      <c r="O44" s="260"/>
      <c r="P44" s="260"/>
      <c r="Q44" s="260"/>
      <c r="R44" s="262">
        <f>R43/S5</f>
        <v>203.96047477567058</v>
      </c>
      <c r="S44" s="260"/>
      <c r="T44" s="260"/>
      <c r="U44" s="260" t="s">
        <v>399</v>
      </c>
      <c r="V44" s="260"/>
      <c r="W44" s="261"/>
      <c r="X44" s="261"/>
      <c r="Y44" s="261"/>
      <c r="Z44" s="261"/>
      <c r="AA44" s="261"/>
      <c r="AB44" s="261"/>
      <c r="AC44" s="261"/>
      <c r="AD44" s="261"/>
      <c r="AE44" s="261"/>
      <c r="AF44" s="261"/>
      <c r="AG44" s="260"/>
      <c r="AH44" s="262">
        <f>AH43/AI5</f>
        <v>403.41294955134111</v>
      </c>
      <c r="AI44" s="260"/>
      <c r="AJ44" s="261"/>
      <c r="AK44" s="260"/>
      <c r="AL44" s="260"/>
      <c r="AM44" s="262">
        <f>AM43/AN5</f>
        <v>126.68271470559664</v>
      </c>
      <c r="AN44" s="260"/>
      <c r="AO44" s="262">
        <f>AO43/AP5</f>
        <v>248.859632</v>
      </c>
      <c r="AP44" s="260"/>
      <c r="AQ44" s="260"/>
      <c r="AR44" s="262">
        <f>AR43/AS5</f>
        <v>493.21126399999997</v>
      </c>
      <c r="AS44" s="260"/>
      <c r="AT44" s="260"/>
      <c r="AU44" s="260"/>
      <c r="AV44" s="260"/>
      <c r="AW44" s="262">
        <f>AW43/AX5</f>
        <v>130.3785728</v>
      </c>
      <c r="AX44" s="260"/>
      <c r="AY44" s="262">
        <f>AY43/AZ5</f>
        <v>250.83954559999998</v>
      </c>
      <c r="AZ44" s="260"/>
      <c r="BA44" s="260"/>
      <c r="BB44" s="262">
        <f>BB43/BC5</f>
        <v>497.17109120000003</v>
      </c>
      <c r="BC44" s="260"/>
      <c r="BD44" s="260"/>
      <c r="BE44" s="260"/>
      <c r="BF44" s="84"/>
      <c r="BG44" s="84"/>
      <c r="BH44" s="84"/>
      <c r="BI44" s="84"/>
      <c r="BJ44" s="84"/>
    </row>
    <row r="45" spans="1:62" x14ac:dyDescent="0.2">
      <c r="A45" s="84"/>
      <c r="B45" s="222"/>
      <c r="C45" s="228">
        <f>'Pricing Trends'!R51</f>
        <v>0</v>
      </c>
      <c r="D45" s="249">
        <f>'Pricing Trends'!S51</f>
        <v>0</v>
      </c>
      <c r="E45" s="223">
        <f>'Pricing Trends'!U51</f>
        <v>0</v>
      </c>
      <c r="F45" s="220" t="b">
        <v>0</v>
      </c>
      <c r="G45" s="84"/>
      <c r="H45" s="260"/>
      <c r="I45" s="260"/>
      <c r="J45" s="262">
        <f>J41*1.03</f>
        <v>1597.7253425236536</v>
      </c>
      <c r="K45" s="260"/>
      <c r="L45" s="262">
        <f>L41*1.03</f>
        <v>1494.4511833558606</v>
      </c>
      <c r="M45" s="260"/>
      <c r="N45" s="262">
        <f>N41*1.03</f>
        <v>1444.3931833558606</v>
      </c>
      <c r="O45" s="260"/>
      <c r="P45" s="260"/>
      <c r="Q45" s="260"/>
      <c r="R45" s="262">
        <f>R41*1.03</f>
        <v>1398.0431833558607</v>
      </c>
      <c r="S45" s="260"/>
      <c r="T45" s="260"/>
      <c r="U45" s="260"/>
      <c r="V45" s="260"/>
      <c r="W45" s="261"/>
      <c r="X45" s="261"/>
      <c r="Y45" s="261"/>
      <c r="Z45" s="261"/>
      <c r="AA45" s="261"/>
      <c r="AB45" s="261"/>
      <c r="AC45" s="261"/>
      <c r="AD45" s="261"/>
      <c r="AE45" s="261"/>
      <c r="AF45" s="261"/>
      <c r="AG45" s="260"/>
      <c r="AH45" s="262">
        <f>AH41*1.03</f>
        <v>1843.4575778078142</v>
      </c>
      <c r="AI45" s="260"/>
      <c r="AJ45" s="261"/>
      <c r="AK45" s="260"/>
      <c r="AL45" s="260"/>
      <c r="AM45" s="262">
        <f>AM41*1.03</f>
        <v>1736.6885023970435</v>
      </c>
      <c r="AN45" s="260"/>
      <c r="AO45" s="262">
        <f>AO41*1.03</f>
        <v>1705.8036</v>
      </c>
      <c r="AP45" s="260"/>
      <c r="AQ45" s="260"/>
      <c r="AR45" s="262">
        <f>AR41*1.03</f>
        <v>2253.8047999999999</v>
      </c>
      <c r="AS45" s="260"/>
      <c r="AT45" s="260"/>
      <c r="AU45" s="260"/>
      <c r="AV45" s="260"/>
      <c r="AW45" s="262">
        <f>AW41*1.03</f>
        <v>1787.3548800000001</v>
      </c>
      <c r="AX45" s="260"/>
      <c r="AY45" s="262">
        <f>AY41*1.03</f>
        <v>1719.3748800000001</v>
      </c>
      <c r="AZ45" s="260"/>
      <c r="BA45" s="260"/>
      <c r="BB45" s="262">
        <f>BB41*1.03</f>
        <v>2271.89984</v>
      </c>
      <c r="BC45" s="260"/>
      <c r="BD45" s="260"/>
      <c r="BE45" s="260"/>
      <c r="BF45" s="84"/>
      <c r="BG45" s="84"/>
      <c r="BH45" s="84"/>
      <c r="BI45" s="84"/>
      <c r="BJ45" s="84"/>
    </row>
    <row r="46" spans="1:62" x14ac:dyDescent="0.2">
      <c r="A46" s="84"/>
      <c r="B46" s="222"/>
      <c r="C46" s="228">
        <f>'Pricing Trends'!R52</f>
        <v>0</v>
      </c>
      <c r="D46" s="249">
        <f>'Pricing Trends'!S52</f>
        <v>0</v>
      </c>
      <c r="E46" s="223">
        <f>'Pricing Trends'!U52</f>
        <v>0</v>
      </c>
      <c r="F46" s="220" t="b">
        <v>0</v>
      </c>
      <c r="G46" s="84"/>
      <c r="H46" s="260"/>
      <c r="I46" s="260"/>
      <c r="J46" s="262">
        <f>J45/K5</f>
        <v>44.381259514545931</v>
      </c>
      <c r="K46" s="260"/>
      <c r="L46" s="262">
        <f>L45/M5</f>
        <v>62.268799306494195</v>
      </c>
      <c r="M46" s="260"/>
      <c r="N46" s="262">
        <f>N45/O5</f>
        <v>120.36609861298838</v>
      </c>
      <c r="O46" s="260"/>
      <c r="P46" s="260"/>
      <c r="Q46" s="260"/>
      <c r="R46" s="262">
        <f>R45/S5</f>
        <v>233.0071972259768</v>
      </c>
      <c r="S46" s="260"/>
      <c r="T46" s="260"/>
      <c r="U46" s="260"/>
      <c r="V46" s="260"/>
      <c r="W46" s="261"/>
      <c r="X46" s="261"/>
      <c r="Y46" s="261"/>
      <c r="Z46" s="261"/>
      <c r="AA46" s="261"/>
      <c r="AB46" s="261"/>
      <c r="AC46" s="261"/>
      <c r="AD46" s="261"/>
      <c r="AE46" s="261"/>
      <c r="AF46" s="261"/>
      <c r="AG46" s="260"/>
      <c r="AH46" s="262">
        <f>AH45/AI5</f>
        <v>460.86439445195356</v>
      </c>
      <c r="AI46" s="260"/>
      <c r="AJ46" s="261"/>
      <c r="AK46" s="260"/>
      <c r="AL46" s="260"/>
      <c r="AM46" s="262">
        <f>AM45/AN5</f>
        <v>144.72404186642029</v>
      </c>
      <c r="AN46" s="260"/>
      <c r="AO46" s="262">
        <f>AO45/AP5</f>
        <v>284.30059999999997</v>
      </c>
      <c r="AP46" s="260"/>
      <c r="AQ46" s="260"/>
      <c r="AR46" s="262">
        <f>AR45/AS5</f>
        <v>563.45119999999997</v>
      </c>
      <c r="AS46" s="260"/>
      <c r="AT46" s="260"/>
      <c r="AU46" s="260"/>
      <c r="AV46" s="260"/>
      <c r="AW46" s="262">
        <f>AW45/AX5</f>
        <v>148.94624000000002</v>
      </c>
      <c r="AX46" s="260"/>
      <c r="AY46" s="262">
        <f>AY45/AZ5</f>
        <v>286.56247999999999</v>
      </c>
      <c r="AZ46" s="260"/>
      <c r="BA46" s="260"/>
      <c r="BB46" s="262">
        <f>BB45/BC5</f>
        <v>567.97496000000001</v>
      </c>
      <c r="BC46" s="260"/>
      <c r="BD46" s="260"/>
      <c r="BE46" s="260"/>
      <c r="BF46" s="84"/>
      <c r="BG46" s="84"/>
      <c r="BH46" s="84"/>
      <c r="BI46" s="84"/>
      <c r="BJ46" s="84"/>
    </row>
    <row r="47" spans="1:62" x14ac:dyDescent="0.2">
      <c r="A47" s="84"/>
      <c r="B47" s="222"/>
      <c r="C47" s="228">
        <f>'Pricing Trends'!R53</f>
        <v>0</v>
      </c>
      <c r="D47" s="249">
        <f>'Pricing Trends'!S53</f>
        <v>0</v>
      </c>
      <c r="E47" s="223">
        <f>'Pricing Trends'!U53</f>
        <v>0</v>
      </c>
      <c r="F47" s="220" t="b">
        <v>0</v>
      </c>
      <c r="G47" s="84"/>
      <c r="H47" s="260"/>
      <c r="I47" s="260"/>
      <c r="J47" s="260"/>
      <c r="K47" s="260"/>
      <c r="L47" s="260"/>
      <c r="M47" s="260"/>
      <c r="N47" s="260"/>
      <c r="O47" s="260"/>
      <c r="P47" s="260"/>
      <c r="Q47" s="260"/>
      <c r="R47" s="260"/>
      <c r="S47" s="260"/>
      <c r="T47" s="260"/>
      <c r="U47" s="260"/>
      <c r="V47" s="260"/>
      <c r="W47" s="261"/>
      <c r="X47" s="261"/>
      <c r="Y47" s="261"/>
      <c r="Z47" s="261"/>
      <c r="AA47" s="261"/>
      <c r="AB47" s="261"/>
      <c r="AC47" s="261"/>
      <c r="AD47" s="261"/>
      <c r="AE47" s="261"/>
      <c r="AF47" s="261"/>
      <c r="AG47" s="260"/>
      <c r="AH47" s="261"/>
      <c r="AI47" s="260"/>
      <c r="AJ47" s="261"/>
      <c r="AK47" s="260"/>
      <c r="AL47" s="260"/>
      <c r="AM47" s="260"/>
      <c r="AN47" s="260"/>
      <c r="AO47" s="260"/>
      <c r="AP47" s="260"/>
      <c r="AQ47" s="260"/>
      <c r="AR47" s="260"/>
      <c r="AS47" s="260"/>
      <c r="AT47" s="260"/>
      <c r="AU47" s="260"/>
      <c r="AV47" s="260"/>
      <c r="AW47" s="260"/>
      <c r="AX47" s="260"/>
      <c r="AY47" s="260"/>
      <c r="AZ47" s="260"/>
      <c r="BA47" s="260"/>
      <c r="BB47" s="260"/>
      <c r="BC47" s="260"/>
      <c r="BD47" s="260"/>
      <c r="BE47" s="260"/>
      <c r="BF47" s="84"/>
      <c r="BG47" s="84"/>
      <c r="BH47" s="84"/>
      <c r="BI47" s="84"/>
      <c r="BJ47" s="84"/>
    </row>
    <row r="48" spans="1:62" x14ac:dyDescent="0.2">
      <c r="A48" s="84"/>
      <c r="B48" s="222"/>
      <c r="C48" s="228">
        <f>'Pricing Trends'!R54</f>
        <v>0</v>
      </c>
      <c r="D48" s="249">
        <f>'Pricing Trends'!S54</f>
        <v>0</v>
      </c>
      <c r="E48" s="223">
        <f>'Pricing Trends'!U54</f>
        <v>0</v>
      </c>
      <c r="F48" s="220" t="b">
        <v>0</v>
      </c>
      <c r="G48" s="84"/>
      <c r="H48" s="260"/>
      <c r="I48" s="260"/>
      <c r="J48" s="260"/>
      <c r="K48" s="260"/>
      <c r="L48" s="260"/>
      <c r="M48" s="260"/>
      <c r="N48" s="260"/>
      <c r="O48" s="260"/>
      <c r="P48" s="260"/>
      <c r="Q48" s="260"/>
      <c r="R48" s="260"/>
      <c r="S48" s="260"/>
      <c r="T48" s="260"/>
      <c r="U48" s="260"/>
      <c r="V48" s="260"/>
      <c r="W48" s="261"/>
      <c r="X48" s="261"/>
      <c r="Y48" s="261"/>
      <c r="Z48" s="261"/>
      <c r="AA48" s="261"/>
      <c r="AB48" s="261"/>
      <c r="AC48" s="261"/>
      <c r="AD48" s="261"/>
      <c r="AE48" s="261"/>
      <c r="AF48" s="261"/>
      <c r="AG48" s="260"/>
      <c r="AH48" s="261"/>
      <c r="AI48" s="260"/>
      <c r="AJ48" s="261"/>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84"/>
      <c r="BG48" s="84"/>
      <c r="BH48" s="84"/>
      <c r="BI48" s="84"/>
      <c r="BJ48" s="84"/>
    </row>
    <row r="49" spans="1:62" x14ac:dyDescent="0.2">
      <c r="A49" s="84"/>
      <c r="B49" s="222"/>
      <c r="C49" s="228">
        <f>'Pricing Trends'!R55</f>
        <v>0</v>
      </c>
      <c r="D49" s="249">
        <f>'Pricing Trends'!S55</f>
        <v>0</v>
      </c>
      <c r="E49" s="223">
        <f>'Pricing Trends'!U55</f>
        <v>0</v>
      </c>
      <c r="F49" s="220" t="b">
        <v>0</v>
      </c>
      <c r="G49" s="84"/>
      <c r="H49" s="260"/>
      <c r="I49" s="260"/>
      <c r="J49" s="260"/>
      <c r="K49" s="260"/>
      <c r="L49" s="260"/>
      <c r="M49" s="260"/>
      <c r="N49" s="260"/>
      <c r="O49" s="260"/>
      <c r="P49" s="260"/>
      <c r="Q49" s="260"/>
      <c r="R49" s="260"/>
      <c r="S49" s="260"/>
      <c r="T49" s="260"/>
      <c r="U49" s="260"/>
      <c r="V49" s="260"/>
      <c r="W49" s="261"/>
      <c r="X49" s="261"/>
      <c r="Y49" s="261"/>
      <c r="Z49" s="261"/>
      <c r="AA49" s="261"/>
      <c r="AB49" s="261"/>
      <c r="AC49" s="261"/>
      <c r="AD49" s="261"/>
      <c r="AE49" s="261"/>
      <c r="AF49" s="261"/>
      <c r="AG49" s="260"/>
      <c r="AH49" s="261"/>
      <c r="AI49" s="260"/>
      <c r="AJ49" s="261"/>
      <c r="AK49" s="260"/>
      <c r="AL49" s="260"/>
      <c r="AM49" s="260"/>
      <c r="AN49" s="260"/>
      <c r="AO49" s="260"/>
      <c r="AP49" s="260"/>
      <c r="AQ49" s="260"/>
      <c r="AR49" s="260"/>
      <c r="AS49" s="260"/>
      <c r="AT49" s="260"/>
      <c r="AU49" s="260"/>
      <c r="AV49" s="260"/>
      <c r="AW49" s="260"/>
      <c r="AX49" s="260"/>
      <c r="AY49" s="260"/>
      <c r="AZ49" s="260"/>
      <c r="BA49" s="260"/>
      <c r="BB49" s="260"/>
      <c r="BC49" s="260"/>
      <c r="BD49" s="260"/>
      <c r="BE49" s="260"/>
      <c r="BF49" s="84"/>
      <c r="BG49" s="84"/>
      <c r="BH49" s="84"/>
      <c r="BI49" s="84"/>
      <c r="BJ49" s="84"/>
    </row>
    <row r="50" spans="1:62" x14ac:dyDescent="0.2">
      <c r="A50" s="84"/>
      <c r="B50" s="84"/>
      <c r="C50" s="226"/>
      <c r="D50" s="226"/>
      <c r="E50" s="84"/>
      <c r="F50" s="84"/>
      <c r="G50" s="84"/>
      <c r="H50" s="260"/>
      <c r="I50" s="260"/>
      <c r="J50" s="261"/>
      <c r="K50" s="261"/>
      <c r="L50" s="261"/>
      <c r="M50" s="261"/>
      <c r="N50" s="261"/>
      <c r="O50" s="261"/>
      <c r="P50" s="261"/>
      <c r="Q50" s="261"/>
      <c r="R50" s="261"/>
      <c r="S50" s="260"/>
      <c r="T50" s="261"/>
      <c r="U50" s="260"/>
      <c r="V50" s="260"/>
      <c r="W50" s="261"/>
      <c r="X50" s="261"/>
      <c r="Y50" s="261"/>
      <c r="Z50" s="261"/>
      <c r="AA50" s="261"/>
      <c r="AB50" s="261"/>
      <c r="AC50" s="261"/>
      <c r="AD50" s="261"/>
      <c r="AE50" s="261"/>
      <c r="AF50" s="261"/>
      <c r="AG50" s="260"/>
      <c r="AH50" s="261"/>
      <c r="AI50" s="260"/>
      <c r="AJ50" s="261"/>
      <c r="AK50" s="260"/>
      <c r="AL50" s="260"/>
      <c r="AM50" s="260"/>
      <c r="AN50" s="260"/>
      <c r="AO50" s="260"/>
      <c r="AP50" s="260"/>
      <c r="AQ50" s="260"/>
      <c r="AR50" s="260"/>
      <c r="AS50" s="260"/>
      <c r="AT50" s="260"/>
      <c r="AU50" s="260"/>
      <c r="AV50" s="260"/>
      <c r="AW50" s="260"/>
      <c r="AX50" s="260"/>
      <c r="AY50" s="260"/>
      <c r="AZ50" s="260"/>
      <c r="BA50" s="260"/>
      <c r="BB50" s="260"/>
      <c r="BC50" s="260"/>
      <c r="BD50" s="260"/>
      <c r="BE50" s="260"/>
      <c r="BF50" s="84"/>
      <c r="BG50" s="84"/>
      <c r="BH50" s="84"/>
      <c r="BI50" s="84"/>
      <c r="BJ50" s="84"/>
    </row>
    <row r="51" spans="1:62" x14ac:dyDescent="0.2">
      <c r="A51" s="84"/>
      <c r="B51" s="84"/>
      <c r="C51" s="226"/>
      <c r="D51" s="226"/>
      <c r="E51" s="85"/>
      <c r="F51" s="84"/>
      <c r="G51" s="84"/>
      <c r="H51" s="260"/>
      <c r="I51" s="260"/>
      <c r="J51" s="261"/>
      <c r="K51" s="261"/>
      <c r="L51" s="261"/>
      <c r="M51" s="261"/>
      <c r="N51" s="261"/>
      <c r="O51" s="261"/>
      <c r="P51" s="261"/>
      <c r="Q51" s="261"/>
      <c r="R51" s="261"/>
      <c r="S51" s="260"/>
      <c r="T51" s="261"/>
      <c r="U51" s="260"/>
      <c r="V51" s="260"/>
      <c r="W51" s="261"/>
      <c r="X51" s="261"/>
      <c r="Y51" s="261"/>
      <c r="Z51" s="261"/>
      <c r="AA51" s="261"/>
      <c r="AB51" s="261"/>
      <c r="AC51" s="261"/>
      <c r="AD51" s="261"/>
      <c r="AE51" s="261"/>
      <c r="AF51" s="261"/>
      <c r="AG51" s="260"/>
      <c r="AH51" s="261"/>
      <c r="AI51" s="260"/>
      <c r="AJ51" s="261"/>
      <c r="AK51" s="260"/>
      <c r="AL51" s="260"/>
      <c r="AM51" s="262"/>
      <c r="AN51" s="260"/>
      <c r="AO51" s="262"/>
      <c r="AP51" s="260"/>
      <c r="AQ51" s="260"/>
      <c r="AR51" s="262"/>
      <c r="AS51" s="262"/>
      <c r="AT51" s="262"/>
      <c r="AU51" s="262"/>
      <c r="AV51" s="260"/>
      <c r="AW51" s="262"/>
      <c r="AX51" s="260"/>
      <c r="AY51" s="262"/>
      <c r="AZ51" s="260"/>
      <c r="BA51" s="260"/>
      <c r="BB51" s="262"/>
      <c r="BC51" s="260"/>
      <c r="BD51" s="260"/>
      <c r="BE51" s="260"/>
      <c r="BF51" s="84"/>
      <c r="BG51" s="85"/>
      <c r="BH51" s="84"/>
      <c r="BI51" s="84"/>
      <c r="BJ51" s="84"/>
    </row>
    <row r="52" spans="1:62" hidden="1" x14ac:dyDescent="0.2">
      <c r="A52" s="84"/>
      <c r="B52" s="84"/>
      <c r="C52" s="226"/>
      <c r="D52" s="226"/>
      <c r="E52" s="85"/>
      <c r="F52" s="84"/>
      <c r="G52" s="84"/>
      <c r="H52" s="84"/>
      <c r="I52" s="84"/>
      <c r="J52" s="131"/>
      <c r="K52" s="131"/>
      <c r="L52" s="131"/>
      <c r="M52" s="131"/>
      <c r="N52" s="131"/>
      <c r="O52" s="131"/>
      <c r="P52" s="131"/>
      <c r="Q52" s="131"/>
      <c r="R52" s="131"/>
      <c r="S52" s="84"/>
      <c r="T52" s="131"/>
      <c r="U52" s="84"/>
      <c r="V52" s="84"/>
      <c r="W52" s="131"/>
      <c r="X52" s="131"/>
      <c r="Y52" s="131"/>
      <c r="Z52" s="131"/>
      <c r="AA52" s="131"/>
      <c r="AB52" s="131"/>
      <c r="AC52" s="131"/>
      <c r="AD52" s="131"/>
      <c r="AE52" s="131"/>
      <c r="AF52" s="131"/>
      <c r="AG52" s="84"/>
      <c r="AH52" s="131"/>
      <c r="AI52" s="84"/>
      <c r="AJ52" s="131"/>
      <c r="AK52" s="84"/>
      <c r="AL52" s="84"/>
      <c r="AM52" s="85"/>
      <c r="AN52" s="84"/>
      <c r="AO52" s="85"/>
      <c r="AP52" s="84"/>
      <c r="AQ52" s="84"/>
      <c r="AR52" s="85"/>
      <c r="AS52" s="85"/>
      <c r="AT52" s="85"/>
      <c r="AU52" s="85"/>
      <c r="AV52" s="84"/>
      <c r="AW52" s="85"/>
      <c r="AX52" s="84"/>
      <c r="AY52" s="85"/>
      <c r="AZ52" s="84"/>
      <c r="BA52" s="84"/>
      <c r="BB52" s="85"/>
      <c r="BC52" s="84"/>
      <c r="BD52" s="84"/>
      <c r="BE52" s="84"/>
      <c r="BF52" s="84"/>
      <c r="BG52" s="85"/>
      <c r="BH52" s="84"/>
      <c r="BI52" s="84"/>
      <c r="BJ52" s="84"/>
    </row>
    <row r="53" spans="1:62" hidden="1" x14ac:dyDescent="0.2">
      <c r="A53" s="84"/>
      <c r="B53" s="84"/>
      <c r="C53" s="226"/>
      <c r="D53" s="226"/>
      <c r="E53" s="84"/>
      <c r="F53" s="84"/>
      <c r="G53" s="84"/>
      <c r="H53" s="84"/>
      <c r="I53" s="84"/>
      <c r="J53" s="131"/>
      <c r="K53" s="131"/>
      <c r="L53" s="131"/>
      <c r="M53" s="131"/>
      <c r="N53" s="131"/>
      <c r="O53" s="131"/>
      <c r="P53" s="131"/>
      <c r="Q53" s="131"/>
      <c r="R53" s="131"/>
      <c r="S53" s="84"/>
      <c r="T53" s="131"/>
      <c r="U53" s="84"/>
      <c r="V53" s="84"/>
      <c r="W53" s="131"/>
      <c r="X53" s="131"/>
      <c r="Y53" s="131"/>
      <c r="Z53" s="131"/>
      <c r="AA53" s="131"/>
      <c r="AB53" s="131"/>
      <c r="AC53" s="131"/>
      <c r="AD53" s="131"/>
      <c r="AE53" s="131"/>
      <c r="AF53" s="131"/>
      <c r="AG53" s="84"/>
      <c r="AH53" s="131"/>
      <c r="AI53" s="84"/>
      <c r="AJ53" s="131"/>
      <c r="AK53" s="84"/>
      <c r="AL53" s="84"/>
      <c r="AM53" s="85"/>
      <c r="AN53" s="84"/>
      <c r="AO53" s="85"/>
      <c r="AP53" s="84"/>
      <c r="AQ53" s="84"/>
      <c r="AR53" s="85"/>
      <c r="AS53" s="85"/>
      <c r="AT53" s="85"/>
      <c r="AU53" s="85"/>
      <c r="AV53" s="84"/>
      <c r="AW53" s="85"/>
      <c r="AX53" s="84"/>
      <c r="AY53" s="85"/>
      <c r="AZ53" s="84"/>
      <c r="BA53" s="84"/>
      <c r="BB53" s="85"/>
      <c r="BC53" s="84"/>
      <c r="BD53" s="84"/>
      <c r="BE53" s="84"/>
      <c r="BF53" s="84"/>
      <c r="BG53" s="85"/>
      <c r="BH53" s="84"/>
      <c r="BI53" s="84"/>
      <c r="BJ53" s="84"/>
    </row>
    <row r="54" spans="1:62" hidden="1" x14ac:dyDescent="0.2">
      <c r="A54" s="84"/>
      <c r="B54" s="84"/>
      <c r="C54" s="226"/>
      <c r="D54" s="226"/>
      <c r="E54" s="84"/>
      <c r="F54" s="84"/>
      <c r="G54" s="84"/>
      <c r="H54" s="84"/>
      <c r="I54" s="84"/>
      <c r="J54" s="131"/>
      <c r="K54" s="131"/>
      <c r="L54" s="131"/>
      <c r="M54" s="131"/>
      <c r="N54" s="131"/>
      <c r="O54" s="131"/>
      <c r="P54" s="131"/>
      <c r="Q54" s="131"/>
      <c r="R54" s="131"/>
      <c r="S54" s="84"/>
      <c r="T54" s="131"/>
      <c r="U54" s="84"/>
      <c r="V54" s="84"/>
      <c r="W54" s="131"/>
      <c r="X54" s="131"/>
      <c r="Y54" s="131"/>
      <c r="Z54" s="131"/>
      <c r="AA54" s="131"/>
      <c r="AB54" s="131"/>
      <c r="AC54" s="131"/>
      <c r="AD54" s="131"/>
      <c r="AE54" s="131"/>
      <c r="AF54" s="131"/>
      <c r="AG54" s="84"/>
      <c r="AH54" s="131"/>
      <c r="AI54" s="84"/>
      <c r="AJ54" s="131"/>
      <c r="AK54" s="84"/>
      <c r="AL54" s="84"/>
      <c r="AM54" s="85"/>
      <c r="AN54" s="84"/>
      <c r="AO54" s="85"/>
      <c r="AP54" s="84"/>
      <c r="AQ54" s="84"/>
      <c r="AR54" s="85"/>
      <c r="AS54" s="85"/>
      <c r="AT54" s="85"/>
      <c r="AU54" s="85"/>
      <c r="AV54" s="84"/>
      <c r="AW54" s="85"/>
      <c r="AX54" s="84"/>
      <c r="AY54" s="85"/>
      <c r="AZ54" s="84"/>
      <c r="BA54" s="84"/>
      <c r="BB54" s="85"/>
      <c r="BC54" s="84"/>
      <c r="BD54" s="84"/>
      <c r="BE54" s="84"/>
      <c r="BF54" s="84"/>
      <c r="BG54" s="85"/>
      <c r="BH54" s="84"/>
      <c r="BI54" s="84"/>
      <c r="BJ54" s="84"/>
    </row>
    <row r="55" spans="1:62" hidden="1" x14ac:dyDescent="0.2">
      <c r="A55" s="84"/>
      <c r="B55" s="84"/>
      <c r="C55" s="226"/>
      <c r="D55" s="226"/>
      <c r="E55" s="84"/>
      <c r="F55" s="84"/>
      <c r="G55" s="84"/>
      <c r="H55" s="84"/>
      <c r="I55" s="84"/>
      <c r="J55" s="131"/>
      <c r="K55" s="131"/>
      <c r="L55" s="131"/>
      <c r="M55" s="131"/>
      <c r="N55" s="131"/>
      <c r="O55" s="131"/>
      <c r="P55" s="131"/>
      <c r="Q55" s="131"/>
      <c r="R55" s="131"/>
      <c r="S55" s="84"/>
      <c r="T55" s="131"/>
      <c r="U55" s="84"/>
      <c r="V55" s="84"/>
      <c r="W55" s="131"/>
      <c r="X55" s="131"/>
      <c r="Y55" s="131"/>
      <c r="Z55" s="131"/>
      <c r="AA55" s="131"/>
      <c r="AB55" s="131"/>
      <c r="AC55" s="131"/>
      <c r="AD55" s="131"/>
      <c r="AE55" s="131"/>
      <c r="AF55" s="131"/>
      <c r="AG55" s="84"/>
      <c r="AH55" s="131"/>
      <c r="AI55" s="84"/>
      <c r="AJ55" s="131"/>
      <c r="AK55" s="84"/>
      <c r="AL55" s="84"/>
      <c r="AM55" s="85"/>
      <c r="AN55" s="84"/>
      <c r="AO55" s="85"/>
      <c r="AP55" s="84"/>
      <c r="AQ55" s="84"/>
      <c r="AR55" s="85"/>
      <c r="AS55" s="85"/>
      <c r="AT55" s="85"/>
      <c r="AU55" s="85"/>
      <c r="AV55" s="84"/>
      <c r="AW55" s="85"/>
      <c r="AX55" s="84"/>
      <c r="AY55" s="85"/>
      <c r="AZ55" s="84"/>
      <c r="BA55" s="84"/>
      <c r="BB55" s="85"/>
      <c r="BC55" s="84"/>
      <c r="BD55" s="84"/>
      <c r="BE55" s="84"/>
      <c r="BF55" s="84"/>
      <c r="BG55" s="85"/>
      <c r="BH55" s="84"/>
      <c r="BI55" s="84"/>
      <c r="BJ55" s="84"/>
    </row>
    <row r="56" spans="1:62" hidden="1" x14ac:dyDescent="0.2">
      <c r="A56" s="84"/>
      <c r="B56" s="84"/>
      <c r="C56" s="226"/>
      <c r="D56" s="226"/>
      <c r="E56" s="84"/>
      <c r="F56" s="84"/>
      <c r="G56" s="84"/>
      <c r="H56" s="84"/>
      <c r="I56" s="84"/>
      <c r="J56" s="131"/>
      <c r="K56" s="131"/>
      <c r="L56" s="131"/>
      <c r="M56" s="131"/>
      <c r="N56" s="131"/>
      <c r="O56" s="131"/>
      <c r="P56" s="131"/>
      <c r="Q56" s="131"/>
      <c r="R56" s="131"/>
      <c r="S56" s="84"/>
      <c r="T56" s="131"/>
      <c r="U56" s="84"/>
      <c r="V56" s="84"/>
      <c r="W56" s="131"/>
      <c r="X56" s="131"/>
      <c r="Y56" s="131"/>
      <c r="Z56" s="131"/>
      <c r="AA56" s="131"/>
      <c r="AB56" s="131"/>
      <c r="AC56" s="131"/>
      <c r="AD56" s="131"/>
      <c r="AE56" s="131"/>
      <c r="AF56" s="131"/>
      <c r="AG56" s="84"/>
      <c r="AH56" s="131"/>
      <c r="AI56" s="84"/>
      <c r="AJ56" s="131"/>
      <c r="AK56" s="84"/>
      <c r="AL56" s="84"/>
      <c r="AM56" s="85"/>
      <c r="AN56" s="84"/>
      <c r="AO56" s="85"/>
      <c r="AP56" s="84"/>
      <c r="AQ56" s="84"/>
      <c r="AR56" s="85"/>
      <c r="AS56" s="85"/>
      <c r="AT56" s="85"/>
      <c r="AU56" s="85"/>
      <c r="AV56" s="84"/>
      <c r="AW56" s="85"/>
      <c r="AX56" s="84"/>
      <c r="AY56" s="85"/>
      <c r="AZ56" s="84"/>
      <c r="BA56" s="84"/>
      <c r="BB56" s="85"/>
      <c r="BC56" s="84"/>
      <c r="BD56" s="84"/>
      <c r="BE56" s="84"/>
      <c r="BF56" s="84"/>
      <c r="BG56" s="85"/>
      <c r="BH56" s="84"/>
      <c r="BI56" s="84"/>
      <c r="BJ56" s="84"/>
    </row>
    <row r="57" spans="1:62" hidden="1" x14ac:dyDescent="0.2">
      <c r="A57" s="84"/>
      <c r="B57" s="84"/>
      <c r="C57" s="226"/>
      <c r="D57" s="226"/>
      <c r="E57" s="84"/>
      <c r="F57" s="84"/>
      <c r="G57" s="84"/>
      <c r="H57" s="84"/>
      <c r="I57" s="84"/>
      <c r="J57" s="131"/>
      <c r="K57" s="131"/>
      <c r="L57" s="131"/>
      <c r="M57" s="131"/>
      <c r="N57" s="131"/>
      <c r="O57" s="131"/>
      <c r="P57" s="131"/>
      <c r="Q57" s="131"/>
      <c r="R57" s="131"/>
      <c r="S57" s="84"/>
      <c r="T57" s="131"/>
      <c r="U57" s="84"/>
      <c r="V57" s="84"/>
      <c r="W57" s="131"/>
      <c r="X57" s="131"/>
      <c r="Y57" s="131"/>
      <c r="Z57" s="131"/>
      <c r="AA57" s="131"/>
      <c r="AB57" s="131"/>
      <c r="AC57" s="131"/>
      <c r="AD57" s="131"/>
      <c r="AE57" s="131"/>
      <c r="AF57" s="131"/>
      <c r="AG57" s="84"/>
      <c r="AH57" s="131"/>
      <c r="AI57" s="84"/>
      <c r="AJ57" s="131"/>
      <c r="AK57" s="84"/>
      <c r="AL57" s="84"/>
      <c r="AM57" s="85"/>
      <c r="AN57" s="84"/>
      <c r="AO57" s="85"/>
      <c r="AP57" s="84"/>
      <c r="AQ57" s="84"/>
      <c r="AR57" s="85"/>
      <c r="AS57" s="85"/>
      <c r="AT57" s="85"/>
      <c r="AU57" s="85"/>
      <c r="AV57" s="84"/>
      <c r="AW57" s="85"/>
      <c r="AX57" s="84"/>
      <c r="AY57" s="85"/>
      <c r="AZ57" s="84"/>
      <c r="BA57" s="84"/>
      <c r="BB57" s="85"/>
      <c r="BC57" s="84"/>
      <c r="BD57" s="84"/>
      <c r="BE57" s="84"/>
      <c r="BF57" s="84"/>
      <c r="BG57" s="85"/>
      <c r="BH57" s="84"/>
      <c r="BI57" s="84"/>
      <c r="BJ57" s="84"/>
    </row>
    <row r="58" spans="1:62" hidden="1" x14ac:dyDescent="0.2">
      <c r="A58" s="84"/>
      <c r="B58" s="84"/>
      <c r="C58" s="226"/>
      <c r="D58" s="226"/>
      <c r="E58" s="84"/>
      <c r="F58" s="84"/>
      <c r="G58" s="84"/>
      <c r="H58" s="84"/>
      <c r="I58" s="84"/>
      <c r="J58" s="131"/>
      <c r="K58" s="131"/>
      <c r="L58" s="131"/>
      <c r="M58" s="131"/>
      <c r="N58" s="131"/>
      <c r="O58" s="131"/>
      <c r="P58" s="131"/>
      <c r="Q58" s="131"/>
      <c r="R58" s="131"/>
      <c r="S58" s="84"/>
      <c r="T58" s="131"/>
      <c r="U58" s="84"/>
      <c r="V58" s="84"/>
      <c r="W58" s="131"/>
      <c r="X58" s="131"/>
      <c r="Y58" s="131"/>
      <c r="Z58" s="131"/>
      <c r="AA58" s="131"/>
      <c r="AB58" s="131"/>
      <c r="AC58" s="131"/>
      <c r="AD58" s="131"/>
      <c r="AE58" s="131"/>
      <c r="AF58" s="131"/>
      <c r="AG58" s="84"/>
      <c r="AH58" s="131"/>
      <c r="AI58" s="84"/>
      <c r="AJ58" s="131"/>
      <c r="AK58" s="84"/>
      <c r="AL58" s="84"/>
      <c r="AM58" s="85"/>
      <c r="AN58" s="84"/>
      <c r="AO58" s="85"/>
      <c r="AP58" s="84"/>
      <c r="AQ58" s="84"/>
      <c r="AR58" s="85"/>
      <c r="AS58" s="85"/>
      <c r="AT58" s="85"/>
      <c r="AU58" s="85"/>
      <c r="AV58" s="84"/>
      <c r="AW58" s="85"/>
      <c r="AX58" s="84"/>
      <c r="AY58" s="85"/>
      <c r="AZ58" s="84"/>
      <c r="BA58" s="84"/>
      <c r="BB58" s="85"/>
      <c r="BC58" s="84"/>
      <c r="BD58" s="84"/>
      <c r="BE58" s="84"/>
      <c r="BF58" s="84"/>
      <c r="BG58" s="85"/>
      <c r="BH58" s="84"/>
      <c r="BI58" s="84"/>
      <c r="BJ58" s="84"/>
    </row>
    <row r="59" spans="1:62" hidden="1" x14ac:dyDescent="0.2">
      <c r="A59" s="84"/>
      <c r="B59" s="84"/>
      <c r="C59" s="226"/>
      <c r="D59" s="226"/>
      <c r="E59" s="84"/>
      <c r="F59" s="84"/>
      <c r="G59" s="84"/>
      <c r="H59" s="84"/>
      <c r="I59" s="84"/>
      <c r="J59" s="131"/>
      <c r="K59" s="131"/>
      <c r="L59" s="131"/>
      <c r="M59" s="131"/>
      <c r="N59" s="131"/>
      <c r="O59" s="131"/>
      <c r="P59" s="131"/>
      <c r="Q59" s="131"/>
      <c r="R59" s="131"/>
      <c r="S59" s="84"/>
      <c r="T59" s="131"/>
      <c r="U59" s="84"/>
      <c r="V59" s="84"/>
      <c r="W59" s="131"/>
      <c r="X59" s="131"/>
      <c r="Y59" s="131"/>
      <c r="Z59" s="131"/>
      <c r="AA59" s="131"/>
      <c r="AB59" s="131"/>
      <c r="AC59" s="131"/>
      <c r="AD59" s="131"/>
      <c r="AE59" s="131"/>
      <c r="AF59" s="131"/>
      <c r="AG59" s="84"/>
      <c r="AH59" s="131"/>
      <c r="AI59" s="84"/>
      <c r="AJ59" s="131"/>
      <c r="AK59" s="84"/>
      <c r="AL59" s="84"/>
      <c r="AM59" s="85"/>
      <c r="AN59" s="84"/>
      <c r="AO59" s="85"/>
      <c r="AP59" s="84"/>
      <c r="AQ59" s="84"/>
      <c r="AR59" s="85"/>
      <c r="AS59" s="85"/>
      <c r="AT59" s="85"/>
      <c r="AU59" s="85"/>
      <c r="AV59" s="84"/>
      <c r="AW59" s="85"/>
      <c r="AX59" s="84"/>
      <c r="AY59" s="85"/>
      <c r="AZ59" s="84"/>
      <c r="BA59" s="84"/>
      <c r="BB59" s="85"/>
      <c r="BC59" s="84"/>
      <c r="BD59" s="84"/>
      <c r="BE59" s="84"/>
      <c r="BF59" s="84"/>
      <c r="BG59" s="85"/>
      <c r="BH59" s="84"/>
      <c r="BI59" s="84"/>
      <c r="BJ59" s="84"/>
    </row>
    <row r="60" spans="1:62" hidden="1" x14ac:dyDescent="0.2">
      <c r="A60" s="84"/>
      <c r="B60" s="84"/>
      <c r="C60" s="226"/>
      <c r="D60" s="226"/>
      <c r="E60" s="84"/>
      <c r="F60" s="84"/>
      <c r="G60" s="84"/>
      <c r="H60" s="84"/>
      <c r="I60" s="84"/>
      <c r="J60" s="131"/>
      <c r="K60" s="131"/>
      <c r="L60" s="131"/>
      <c r="M60" s="131"/>
      <c r="N60" s="131"/>
      <c r="O60" s="131"/>
      <c r="P60" s="131"/>
      <c r="Q60" s="131"/>
      <c r="R60" s="131"/>
      <c r="S60" s="84"/>
      <c r="T60" s="131"/>
      <c r="U60" s="84"/>
      <c r="V60" s="84"/>
      <c r="W60" s="131"/>
      <c r="X60" s="131"/>
      <c r="Y60" s="131"/>
      <c r="Z60" s="131"/>
      <c r="AA60" s="131"/>
      <c r="AB60" s="131"/>
      <c r="AC60" s="131"/>
      <c r="AD60" s="131"/>
      <c r="AE60" s="131"/>
      <c r="AF60" s="131"/>
      <c r="AG60" s="84"/>
      <c r="AH60" s="131"/>
      <c r="AI60" s="84"/>
      <c r="AJ60" s="131"/>
      <c r="AK60" s="84"/>
      <c r="AL60" s="84"/>
      <c r="AM60" s="85"/>
      <c r="AN60" s="84"/>
      <c r="AO60" s="85"/>
      <c r="AP60" s="84"/>
      <c r="AQ60" s="84"/>
      <c r="AR60" s="85"/>
      <c r="AS60" s="85"/>
      <c r="AT60" s="85"/>
      <c r="AU60" s="85"/>
      <c r="AV60" s="84"/>
      <c r="AW60" s="85"/>
      <c r="AX60" s="84"/>
      <c r="AY60" s="85"/>
      <c r="AZ60" s="84"/>
      <c r="BA60" s="84"/>
      <c r="BB60" s="85"/>
      <c r="BC60" s="84"/>
      <c r="BD60" s="84"/>
      <c r="BE60" s="84"/>
      <c r="BF60" s="84"/>
      <c r="BG60" s="85"/>
      <c r="BH60" s="84"/>
      <c r="BI60" s="84"/>
      <c r="BJ60" s="84"/>
    </row>
  </sheetData>
  <mergeCells count="18">
    <mergeCell ref="AM2:AP2"/>
    <mergeCell ref="B2:E5"/>
    <mergeCell ref="H2:H4"/>
    <mergeCell ref="J2:U2"/>
    <mergeCell ref="W2:AF2"/>
    <mergeCell ref="AH2:AK2"/>
    <mergeCell ref="J3:U4"/>
    <mergeCell ref="W3:AF4"/>
    <mergeCell ref="AH3:AK4"/>
    <mergeCell ref="AM3:AP4"/>
    <mergeCell ref="AR3:AU4"/>
    <mergeCell ref="BB3:BE4"/>
    <mergeCell ref="BG3:BH4"/>
    <mergeCell ref="AR2:AU2"/>
    <mergeCell ref="AW2:AZ2"/>
    <mergeCell ref="BB2:BE2"/>
    <mergeCell ref="BG2:BH2"/>
    <mergeCell ref="AW3:AZ4"/>
  </mergeCells>
  <conditionalFormatting sqref="J33:U33">
    <cfRule type="cellIs" dxfId="14" priority="1" operator="lessThan">
      <formula>0</formula>
    </cfRule>
  </conditionalFormatting>
  <conditionalFormatting sqref="W33:AF33">
    <cfRule type="cellIs" dxfId="13" priority="5" operator="lessThan">
      <formula>0</formula>
    </cfRule>
  </conditionalFormatting>
  <conditionalFormatting sqref="AH33:AK33">
    <cfRule type="cellIs" dxfId="12" priority="9" operator="lessThan">
      <formula>0</formula>
    </cfRule>
  </conditionalFormatting>
  <conditionalFormatting sqref="AM33:AP33">
    <cfRule type="cellIs" dxfId="11" priority="14" operator="lessThan">
      <formula>0</formula>
    </cfRule>
  </conditionalFormatting>
  <conditionalFormatting sqref="AR33:AU33">
    <cfRule type="cellIs" dxfId="10" priority="4" operator="lessThan">
      <formula>0</formula>
    </cfRule>
  </conditionalFormatting>
  <conditionalFormatting sqref="AW33:AZ33">
    <cfRule type="cellIs" dxfId="9" priority="12" operator="lessThan">
      <formula>0</formula>
    </cfRule>
  </conditionalFormatting>
  <conditionalFormatting sqref="BB33:BE33">
    <cfRule type="cellIs" dxfId="8" priority="3" operator="lessThan">
      <formula>0</formula>
    </cfRule>
  </conditionalFormatting>
  <conditionalFormatting sqref="BG33:BH33">
    <cfRule type="cellIs" dxfId="7" priority="10" operator="lessThan">
      <formula>0</formula>
    </cfRule>
  </conditionalFormatting>
  <dataValidations count="1">
    <dataValidation type="list" allowBlank="1" showInputMessage="1" showErrorMessage="1" sqref="BB2" xr:uid="{00000000-0002-0000-0300-000000000000}">
      <formula1>#REF!</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985" r:id="rId4" name="Check Box 1">
              <controlPr defaultSize="0" autoFill="0" autoLine="0" autoPict="0">
                <anchor moveWithCells="1">
                  <from>
                    <xdr:col>0</xdr:col>
                    <xdr:colOff>0</xdr:colOff>
                    <xdr:row>6</xdr:row>
                    <xdr:rowOff>19050</xdr:rowOff>
                  </from>
                  <to>
                    <xdr:col>7</xdr:col>
                    <xdr:colOff>85725</xdr:colOff>
                    <xdr:row>6</xdr:row>
                    <xdr:rowOff>171450</xdr:rowOff>
                  </to>
                </anchor>
              </controlPr>
            </control>
          </mc:Choice>
        </mc:AlternateContent>
        <mc:AlternateContent xmlns:mc="http://schemas.openxmlformats.org/markup-compatibility/2006">
          <mc:Choice Requires="x14">
            <control shapeId="41986" r:id="rId5" name="Check Box 2">
              <controlPr defaultSize="0" autoFill="0" autoLine="0" autoPict="0">
                <anchor moveWithCells="1">
                  <from>
                    <xdr:col>0</xdr:col>
                    <xdr:colOff>0</xdr:colOff>
                    <xdr:row>7</xdr:row>
                    <xdr:rowOff>0</xdr:rowOff>
                  </from>
                  <to>
                    <xdr:col>7</xdr:col>
                    <xdr:colOff>85725</xdr:colOff>
                    <xdr:row>13</xdr:row>
                    <xdr:rowOff>152400</xdr:rowOff>
                  </to>
                </anchor>
              </controlPr>
            </control>
          </mc:Choice>
        </mc:AlternateContent>
        <mc:AlternateContent xmlns:mc="http://schemas.openxmlformats.org/markup-compatibility/2006">
          <mc:Choice Requires="x14">
            <control shapeId="41987" r:id="rId6" name="Check Box 3">
              <controlPr defaultSize="0" autoFill="0" autoLine="0" autoPict="0">
                <anchor moveWithCells="1">
                  <from>
                    <xdr:col>0</xdr:col>
                    <xdr:colOff>0</xdr:colOff>
                    <xdr:row>7</xdr:row>
                    <xdr:rowOff>0</xdr:rowOff>
                  </from>
                  <to>
                    <xdr:col>7</xdr:col>
                    <xdr:colOff>85725</xdr:colOff>
                    <xdr:row>13</xdr:row>
                    <xdr:rowOff>152400</xdr:rowOff>
                  </to>
                </anchor>
              </controlPr>
            </control>
          </mc:Choice>
        </mc:AlternateContent>
        <mc:AlternateContent xmlns:mc="http://schemas.openxmlformats.org/markup-compatibility/2006">
          <mc:Choice Requires="x14">
            <control shapeId="41988" r:id="rId7" name="Check Box 4">
              <controlPr defaultSize="0" autoFill="0" autoLine="0" autoPict="0">
                <anchor moveWithCells="1">
                  <from>
                    <xdr:col>0</xdr:col>
                    <xdr:colOff>0</xdr:colOff>
                    <xdr:row>7</xdr:row>
                    <xdr:rowOff>0</xdr:rowOff>
                  </from>
                  <to>
                    <xdr:col>7</xdr:col>
                    <xdr:colOff>85725</xdr:colOff>
                    <xdr:row>13</xdr:row>
                    <xdr:rowOff>152400</xdr:rowOff>
                  </to>
                </anchor>
              </controlPr>
            </control>
          </mc:Choice>
        </mc:AlternateContent>
        <mc:AlternateContent xmlns:mc="http://schemas.openxmlformats.org/markup-compatibility/2006">
          <mc:Choice Requires="x14">
            <control shapeId="41989" r:id="rId8" name="Check Box 5">
              <controlPr defaultSize="0" autoFill="0" autoLine="0" autoPict="0">
                <anchor moveWithCells="1">
                  <from>
                    <xdr:col>0</xdr:col>
                    <xdr:colOff>0</xdr:colOff>
                    <xdr:row>7</xdr:row>
                    <xdr:rowOff>0</xdr:rowOff>
                  </from>
                  <to>
                    <xdr:col>7</xdr:col>
                    <xdr:colOff>85725</xdr:colOff>
                    <xdr:row>13</xdr:row>
                    <xdr:rowOff>152400</xdr:rowOff>
                  </to>
                </anchor>
              </controlPr>
            </control>
          </mc:Choice>
        </mc:AlternateContent>
        <mc:AlternateContent xmlns:mc="http://schemas.openxmlformats.org/markup-compatibility/2006">
          <mc:Choice Requires="x14">
            <control shapeId="41990" r:id="rId9" name="Check Box 6">
              <controlPr defaultSize="0" autoFill="0" autoLine="0" autoPict="0">
                <anchor moveWithCells="1">
                  <from>
                    <xdr:col>0</xdr:col>
                    <xdr:colOff>0</xdr:colOff>
                    <xdr:row>7</xdr:row>
                    <xdr:rowOff>0</xdr:rowOff>
                  </from>
                  <to>
                    <xdr:col>7</xdr:col>
                    <xdr:colOff>85725</xdr:colOff>
                    <xdr:row>13</xdr:row>
                    <xdr:rowOff>152400</xdr:rowOff>
                  </to>
                </anchor>
              </controlPr>
            </control>
          </mc:Choice>
        </mc:AlternateContent>
        <mc:AlternateContent xmlns:mc="http://schemas.openxmlformats.org/markup-compatibility/2006">
          <mc:Choice Requires="x14">
            <control shapeId="41991" r:id="rId10" name="Check Box 7">
              <controlPr defaultSize="0" autoFill="0" autoLine="0" autoPict="0">
                <anchor moveWithCells="1">
                  <from>
                    <xdr:col>0</xdr:col>
                    <xdr:colOff>0</xdr:colOff>
                    <xdr:row>7</xdr:row>
                    <xdr:rowOff>0</xdr:rowOff>
                  </from>
                  <to>
                    <xdr:col>7</xdr:col>
                    <xdr:colOff>85725</xdr:colOff>
                    <xdr:row>13</xdr:row>
                    <xdr:rowOff>152400</xdr:rowOff>
                  </to>
                </anchor>
              </controlPr>
            </control>
          </mc:Choice>
        </mc:AlternateContent>
        <mc:AlternateContent xmlns:mc="http://schemas.openxmlformats.org/markup-compatibility/2006">
          <mc:Choice Requires="x14">
            <control shapeId="41992" r:id="rId11" name="Check Box 8">
              <controlPr defaultSize="0" autoFill="0" autoLine="0" autoPict="0">
                <anchor moveWithCells="1">
                  <from>
                    <xdr:col>0</xdr:col>
                    <xdr:colOff>0</xdr:colOff>
                    <xdr:row>13</xdr:row>
                    <xdr:rowOff>19050</xdr:rowOff>
                  </from>
                  <to>
                    <xdr:col>7</xdr:col>
                    <xdr:colOff>85725</xdr:colOff>
                    <xdr:row>13</xdr:row>
                    <xdr:rowOff>171450</xdr:rowOff>
                  </to>
                </anchor>
              </controlPr>
            </control>
          </mc:Choice>
        </mc:AlternateContent>
        <mc:AlternateContent xmlns:mc="http://schemas.openxmlformats.org/markup-compatibility/2006">
          <mc:Choice Requires="x14">
            <control shapeId="41993" r:id="rId12" name="Check Box 9">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1994" r:id="rId13" name="Check Box 10">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1995" r:id="rId14" name="Check Box 11">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1996" r:id="rId15" name="Check Box 12">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1997" r:id="rId16" name="Check Box 13">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1998" r:id="rId17" name="Check Box 14">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1999" r:id="rId18" name="Check Box 15">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0" r:id="rId19" name="Check Box 16">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1" r:id="rId20" name="Check Box 17">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2" r:id="rId21" name="Check Box 18">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3" r:id="rId22" name="Check Box 19">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4" r:id="rId23" name="Check Box 20">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5" r:id="rId24" name="Check Box 21">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6" r:id="rId25" name="Check Box 22">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7" r:id="rId26" name="Check Box 23">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8" r:id="rId27" name="Check Box 24">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09" r:id="rId28" name="Check Box 25">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0" r:id="rId29" name="Check Box 26">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1" r:id="rId30" name="Check Box 27">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2" r:id="rId31" name="Check Box 28">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3" r:id="rId32" name="Check Box 29">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4" r:id="rId33" name="Check Box 30">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5" r:id="rId34" name="Check Box 31">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6" r:id="rId35" name="Check Box 32">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7" r:id="rId36" name="Check Box 33">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8" r:id="rId37" name="Check Box 34">
              <controlPr defaultSize="0" autoFill="0" autoLine="0" autoPict="0">
                <anchor moveWithCells="1">
                  <from>
                    <xdr:col>0</xdr:col>
                    <xdr:colOff>0</xdr:colOff>
                    <xdr:row>14</xdr:row>
                    <xdr:rowOff>0</xdr:rowOff>
                  </from>
                  <to>
                    <xdr:col>7</xdr:col>
                    <xdr:colOff>85725</xdr:colOff>
                    <xdr:row>40</xdr:row>
                    <xdr:rowOff>152400</xdr:rowOff>
                  </to>
                </anchor>
              </controlPr>
            </control>
          </mc:Choice>
        </mc:AlternateContent>
        <mc:AlternateContent xmlns:mc="http://schemas.openxmlformats.org/markup-compatibility/2006">
          <mc:Choice Requires="x14">
            <control shapeId="42019" r:id="rId38" name="Check Box 35">
              <controlPr defaultSize="0" autoFill="0" autoLine="0" autoPict="0">
                <anchor moveWithCells="1">
                  <from>
                    <xdr:col>0</xdr:col>
                    <xdr:colOff>0</xdr:colOff>
                    <xdr:row>40</xdr:row>
                    <xdr:rowOff>19050</xdr:rowOff>
                  </from>
                  <to>
                    <xdr:col>7</xdr:col>
                    <xdr:colOff>85725</xdr:colOff>
                    <xdr:row>40</xdr:row>
                    <xdr:rowOff>171450</xdr:rowOff>
                  </to>
                </anchor>
              </controlPr>
            </control>
          </mc:Choice>
        </mc:AlternateContent>
        <mc:AlternateContent xmlns:mc="http://schemas.openxmlformats.org/markup-compatibility/2006">
          <mc:Choice Requires="x14">
            <control shapeId="42020" r:id="rId39" name="Check Box 36">
              <controlPr defaultSize="0" autoFill="0" autoLine="0" autoPict="0">
                <anchor moveWithCells="1">
                  <from>
                    <xdr:col>0</xdr:col>
                    <xdr:colOff>0</xdr:colOff>
                    <xdr:row>41</xdr:row>
                    <xdr:rowOff>19050</xdr:rowOff>
                  </from>
                  <to>
                    <xdr:col>7</xdr:col>
                    <xdr:colOff>85725</xdr:colOff>
                    <xdr:row>41</xdr:row>
                    <xdr:rowOff>171450</xdr:rowOff>
                  </to>
                </anchor>
              </controlPr>
            </control>
          </mc:Choice>
        </mc:AlternateContent>
        <mc:AlternateContent xmlns:mc="http://schemas.openxmlformats.org/markup-compatibility/2006">
          <mc:Choice Requires="x14">
            <control shapeId="42021" r:id="rId40" name="Check Box 37">
              <controlPr defaultSize="0" autoFill="0" autoLine="0" autoPict="0">
                <anchor moveWithCells="1">
                  <from>
                    <xdr:col>0</xdr:col>
                    <xdr:colOff>0</xdr:colOff>
                    <xdr:row>42</xdr:row>
                    <xdr:rowOff>19050</xdr:rowOff>
                  </from>
                  <to>
                    <xdr:col>7</xdr:col>
                    <xdr:colOff>85725</xdr:colOff>
                    <xdr:row>42</xdr:row>
                    <xdr:rowOff>171450</xdr:rowOff>
                  </to>
                </anchor>
              </controlPr>
            </control>
          </mc:Choice>
        </mc:AlternateContent>
        <mc:AlternateContent xmlns:mc="http://schemas.openxmlformats.org/markup-compatibility/2006">
          <mc:Choice Requires="x14">
            <control shapeId="42022" r:id="rId41" name="Check Box 38">
              <controlPr defaultSize="0" autoFill="0" autoLine="0" autoPict="0">
                <anchor moveWithCells="1">
                  <from>
                    <xdr:col>0</xdr:col>
                    <xdr:colOff>0</xdr:colOff>
                    <xdr:row>43</xdr:row>
                    <xdr:rowOff>19050</xdr:rowOff>
                  </from>
                  <to>
                    <xdr:col>7</xdr:col>
                    <xdr:colOff>85725</xdr:colOff>
                    <xdr:row>43</xdr:row>
                    <xdr:rowOff>171450</xdr:rowOff>
                  </to>
                </anchor>
              </controlPr>
            </control>
          </mc:Choice>
        </mc:AlternateContent>
        <mc:AlternateContent xmlns:mc="http://schemas.openxmlformats.org/markup-compatibility/2006">
          <mc:Choice Requires="x14">
            <control shapeId="42023" r:id="rId42" name="Check Box 39">
              <controlPr defaultSize="0" autoFill="0" autoLine="0" autoPict="0">
                <anchor moveWithCells="1">
                  <from>
                    <xdr:col>0</xdr:col>
                    <xdr:colOff>0</xdr:colOff>
                    <xdr:row>44</xdr:row>
                    <xdr:rowOff>19050</xdr:rowOff>
                  </from>
                  <to>
                    <xdr:col>7</xdr:col>
                    <xdr:colOff>85725</xdr:colOff>
                    <xdr:row>44</xdr:row>
                    <xdr:rowOff>171450</xdr:rowOff>
                  </to>
                </anchor>
              </controlPr>
            </control>
          </mc:Choice>
        </mc:AlternateContent>
        <mc:AlternateContent xmlns:mc="http://schemas.openxmlformats.org/markup-compatibility/2006">
          <mc:Choice Requires="x14">
            <control shapeId="42024" r:id="rId43" name="Check Box 40">
              <controlPr defaultSize="0" autoFill="0" autoLine="0" autoPict="0">
                <anchor moveWithCells="1">
                  <from>
                    <xdr:col>0</xdr:col>
                    <xdr:colOff>0</xdr:colOff>
                    <xdr:row>45</xdr:row>
                    <xdr:rowOff>19050</xdr:rowOff>
                  </from>
                  <to>
                    <xdr:col>7</xdr:col>
                    <xdr:colOff>85725</xdr:colOff>
                    <xdr:row>45</xdr:row>
                    <xdr:rowOff>171450</xdr:rowOff>
                  </to>
                </anchor>
              </controlPr>
            </control>
          </mc:Choice>
        </mc:AlternateContent>
        <mc:AlternateContent xmlns:mc="http://schemas.openxmlformats.org/markup-compatibility/2006">
          <mc:Choice Requires="x14">
            <control shapeId="42025" r:id="rId44" name="Check Box 41">
              <controlPr defaultSize="0" autoFill="0" autoLine="0" autoPict="0">
                <anchor moveWithCells="1">
                  <from>
                    <xdr:col>0</xdr:col>
                    <xdr:colOff>0</xdr:colOff>
                    <xdr:row>46</xdr:row>
                    <xdr:rowOff>19050</xdr:rowOff>
                  </from>
                  <to>
                    <xdr:col>7</xdr:col>
                    <xdr:colOff>85725</xdr:colOff>
                    <xdr:row>46</xdr:row>
                    <xdr:rowOff>171450</xdr:rowOff>
                  </to>
                </anchor>
              </controlPr>
            </control>
          </mc:Choice>
        </mc:AlternateContent>
        <mc:AlternateContent xmlns:mc="http://schemas.openxmlformats.org/markup-compatibility/2006">
          <mc:Choice Requires="x14">
            <control shapeId="42026" r:id="rId45" name="Check Box 42">
              <controlPr defaultSize="0" autoFill="0" autoLine="0" autoPict="0">
                <anchor moveWithCells="1">
                  <from>
                    <xdr:col>0</xdr:col>
                    <xdr:colOff>0</xdr:colOff>
                    <xdr:row>47</xdr:row>
                    <xdr:rowOff>19050</xdr:rowOff>
                  </from>
                  <to>
                    <xdr:col>7</xdr:col>
                    <xdr:colOff>85725</xdr:colOff>
                    <xdr:row>47</xdr:row>
                    <xdr:rowOff>171450</xdr:rowOff>
                  </to>
                </anchor>
              </controlPr>
            </control>
          </mc:Choice>
        </mc:AlternateContent>
        <mc:AlternateContent xmlns:mc="http://schemas.openxmlformats.org/markup-compatibility/2006">
          <mc:Choice Requires="x14">
            <control shapeId="42027" r:id="rId46" name="Check Box 43">
              <controlPr defaultSize="0" autoFill="0" autoLine="0" autoPict="0">
                <anchor moveWithCells="1">
                  <from>
                    <xdr:col>0</xdr:col>
                    <xdr:colOff>0</xdr:colOff>
                    <xdr:row>48</xdr:row>
                    <xdr:rowOff>19050</xdr:rowOff>
                  </from>
                  <to>
                    <xdr:col>7</xdr:col>
                    <xdr:colOff>85725</xdr:colOff>
                    <xdr:row>48</xdr:row>
                    <xdr:rowOff>171450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1000000}">
          <x14:formula1>
            <xm:f>Validation!$Q$28:$Q$29</xm:f>
          </x14:formula1>
          <xm:sqref>AM2 AR2</xm:sqref>
        </x14:dataValidation>
        <x14:dataValidation type="list" allowBlank="1" showInputMessage="1" showErrorMessage="1" xr:uid="{00000000-0002-0000-0300-000002000000}">
          <x14:formula1>
            <xm:f>Validation!$Q$5:$Q$12</xm:f>
          </x14:formula1>
          <xm:sqref>J2 AH2:AK2 W2</xm:sqref>
        </x14:dataValidation>
        <x14:dataValidation type="list" allowBlank="1" showInputMessage="1" showErrorMessage="1" xr:uid="{00000000-0002-0000-0300-000003000000}">
          <x14:formula1>
            <xm:f>Validation!$C$40</xm:f>
          </x14:formula1>
          <xm:sqref>BG2</xm:sqref>
        </x14:dataValidation>
        <x14:dataValidation type="list" allowBlank="1" showInputMessage="1" showErrorMessage="1" xr:uid="{00000000-0002-0000-0300-000004000000}">
          <x14:formula1>
            <xm:f>Validation!$Q$33:$Q$36</xm:f>
          </x14:formula1>
          <xm:sqref>AW2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00B050"/>
  </sheetPr>
  <dimension ref="A1:DH76"/>
  <sheetViews>
    <sheetView showGridLines="0" tabSelected="1" zoomScale="70" zoomScaleNormal="70" workbookViewId="0">
      <selection activeCell="I10" sqref="I10"/>
    </sheetView>
  </sheetViews>
  <sheetFormatPr defaultColWidth="3.59765625" defaultRowHeight="14.25" x14ac:dyDescent="0.2"/>
  <cols>
    <col min="1" max="1" width="3.59765625" style="4" bestFit="1" customWidth="1"/>
    <col min="2" max="2" width="11.8984375" style="4" customWidth="1"/>
    <col min="3" max="3" width="6.3984375" style="4" customWidth="1"/>
    <col min="4" max="4" width="11.5" style="4" customWidth="1"/>
    <col min="5" max="5" width="15.09765625" style="4" bestFit="1" customWidth="1"/>
    <col min="6" max="6" width="18.296875" style="4" bestFit="1" customWidth="1"/>
    <col min="7" max="7" width="1.796875" style="4" customWidth="1"/>
    <col min="8" max="8" width="19.796875" style="4" customWidth="1"/>
    <col min="9" max="9" width="13.796875" style="4" bestFit="1" customWidth="1"/>
    <col min="10" max="11" width="12.8984375" style="4" customWidth="1"/>
    <col min="12" max="12" width="3.59765625" style="4" bestFit="1" customWidth="1"/>
    <col min="13" max="13" width="11.8984375" style="4" customWidth="1"/>
    <col min="14" max="14" width="6.3984375" style="4" customWidth="1"/>
    <col min="15" max="15" width="11.5" style="4" customWidth="1"/>
    <col min="16" max="16" width="15.09765625" style="4" bestFit="1" customWidth="1"/>
    <col min="17" max="17" width="18.296875" style="4" customWidth="1"/>
    <col min="18" max="18" width="1.796875" style="4" customWidth="1"/>
    <col min="19" max="19" width="19.796875" style="4" customWidth="1"/>
    <col min="20" max="20" width="13.796875" style="4" bestFit="1" customWidth="1"/>
    <col min="21" max="22" width="12.8984375" style="4" customWidth="1"/>
    <col min="23" max="23" width="3.59765625" style="5" bestFit="1" customWidth="1"/>
    <col min="24" max="24" width="11.8984375" style="4" customWidth="1"/>
    <col min="25" max="25" width="6.3984375" style="4" customWidth="1"/>
    <col min="26" max="26" width="11.5" style="4" customWidth="1"/>
    <col min="27" max="27" width="15.09765625" style="4" bestFit="1" customWidth="1"/>
    <col min="28" max="28" width="18.296875" style="4" bestFit="1" customWidth="1"/>
    <col min="29" max="29" width="2" style="4" customWidth="1"/>
    <col min="30" max="30" width="19.796875" style="4" customWidth="1"/>
    <col min="31" max="31" width="13.796875" style="4" bestFit="1" customWidth="1"/>
    <col min="32" max="33" width="12.8984375" style="4" customWidth="1"/>
    <col min="34" max="34" width="3.59765625" style="4"/>
    <col min="35" max="35" width="11.8984375" style="4" customWidth="1"/>
    <col min="36" max="36" width="6.3984375" style="4" customWidth="1"/>
    <col min="37" max="37" width="11.5" style="4" customWidth="1"/>
    <col min="38" max="38" width="15.09765625" style="4" bestFit="1" customWidth="1"/>
    <col min="39" max="39" width="18.296875" style="4" bestFit="1" customWidth="1"/>
    <col min="40" max="40" width="1.796875" style="4" customWidth="1"/>
    <col min="41" max="41" width="19.796875" style="4" customWidth="1"/>
    <col min="42" max="42" width="13.796875" style="4" bestFit="1" customWidth="1"/>
    <col min="43" max="44" width="12.8984375" style="4" customWidth="1"/>
    <col min="45" max="45" width="3.59765625" style="4"/>
    <col min="46" max="46" width="11.8984375" style="4" customWidth="1"/>
    <col min="47" max="47" width="6.3984375" style="4" customWidth="1"/>
    <col min="48" max="48" width="11.5" style="4" customWidth="1"/>
    <col min="49" max="49" width="15.09765625" style="4" bestFit="1" customWidth="1"/>
    <col min="50" max="50" width="18.296875" style="4" bestFit="1" customWidth="1"/>
    <col min="51" max="51" width="1.796875" style="4" customWidth="1"/>
    <col min="52" max="52" width="19.796875" style="4" customWidth="1"/>
    <col min="53" max="53" width="13.796875" style="4" bestFit="1" customWidth="1"/>
    <col min="54" max="55" width="12.8984375" style="4" customWidth="1"/>
    <col min="56" max="56" width="3.59765625" style="4" bestFit="1" customWidth="1"/>
    <col min="57" max="57" width="11.8984375" style="4" customWidth="1"/>
    <col min="58" max="58" width="6.3984375" style="4" customWidth="1"/>
    <col min="59" max="59" width="11.5" style="4" customWidth="1"/>
    <col min="60" max="60" width="15.09765625" style="4" bestFit="1" customWidth="1"/>
    <col min="61" max="61" width="18.296875" style="4" bestFit="1" customWidth="1"/>
    <col min="62" max="62" width="1.796875" style="4" customWidth="1"/>
    <col min="63" max="63" width="19.796875" style="4" customWidth="1"/>
    <col min="64" max="64" width="13.796875" style="4" bestFit="1" customWidth="1"/>
    <col min="65" max="66" width="12.8984375" style="4" customWidth="1"/>
    <col min="67" max="67" width="3.59765625" style="4" bestFit="1" customWidth="1"/>
    <col min="68" max="68" width="11.8984375" style="4" customWidth="1"/>
    <col min="69" max="69" width="6.3984375" style="4" customWidth="1"/>
    <col min="70" max="70" width="11.5" style="4" customWidth="1"/>
    <col min="71" max="71" width="15.09765625" style="4" bestFit="1" customWidth="1"/>
    <col min="72" max="72" width="18.296875" style="4" bestFit="1" customWidth="1"/>
    <col min="73" max="73" width="1.796875" style="4" customWidth="1"/>
    <col min="74" max="74" width="19.796875" style="4" customWidth="1"/>
    <col min="75" max="75" width="13.796875" style="4" bestFit="1" customWidth="1"/>
    <col min="76" max="77" width="12.8984375" style="4" customWidth="1"/>
    <col min="78" max="78" width="1.3984375" style="4" customWidth="1"/>
    <col min="79" max="79" width="3.59765625" style="4" bestFit="1" customWidth="1"/>
    <col min="80" max="80" width="11.8984375" style="4" customWidth="1"/>
    <col min="81" max="81" width="6.3984375" style="4" customWidth="1"/>
    <col min="82" max="82" width="11.5" style="4" customWidth="1"/>
    <col min="83" max="83" width="15.09765625" style="4" bestFit="1" customWidth="1"/>
    <col min="84" max="84" width="18.296875" style="4" bestFit="1" customWidth="1"/>
    <col min="85" max="85" width="1.796875" style="4" customWidth="1"/>
    <col min="86" max="86" width="19.796875" style="4" customWidth="1"/>
    <col min="87" max="87" width="13.796875" style="4" bestFit="1" customWidth="1"/>
    <col min="88" max="88" width="12.8984375" style="4" customWidth="1"/>
    <col min="89" max="89" width="13.3984375" style="4" bestFit="1" customWidth="1"/>
    <col min="90" max="91" width="1.3984375" style="4" customWidth="1"/>
    <col min="92" max="92" width="11.8984375" style="4" customWidth="1"/>
    <col min="93" max="93" width="6.3984375" style="4" customWidth="1"/>
    <col min="94" max="94" width="11.5" style="4" customWidth="1"/>
    <col min="95" max="95" width="15.09765625" style="4" bestFit="1" customWidth="1"/>
    <col min="96" max="96" width="18.296875" style="4" bestFit="1" customWidth="1"/>
    <col min="97" max="97" width="1.796875" style="4" customWidth="1"/>
    <col min="98" max="98" width="19.796875" style="4" customWidth="1"/>
    <col min="99" max="99" width="13.796875" style="4" bestFit="1" customWidth="1"/>
    <col min="100" max="100" width="12.8984375" style="4" customWidth="1"/>
    <col min="101" max="101" width="13.3984375" style="4" bestFit="1" customWidth="1"/>
    <col min="102" max="102" width="1.3984375" style="4" customWidth="1"/>
    <col min="103" max="103" width="11.8984375" style="4" customWidth="1"/>
    <col min="104" max="104" width="6.3984375" style="4" customWidth="1"/>
    <col min="105" max="105" width="11.5" style="4" customWidth="1"/>
    <col min="106" max="106" width="15.09765625" style="4" bestFit="1" customWidth="1"/>
    <col min="107" max="107" width="18.296875" style="4" bestFit="1" customWidth="1"/>
    <col min="108" max="108" width="1.796875" style="4" customWidth="1"/>
    <col min="109" max="109" width="19.796875" style="4" customWidth="1"/>
    <col min="110" max="110" width="13.796875" style="4" bestFit="1" customWidth="1"/>
    <col min="111" max="111" width="12.8984375" style="4" customWidth="1"/>
    <col min="112" max="112" width="13.3984375" style="4" bestFit="1" customWidth="1"/>
    <col min="113" max="16384" width="3.59765625" style="2"/>
  </cols>
  <sheetData>
    <row r="1" spans="1:112" ht="15" thickBot="1" x14ac:dyDescent="0.25"/>
    <row r="2" spans="1:112" ht="15" thickBot="1" x14ac:dyDescent="0.25">
      <c r="B2" s="419" t="s">
        <v>270</v>
      </c>
      <c r="C2" s="420"/>
      <c r="D2" s="420"/>
      <c r="E2" s="420"/>
      <c r="F2" s="420"/>
      <c r="G2" s="420"/>
      <c r="H2" s="420"/>
      <c r="I2" s="420"/>
      <c r="J2" s="420"/>
      <c r="K2" s="421"/>
      <c r="M2" s="419" t="s">
        <v>271</v>
      </c>
      <c r="N2" s="420"/>
      <c r="O2" s="420"/>
      <c r="P2" s="420"/>
      <c r="Q2" s="420"/>
      <c r="R2" s="420"/>
      <c r="S2" s="420"/>
      <c r="T2" s="420"/>
      <c r="U2" s="420"/>
      <c r="V2" s="421"/>
      <c r="X2" s="419" t="s">
        <v>272</v>
      </c>
      <c r="Y2" s="420"/>
      <c r="Z2" s="420"/>
      <c r="AA2" s="420"/>
      <c r="AB2" s="420"/>
      <c r="AC2" s="420"/>
      <c r="AD2" s="420"/>
      <c r="AE2" s="420"/>
      <c r="AF2" s="420"/>
      <c r="AG2" s="421"/>
      <c r="AI2" s="419" t="s">
        <v>422</v>
      </c>
      <c r="AJ2" s="420"/>
      <c r="AK2" s="420"/>
      <c r="AL2" s="420"/>
      <c r="AM2" s="420"/>
      <c r="AN2" s="420"/>
      <c r="AO2" s="420"/>
      <c r="AP2" s="420"/>
      <c r="AQ2" s="420"/>
      <c r="AR2" s="421"/>
      <c r="AT2" s="419" t="s">
        <v>423</v>
      </c>
      <c r="AU2" s="420"/>
      <c r="AV2" s="420"/>
      <c r="AW2" s="420"/>
      <c r="AX2" s="420"/>
      <c r="AY2" s="420"/>
      <c r="AZ2" s="420"/>
      <c r="BA2" s="420"/>
      <c r="BB2" s="420"/>
      <c r="BC2" s="421"/>
      <c r="BE2" s="419" t="s">
        <v>424</v>
      </c>
      <c r="BF2" s="420"/>
      <c r="BG2" s="420"/>
      <c r="BH2" s="420"/>
      <c r="BI2" s="420"/>
      <c r="BJ2" s="420"/>
      <c r="BK2" s="420"/>
      <c r="BL2" s="420"/>
      <c r="BM2" s="420"/>
      <c r="BN2" s="421"/>
      <c r="BP2" s="419" t="s">
        <v>425</v>
      </c>
      <c r="BQ2" s="420"/>
      <c r="BR2" s="420"/>
      <c r="BS2" s="420"/>
      <c r="BT2" s="420"/>
      <c r="BU2" s="420"/>
      <c r="BV2" s="420"/>
      <c r="BW2" s="420"/>
      <c r="BX2" s="420"/>
      <c r="BY2" s="421"/>
      <c r="CB2" s="419" t="s">
        <v>426</v>
      </c>
      <c r="CC2" s="420"/>
      <c r="CD2" s="420"/>
      <c r="CE2" s="420"/>
      <c r="CF2" s="420"/>
      <c r="CG2" s="420"/>
      <c r="CH2" s="420"/>
      <c r="CI2" s="420"/>
      <c r="CJ2" s="420"/>
      <c r="CK2" s="421"/>
      <c r="CN2" s="419" t="s">
        <v>427</v>
      </c>
      <c r="CO2" s="420"/>
      <c r="CP2" s="420"/>
      <c r="CQ2" s="420"/>
      <c r="CR2" s="420"/>
      <c r="CS2" s="420"/>
      <c r="CT2" s="420"/>
      <c r="CU2" s="420"/>
      <c r="CV2" s="420"/>
      <c r="CW2" s="421"/>
      <c r="CY2" s="419" t="s">
        <v>426</v>
      </c>
      <c r="CZ2" s="420"/>
      <c r="DA2" s="420"/>
      <c r="DB2" s="420"/>
      <c r="DC2" s="420"/>
      <c r="DD2" s="420"/>
      <c r="DE2" s="420"/>
      <c r="DF2" s="420"/>
      <c r="DG2" s="420"/>
      <c r="DH2" s="421"/>
    </row>
    <row r="3" spans="1:112" ht="5.25" customHeight="1" thickBot="1" x14ac:dyDescent="0.25">
      <c r="A3" s="529"/>
      <c r="B3" s="529"/>
      <c r="C3" s="529"/>
      <c r="D3" s="529"/>
      <c r="E3" s="529"/>
      <c r="F3" s="529"/>
      <c r="G3" s="529"/>
      <c r="H3" s="529"/>
      <c r="I3" s="529"/>
      <c r="J3" s="529"/>
      <c r="K3" s="529"/>
      <c r="L3" s="529"/>
      <c r="W3" s="4"/>
    </row>
    <row r="4" spans="1:112" ht="15" thickBot="1" x14ac:dyDescent="0.25">
      <c r="A4" s="382"/>
      <c r="B4" s="516" t="s">
        <v>281</v>
      </c>
      <c r="C4" s="517"/>
      <c r="D4" s="517"/>
      <c r="E4" s="517"/>
      <c r="F4" s="518"/>
      <c r="G4" s="382"/>
      <c r="H4" s="491" t="s">
        <v>21</v>
      </c>
      <c r="I4" s="492"/>
      <c r="J4" s="493"/>
      <c r="K4" s="494"/>
      <c r="L4" s="382"/>
      <c r="M4" s="516" t="s">
        <v>281</v>
      </c>
      <c r="N4" s="517"/>
      <c r="O4" s="517"/>
      <c r="P4" s="517"/>
      <c r="Q4" s="518"/>
      <c r="R4" s="382"/>
      <c r="S4" s="491" t="s">
        <v>21</v>
      </c>
      <c r="T4" s="492"/>
      <c r="U4" s="493"/>
      <c r="V4" s="494"/>
      <c r="X4" s="422" t="s">
        <v>281</v>
      </c>
      <c r="Y4" s="423"/>
      <c r="Z4" s="423"/>
      <c r="AA4" s="423"/>
      <c r="AB4" s="424"/>
      <c r="AC4" s="382"/>
      <c r="AD4" s="491" t="s">
        <v>21</v>
      </c>
      <c r="AE4" s="492"/>
      <c r="AF4" s="493"/>
      <c r="AG4" s="494"/>
      <c r="AI4" s="422" t="s">
        <v>281</v>
      </c>
      <c r="AJ4" s="423"/>
      <c r="AK4" s="423"/>
      <c r="AL4" s="423"/>
      <c r="AM4" s="424"/>
      <c r="AN4" s="382"/>
      <c r="AO4" s="491" t="s">
        <v>21</v>
      </c>
      <c r="AP4" s="492"/>
      <c r="AQ4" s="493"/>
      <c r="AR4" s="494"/>
      <c r="AT4" s="422" t="s">
        <v>281</v>
      </c>
      <c r="AU4" s="423"/>
      <c r="AV4" s="423"/>
      <c r="AW4" s="423"/>
      <c r="AX4" s="424"/>
      <c r="AY4" s="382"/>
      <c r="AZ4" s="491" t="s">
        <v>21</v>
      </c>
      <c r="BA4" s="492"/>
      <c r="BB4" s="493"/>
      <c r="BC4" s="494"/>
      <c r="BE4" s="422" t="s">
        <v>281</v>
      </c>
      <c r="BF4" s="423"/>
      <c r="BG4" s="423"/>
      <c r="BH4" s="423"/>
      <c r="BI4" s="424"/>
      <c r="BJ4" s="382"/>
      <c r="BK4" s="491" t="s">
        <v>21</v>
      </c>
      <c r="BL4" s="492"/>
      <c r="BM4" s="493"/>
      <c r="BN4" s="494"/>
      <c r="BP4" s="422" t="s">
        <v>281</v>
      </c>
      <c r="BQ4" s="423"/>
      <c r="BR4" s="423"/>
      <c r="BS4" s="423"/>
      <c r="BT4" s="424"/>
      <c r="BU4" s="382"/>
      <c r="BV4" s="491" t="s">
        <v>21</v>
      </c>
      <c r="BW4" s="492"/>
      <c r="BX4" s="493"/>
      <c r="BY4" s="494"/>
      <c r="CB4" s="422" t="s">
        <v>281</v>
      </c>
      <c r="CC4" s="423"/>
      <c r="CD4" s="423"/>
      <c r="CE4" s="423"/>
      <c r="CF4" s="424"/>
      <c r="CG4" s="382"/>
      <c r="CH4" s="491" t="s">
        <v>21</v>
      </c>
      <c r="CI4" s="492"/>
      <c r="CJ4" s="493"/>
      <c r="CK4" s="494"/>
      <c r="CN4" s="422" t="s">
        <v>281</v>
      </c>
      <c r="CO4" s="423"/>
      <c r="CP4" s="423"/>
      <c r="CQ4" s="423"/>
      <c r="CR4" s="424"/>
      <c r="CS4" s="382"/>
      <c r="CT4" s="491" t="s">
        <v>21</v>
      </c>
      <c r="CU4" s="492"/>
      <c r="CV4" s="493"/>
      <c r="CW4" s="494"/>
      <c r="CY4" s="422" t="s">
        <v>281</v>
      </c>
      <c r="CZ4" s="423"/>
      <c r="DA4" s="423"/>
      <c r="DB4" s="423"/>
      <c r="DC4" s="424"/>
      <c r="DD4" s="382"/>
      <c r="DE4" s="491" t="s">
        <v>21</v>
      </c>
      <c r="DF4" s="492"/>
      <c r="DG4" s="493"/>
      <c r="DH4" s="494"/>
    </row>
    <row r="5" spans="1:112" ht="15" thickBot="1" x14ac:dyDescent="0.25">
      <c r="A5" s="382"/>
      <c r="B5" s="15" t="s">
        <v>282</v>
      </c>
      <c r="C5" s="521" t="s">
        <v>283</v>
      </c>
      <c r="D5" s="521"/>
      <c r="E5" s="521"/>
      <c r="F5" s="522"/>
      <c r="G5" s="382"/>
      <c r="H5" s="66" t="s">
        <v>22</v>
      </c>
      <c r="I5" s="67" t="s">
        <v>23</v>
      </c>
      <c r="J5" s="68" t="s">
        <v>24</v>
      </c>
      <c r="K5" s="69" t="s">
        <v>25</v>
      </c>
      <c r="L5" s="382"/>
      <c r="M5" s="15" t="s">
        <v>282</v>
      </c>
      <c r="N5" s="521" t="s">
        <v>283</v>
      </c>
      <c r="O5" s="521"/>
      <c r="P5" s="521"/>
      <c r="Q5" s="522"/>
      <c r="R5" s="382"/>
      <c r="S5" s="66" t="s">
        <v>22</v>
      </c>
      <c r="T5" s="67" t="s">
        <v>23</v>
      </c>
      <c r="U5" s="68" t="s">
        <v>24</v>
      </c>
      <c r="V5" s="69" t="s">
        <v>25</v>
      </c>
      <c r="X5" s="15" t="s">
        <v>282</v>
      </c>
      <c r="Y5" s="403" t="s">
        <v>283</v>
      </c>
      <c r="Z5" s="404"/>
      <c r="AA5" s="404"/>
      <c r="AB5" s="405"/>
      <c r="AC5" s="382"/>
      <c r="AD5" s="66" t="s">
        <v>22</v>
      </c>
      <c r="AE5" s="67" t="s">
        <v>23</v>
      </c>
      <c r="AF5" s="68" t="s">
        <v>24</v>
      </c>
      <c r="AG5" s="69" t="s">
        <v>25</v>
      </c>
      <c r="AI5" s="15" t="s">
        <v>282</v>
      </c>
      <c r="AJ5" s="403" t="s">
        <v>283</v>
      </c>
      <c r="AK5" s="404"/>
      <c r="AL5" s="404"/>
      <c r="AM5" s="405"/>
      <c r="AN5" s="382"/>
      <c r="AO5" s="66" t="s">
        <v>22</v>
      </c>
      <c r="AP5" s="67" t="s">
        <v>23</v>
      </c>
      <c r="AQ5" s="68" t="s">
        <v>24</v>
      </c>
      <c r="AR5" s="69" t="s">
        <v>25</v>
      </c>
      <c r="AT5" s="15" t="s">
        <v>282</v>
      </c>
      <c r="AU5" s="403" t="s">
        <v>283</v>
      </c>
      <c r="AV5" s="404"/>
      <c r="AW5" s="404"/>
      <c r="AX5" s="405"/>
      <c r="AY5" s="382"/>
      <c r="AZ5" s="66" t="s">
        <v>22</v>
      </c>
      <c r="BA5" s="67" t="s">
        <v>23</v>
      </c>
      <c r="BB5" s="68" t="s">
        <v>24</v>
      </c>
      <c r="BC5" s="69" t="s">
        <v>25</v>
      </c>
      <c r="BE5" s="15" t="s">
        <v>282</v>
      </c>
      <c r="BF5" s="403" t="s">
        <v>283</v>
      </c>
      <c r="BG5" s="404"/>
      <c r="BH5" s="404"/>
      <c r="BI5" s="405"/>
      <c r="BJ5" s="382"/>
      <c r="BK5" s="66" t="s">
        <v>22</v>
      </c>
      <c r="BL5" s="67" t="s">
        <v>23</v>
      </c>
      <c r="BM5" s="68" t="s">
        <v>24</v>
      </c>
      <c r="BN5" s="69" t="s">
        <v>25</v>
      </c>
      <c r="BP5" s="15" t="s">
        <v>282</v>
      </c>
      <c r="BQ5" s="403" t="s">
        <v>283</v>
      </c>
      <c r="BR5" s="404"/>
      <c r="BS5" s="404"/>
      <c r="BT5" s="405"/>
      <c r="BU5" s="382"/>
      <c r="BV5" s="66" t="s">
        <v>22</v>
      </c>
      <c r="BW5" s="67" t="s">
        <v>23</v>
      </c>
      <c r="BX5" s="68" t="s">
        <v>24</v>
      </c>
      <c r="BY5" s="69" t="s">
        <v>25</v>
      </c>
      <c r="CB5" s="15" t="s">
        <v>282</v>
      </c>
      <c r="CC5" s="403" t="s">
        <v>285</v>
      </c>
      <c r="CD5" s="404"/>
      <c r="CE5" s="404"/>
      <c r="CF5" s="405"/>
      <c r="CG5" s="382"/>
      <c r="CH5" s="66" t="s">
        <v>22</v>
      </c>
      <c r="CI5" s="67" t="s">
        <v>23</v>
      </c>
      <c r="CJ5" s="68" t="s">
        <v>24</v>
      </c>
      <c r="CK5" s="69" t="s">
        <v>25</v>
      </c>
      <c r="CN5" s="15" t="s">
        <v>282</v>
      </c>
      <c r="CO5" s="403" t="s">
        <v>285</v>
      </c>
      <c r="CP5" s="404"/>
      <c r="CQ5" s="404"/>
      <c r="CR5" s="405"/>
      <c r="CS5" s="382"/>
      <c r="CT5" s="66" t="s">
        <v>22</v>
      </c>
      <c r="CU5" s="67" t="s">
        <v>23</v>
      </c>
      <c r="CV5" s="68" t="s">
        <v>24</v>
      </c>
      <c r="CW5" s="69" t="s">
        <v>25</v>
      </c>
      <c r="CY5" s="15" t="s">
        <v>282</v>
      </c>
      <c r="CZ5" s="403" t="s">
        <v>285</v>
      </c>
      <c r="DA5" s="404"/>
      <c r="DB5" s="404"/>
      <c r="DC5" s="405"/>
      <c r="DD5" s="382"/>
      <c r="DE5" s="66" t="s">
        <v>22</v>
      </c>
      <c r="DF5" s="67" t="s">
        <v>23</v>
      </c>
      <c r="DG5" s="68" t="s">
        <v>24</v>
      </c>
      <c r="DH5" s="69" t="s">
        <v>25</v>
      </c>
    </row>
    <row r="6" spans="1:112" ht="15" thickBot="1" x14ac:dyDescent="0.25">
      <c r="A6" s="382"/>
      <c r="B6" s="16" t="s">
        <v>286</v>
      </c>
      <c r="C6" s="526" t="s">
        <v>287</v>
      </c>
      <c r="D6" s="526"/>
      <c r="E6" s="526"/>
      <c r="F6" s="527"/>
      <c r="G6" s="382"/>
      <c r="H6" s="62" t="s">
        <v>31</v>
      </c>
      <c r="I6" s="63">
        <f>F22+F38</f>
        <v>1650159</v>
      </c>
      <c r="J6" s="64">
        <f>I6/D16</f>
        <v>78.578999999999994</v>
      </c>
      <c r="K6" s="65">
        <f>I6/F17</f>
        <v>69.147307286166836</v>
      </c>
      <c r="L6" s="382"/>
      <c r="M6" s="16" t="s">
        <v>286</v>
      </c>
      <c r="N6" s="526" t="s">
        <v>287</v>
      </c>
      <c r="O6" s="526"/>
      <c r="P6" s="526"/>
      <c r="Q6" s="527"/>
      <c r="R6" s="382"/>
      <c r="S6" s="62" t="s">
        <v>31</v>
      </c>
      <c r="T6" s="63">
        <f>Q22+Q38</f>
        <v>2134034.406</v>
      </c>
      <c r="U6" s="64">
        <f>T6/O16</f>
        <v>101.62068599999999</v>
      </c>
      <c r="V6" s="65">
        <f>T6/Q17</f>
        <v>89.423342133051733</v>
      </c>
      <c r="X6" s="16" t="s">
        <v>286</v>
      </c>
      <c r="Y6" s="403" t="s">
        <v>287</v>
      </c>
      <c r="Z6" s="404"/>
      <c r="AA6" s="404"/>
      <c r="AB6" s="405"/>
      <c r="AC6" s="382"/>
      <c r="AD6" s="62" t="s">
        <v>31</v>
      </c>
      <c r="AE6" s="63">
        <f>AB22+AB38</f>
        <v>2103087</v>
      </c>
      <c r="AF6" s="64">
        <f>AE6/Z16</f>
        <v>100.14700000000001</v>
      </c>
      <c r="AG6" s="65">
        <f>AE6/AB17</f>
        <v>88.126539950721565</v>
      </c>
      <c r="AI6" s="16" t="s">
        <v>286</v>
      </c>
      <c r="AJ6" s="403" t="s">
        <v>287</v>
      </c>
      <c r="AK6" s="404"/>
      <c r="AL6" s="404"/>
      <c r="AM6" s="405"/>
      <c r="AN6" s="382"/>
      <c r="AO6" s="62" t="s">
        <v>31</v>
      </c>
      <c r="AP6" s="63">
        <f>AM22+AM38</f>
        <v>1878329.25</v>
      </c>
      <c r="AQ6" s="64">
        <f>AP6/AK16</f>
        <v>89.444249999999997</v>
      </c>
      <c r="AR6" s="65">
        <f>AP6/AM17</f>
        <v>78.708421330517425</v>
      </c>
      <c r="AT6" s="16" t="s">
        <v>286</v>
      </c>
      <c r="AU6" s="403" t="s">
        <v>287</v>
      </c>
      <c r="AV6" s="404"/>
      <c r="AW6" s="404"/>
      <c r="AX6" s="405"/>
      <c r="AY6" s="382"/>
      <c r="AZ6" s="62" t="s">
        <v>31</v>
      </c>
      <c r="BA6" s="123">
        <f>AX22+AX38</f>
        <v>1779109.71</v>
      </c>
      <c r="BB6" s="64">
        <f>BA6/AV16</f>
        <v>84.71951</v>
      </c>
      <c r="BC6" s="65">
        <f>BA6/AX17</f>
        <v>74.550783174938402</v>
      </c>
      <c r="BE6" s="16" t="s">
        <v>286</v>
      </c>
      <c r="BF6" s="403" t="s">
        <v>287</v>
      </c>
      <c r="BG6" s="404"/>
      <c r="BH6" s="404"/>
      <c r="BI6" s="405"/>
      <c r="BJ6" s="382"/>
      <c r="BK6" s="62" t="s">
        <v>31</v>
      </c>
      <c r="BL6" s="123">
        <f>BI22+BI38</f>
        <v>1361362.4639999999</v>
      </c>
      <c r="BM6" s="64">
        <f>BL6/BG16</f>
        <v>64.826783999999989</v>
      </c>
      <c r="BN6" s="65">
        <f>BL6/BI17</f>
        <v>57.045744456177395</v>
      </c>
      <c r="BP6" s="16" t="s">
        <v>286</v>
      </c>
      <c r="BQ6" s="403" t="s">
        <v>287</v>
      </c>
      <c r="BR6" s="404"/>
      <c r="BS6" s="404"/>
      <c r="BT6" s="405"/>
      <c r="BU6" s="382"/>
      <c r="BV6" s="62" t="s">
        <v>31</v>
      </c>
      <c r="BW6" s="123">
        <f>BT22+BT38</f>
        <v>1452352.2719999999</v>
      </c>
      <c r="BX6" s="64">
        <f>BW6/BR16</f>
        <v>69.159631999999988</v>
      </c>
      <c r="BY6" s="65">
        <f>BW6/BT17</f>
        <v>60.858528687082007</v>
      </c>
      <c r="CB6" s="16" t="s">
        <v>286</v>
      </c>
      <c r="CC6" s="403" t="s">
        <v>288</v>
      </c>
      <c r="CD6" s="404"/>
      <c r="CE6" s="404"/>
      <c r="CF6" s="405"/>
      <c r="CG6" s="382"/>
      <c r="CH6" s="62" t="s">
        <v>31</v>
      </c>
      <c r="CI6" s="123">
        <f>CF22+CF38</f>
        <v>1431799.74</v>
      </c>
      <c r="CJ6" s="64">
        <f>CI6/CD16</f>
        <v>68.180939999999993</v>
      </c>
      <c r="CK6" s="65">
        <f>CI6/CF17</f>
        <v>59.997307286166837</v>
      </c>
      <c r="CN6" s="16" t="s">
        <v>286</v>
      </c>
      <c r="CO6" s="403" t="s">
        <v>288</v>
      </c>
      <c r="CP6" s="404"/>
      <c r="CQ6" s="404"/>
      <c r="CR6" s="405"/>
      <c r="CS6" s="382"/>
      <c r="CT6" s="62" t="s">
        <v>31</v>
      </c>
      <c r="CU6" s="123">
        <f>CR22+CR38</f>
        <v>1732185</v>
      </c>
      <c r="CV6" s="64">
        <f>CU6/CP16</f>
        <v>82.484999999999999</v>
      </c>
      <c r="CW6" s="65">
        <f>CU6/CR17</f>
        <v>72.584477296726504</v>
      </c>
      <c r="CY6" s="16" t="s">
        <v>286</v>
      </c>
      <c r="CZ6" s="403" t="s">
        <v>288</v>
      </c>
      <c r="DA6" s="404"/>
      <c r="DB6" s="404"/>
      <c r="DC6" s="405"/>
      <c r="DD6" s="382"/>
      <c r="DE6" s="62" t="s">
        <v>31</v>
      </c>
      <c r="DF6" s="123">
        <f>DC22+DC38</f>
        <v>1804950</v>
      </c>
      <c r="DG6" s="64">
        <f>DF6/DA16</f>
        <v>85.95</v>
      </c>
      <c r="DH6" s="65">
        <f>DF6/DC17</f>
        <v>75.633579725448783</v>
      </c>
    </row>
    <row r="7" spans="1:112" ht="15" thickBot="1" x14ac:dyDescent="0.25">
      <c r="B7" s="16" t="s">
        <v>289</v>
      </c>
      <c r="C7" s="526" t="s">
        <v>428</v>
      </c>
      <c r="D7" s="526"/>
      <c r="E7" s="526"/>
      <c r="F7" s="527"/>
      <c r="H7" s="27" t="s">
        <v>44</v>
      </c>
      <c r="I7" s="56">
        <f>K34+J20</f>
        <v>340095.07759599999</v>
      </c>
      <c r="J7" s="10">
        <f>I7/D16</f>
        <v>16.195003695047617</v>
      </c>
      <c r="K7" s="11">
        <f>I7/F17</f>
        <v>14.251147214931025</v>
      </c>
      <c r="M7" s="16" t="s">
        <v>289</v>
      </c>
      <c r="N7" s="403" t="s">
        <v>290</v>
      </c>
      <c r="O7" s="404"/>
      <c r="P7" s="404"/>
      <c r="Q7" s="405"/>
      <c r="S7" s="27" t="s">
        <v>44</v>
      </c>
      <c r="T7" s="56">
        <f>V35+U21</f>
        <v>389584.00550750003</v>
      </c>
      <c r="U7" s="10">
        <f>T7/O16</f>
        <v>18.551619309880955</v>
      </c>
      <c r="V7" s="11">
        <f>T7/Q17</f>
        <v>16.324902595812173</v>
      </c>
      <c r="X7" s="16" t="s">
        <v>289</v>
      </c>
      <c r="Y7" s="403" t="s">
        <v>290</v>
      </c>
      <c r="Z7" s="404"/>
      <c r="AA7" s="404"/>
      <c r="AB7" s="405"/>
      <c r="AD7" s="27" t="s">
        <v>44</v>
      </c>
      <c r="AE7" s="56">
        <f>AG35+AF21</f>
        <v>358436.96</v>
      </c>
      <c r="AF7" s="10">
        <f>AE7/Z16</f>
        <v>17.068426666666667</v>
      </c>
      <c r="AG7" s="11">
        <f>AE7/AB17</f>
        <v>15.019734835151942</v>
      </c>
      <c r="AI7" s="16" t="s">
        <v>289</v>
      </c>
      <c r="AJ7" s="403" t="s">
        <v>290</v>
      </c>
      <c r="AK7" s="404"/>
      <c r="AL7" s="404"/>
      <c r="AM7" s="405"/>
      <c r="AO7" s="27" t="s">
        <v>44</v>
      </c>
      <c r="AP7" s="56">
        <f>AR35+AQ21</f>
        <v>300425.8</v>
      </c>
      <c r="AQ7" s="10">
        <f>AP7/AK16</f>
        <v>14.305990476190475</v>
      </c>
      <c r="AR7" s="11">
        <f>AP7/AM17</f>
        <v>12.58886877524681</v>
      </c>
      <c r="AT7" s="16" t="s">
        <v>289</v>
      </c>
      <c r="AU7" s="403" t="s">
        <v>290</v>
      </c>
      <c r="AV7" s="404"/>
      <c r="AW7" s="404"/>
      <c r="AX7" s="405"/>
      <c r="AZ7" s="27" t="s">
        <v>44</v>
      </c>
      <c r="BA7" s="56">
        <f>BC35+BB21</f>
        <v>286068.53999999998</v>
      </c>
      <c r="BB7" s="10">
        <f>BA7/AV16</f>
        <v>13.622311428571427</v>
      </c>
      <c r="BC7" s="11">
        <f>BA7/AX17</f>
        <v>11.987250465127971</v>
      </c>
      <c r="BE7" s="16" t="s">
        <v>289</v>
      </c>
      <c r="BF7" s="403" t="s">
        <v>290</v>
      </c>
      <c r="BG7" s="404"/>
      <c r="BH7" s="404"/>
      <c r="BI7" s="405"/>
      <c r="BK7" s="27" t="s">
        <v>44</v>
      </c>
      <c r="BL7" s="56">
        <f>BN35+BM21</f>
        <v>293568.78000000003</v>
      </c>
      <c r="BM7" s="10">
        <f>BL7/BG16</f>
        <v>13.979465714285716</v>
      </c>
      <c r="BN7" s="11">
        <f>BL7/BI17</f>
        <v>12.301536179413688</v>
      </c>
      <c r="BP7" s="16" t="s">
        <v>289</v>
      </c>
      <c r="BQ7" s="403" t="s">
        <v>290</v>
      </c>
      <c r="BR7" s="404"/>
      <c r="BS7" s="404"/>
      <c r="BT7" s="405"/>
      <c r="BV7" s="27" t="s">
        <v>44</v>
      </c>
      <c r="BW7" s="56">
        <f>BY35+BX21</f>
        <v>306756.78000000003</v>
      </c>
      <c r="BX7" s="10">
        <f>BW7/BR16</f>
        <v>14.607465714285716</v>
      </c>
      <c r="BY7" s="11">
        <f>BW7/BT17</f>
        <v>12.854158495499574</v>
      </c>
      <c r="CB7" s="16" t="s">
        <v>289</v>
      </c>
      <c r="CC7" s="403" t="s">
        <v>290</v>
      </c>
      <c r="CD7" s="404"/>
      <c r="CE7" s="404"/>
      <c r="CF7" s="405"/>
      <c r="CH7" s="27" t="s">
        <v>44</v>
      </c>
      <c r="CI7" s="56">
        <f>CK35+CJ21</f>
        <v>335060.63</v>
      </c>
      <c r="CJ7" s="10">
        <f>CI7/CD16</f>
        <v>15.955268095238095</v>
      </c>
      <c r="CK7" s="11">
        <f>CI7/CF17</f>
        <v>14.040186637837113</v>
      </c>
      <c r="CN7" s="16" t="s">
        <v>289</v>
      </c>
      <c r="CO7" s="403" t="s">
        <v>290</v>
      </c>
      <c r="CP7" s="404"/>
      <c r="CQ7" s="404"/>
      <c r="CR7" s="405"/>
      <c r="CT7" s="27" t="s">
        <v>44</v>
      </c>
      <c r="CU7" s="56">
        <f>CW35+CV21</f>
        <v>335060.63</v>
      </c>
      <c r="CV7" s="10">
        <f>CU7/CP16</f>
        <v>15.955268095238095</v>
      </c>
      <c r="CW7" s="11">
        <f>CU7/CR17</f>
        <v>14.040186637837113</v>
      </c>
      <c r="CY7" s="16" t="s">
        <v>289</v>
      </c>
      <c r="CZ7" s="403" t="s">
        <v>290</v>
      </c>
      <c r="DA7" s="404"/>
      <c r="DB7" s="404"/>
      <c r="DC7" s="405"/>
      <c r="DE7" s="27" t="s">
        <v>44</v>
      </c>
      <c r="DF7" s="56">
        <f>DH35+DG21</f>
        <v>335060.63</v>
      </c>
      <c r="DG7" s="10">
        <f>DF7/DA16</f>
        <v>15.955268095238095</v>
      </c>
      <c r="DH7" s="11">
        <f>DF7/DC17</f>
        <v>14.040186637837113</v>
      </c>
    </row>
    <row r="8" spans="1:112" ht="15" thickBot="1" x14ac:dyDescent="0.25">
      <c r="B8" s="16" t="s">
        <v>291</v>
      </c>
      <c r="C8" s="515">
        <v>44669</v>
      </c>
      <c r="D8" s="515"/>
      <c r="E8" s="72" t="s">
        <v>292</v>
      </c>
      <c r="F8" s="73">
        <v>44791</v>
      </c>
      <c r="H8" s="22" t="s">
        <v>53</v>
      </c>
      <c r="I8" s="57">
        <f>I6+I7</f>
        <v>1990254.0775959999</v>
      </c>
      <c r="J8" s="12">
        <f>I8/D16</f>
        <v>94.774003695047611</v>
      </c>
      <c r="K8" s="13">
        <f>I8/F17</f>
        <v>83.398454501097859</v>
      </c>
      <c r="M8" s="16" t="s">
        <v>291</v>
      </c>
      <c r="N8" s="515">
        <v>44789</v>
      </c>
      <c r="O8" s="515"/>
      <c r="P8" s="72" t="s">
        <v>292</v>
      </c>
      <c r="Q8" s="73">
        <v>44828</v>
      </c>
      <c r="S8" s="22" t="s">
        <v>53</v>
      </c>
      <c r="T8" s="57">
        <f>T6+T7</f>
        <v>2523618.4115074999</v>
      </c>
      <c r="U8" s="12">
        <f>T8/O16</f>
        <v>120.17230530988094</v>
      </c>
      <c r="V8" s="13">
        <f>T8/Q17</f>
        <v>105.74824472886391</v>
      </c>
      <c r="X8" s="16" t="s">
        <v>291</v>
      </c>
      <c r="Y8" s="459">
        <v>44806</v>
      </c>
      <c r="Z8" s="460"/>
      <c r="AA8" s="16" t="s">
        <v>292</v>
      </c>
      <c r="AB8" s="50">
        <v>44846</v>
      </c>
      <c r="AD8" s="22" t="s">
        <v>53</v>
      </c>
      <c r="AE8" s="57">
        <f>AE6+AE7</f>
        <v>2461523.96</v>
      </c>
      <c r="AF8" s="12">
        <f>AE8/Z16</f>
        <v>117.21542666666666</v>
      </c>
      <c r="AG8" s="13">
        <f>AE8/AB17</f>
        <v>103.14627478587352</v>
      </c>
      <c r="AI8" s="16" t="s">
        <v>291</v>
      </c>
      <c r="AJ8" s="459">
        <v>44861</v>
      </c>
      <c r="AK8" s="460"/>
      <c r="AL8" s="16" t="s">
        <v>292</v>
      </c>
      <c r="AM8" s="50">
        <v>44895</v>
      </c>
      <c r="AO8" s="22" t="s">
        <v>53</v>
      </c>
      <c r="AP8" s="57">
        <f>AP6+AP7</f>
        <v>2178755.0499999998</v>
      </c>
      <c r="AQ8" s="12">
        <f>AP8/AK16</f>
        <v>103.75024047619047</v>
      </c>
      <c r="AR8" s="13">
        <f>AP8/AM17</f>
        <v>91.297290105764219</v>
      </c>
      <c r="AT8" s="16" t="s">
        <v>291</v>
      </c>
      <c r="AU8" s="459">
        <v>44909</v>
      </c>
      <c r="AV8" s="460"/>
      <c r="AW8" s="16" t="s">
        <v>292</v>
      </c>
      <c r="AX8" s="50">
        <v>44962</v>
      </c>
      <c r="AZ8" s="22" t="s">
        <v>53</v>
      </c>
      <c r="BA8" s="124">
        <f>BA6+BA7</f>
        <v>2065178.25</v>
      </c>
      <c r="BB8" s="12">
        <f>BA8/AV16</f>
        <v>98.341821428571436</v>
      </c>
      <c r="BC8" s="13">
        <f>BA8/AX17</f>
        <v>86.538033640066374</v>
      </c>
      <c r="BE8" s="16" t="s">
        <v>291</v>
      </c>
      <c r="BF8" s="459">
        <v>45085</v>
      </c>
      <c r="BG8" s="460"/>
      <c r="BH8" s="16" t="s">
        <v>292</v>
      </c>
      <c r="BI8" s="50">
        <v>45132</v>
      </c>
      <c r="BK8" s="22" t="s">
        <v>53</v>
      </c>
      <c r="BL8" s="124">
        <f>BL6+BL7</f>
        <v>1654931.2439999999</v>
      </c>
      <c r="BM8" s="12">
        <f>BL8/BG16</f>
        <v>78.806249714285713</v>
      </c>
      <c r="BN8" s="13">
        <f>BL8/BI17</f>
        <v>69.347280635591076</v>
      </c>
      <c r="BP8" s="16" t="s">
        <v>291</v>
      </c>
      <c r="BQ8" s="459">
        <v>45201</v>
      </c>
      <c r="BR8" s="460"/>
      <c r="BS8" s="16" t="s">
        <v>292</v>
      </c>
      <c r="BT8" s="50">
        <v>45256</v>
      </c>
      <c r="BV8" s="22" t="s">
        <v>53</v>
      </c>
      <c r="BW8" s="124">
        <f>BW6+BW7</f>
        <v>1759109.0519999999</v>
      </c>
      <c r="BX8" s="12">
        <f>BW8/BR16</f>
        <v>83.767097714285711</v>
      </c>
      <c r="BY8" s="13">
        <f>BW8/BT17</f>
        <v>73.712687182581575</v>
      </c>
      <c r="CB8" s="16" t="s">
        <v>291</v>
      </c>
      <c r="CC8" s="459">
        <v>45280</v>
      </c>
      <c r="CD8" s="460"/>
      <c r="CE8" s="16" t="s">
        <v>292</v>
      </c>
      <c r="CF8" s="50">
        <v>45314</v>
      </c>
      <c r="CH8" s="22" t="s">
        <v>53</v>
      </c>
      <c r="CI8" s="124">
        <f>CI6+CI7</f>
        <v>1766860.37</v>
      </c>
      <c r="CJ8" s="12">
        <f>CI8/CD16</f>
        <v>84.136208095238104</v>
      </c>
      <c r="CK8" s="13">
        <f>CI8/CF17</f>
        <v>74.037493924003954</v>
      </c>
      <c r="CN8" s="16" t="s">
        <v>291</v>
      </c>
      <c r="CO8" s="459">
        <v>45280</v>
      </c>
      <c r="CP8" s="460"/>
      <c r="CQ8" s="16" t="s">
        <v>292</v>
      </c>
      <c r="CR8" s="50">
        <v>45314</v>
      </c>
      <c r="CT8" s="22" t="s">
        <v>53</v>
      </c>
      <c r="CU8" s="124">
        <f>CU6+CU7</f>
        <v>2067245.63</v>
      </c>
      <c r="CV8" s="12">
        <f>CU8/CP16</f>
        <v>98.440268095238096</v>
      </c>
      <c r="CW8" s="13">
        <f>CU8/CR17</f>
        <v>86.624663934563614</v>
      </c>
      <c r="CY8" s="16" t="s">
        <v>291</v>
      </c>
      <c r="CZ8" s="459">
        <v>45280</v>
      </c>
      <c r="DA8" s="460"/>
      <c r="DB8" s="16" t="s">
        <v>292</v>
      </c>
      <c r="DC8" s="50">
        <v>45314</v>
      </c>
      <c r="DE8" s="22" t="s">
        <v>53</v>
      </c>
      <c r="DF8" s="124">
        <f>DF6+DF7</f>
        <v>2140010.63</v>
      </c>
      <c r="DG8" s="12">
        <f>DF8/DA16</f>
        <v>101.90526809523809</v>
      </c>
      <c r="DH8" s="13">
        <f>DF8/DC17</f>
        <v>89.673766363285893</v>
      </c>
    </row>
    <row r="9" spans="1:112" ht="15" thickBot="1" x14ac:dyDescent="0.25">
      <c r="B9" s="16" t="s">
        <v>293</v>
      </c>
      <c r="C9" s="526" t="s">
        <v>45</v>
      </c>
      <c r="D9" s="526"/>
      <c r="E9" s="526"/>
      <c r="F9" s="527"/>
      <c r="H9" s="60" t="s">
        <v>57</v>
      </c>
      <c r="I9" s="58">
        <f>I8-J20</f>
        <v>1776325.498925</v>
      </c>
      <c r="J9" s="59">
        <f>I9/D16</f>
        <v>84.586928520238089</v>
      </c>
      <c r="K9" s="61">
        <f>I9/F17</f>
        <v>74.434115206122925</v>
      </c>
      <c r="M9" s="16" t="s">
        <v>293</v>
      </c>
      <c r="N9" s="526" t="s">
        <v>45</v>
      </c>
      <c r="O9" s="526"/>
      <c r="P9" s="526"/>
      <c r="Q9" s="527"/>
      <c r="S9" s="60" t="s">
        <v>57</v>
      </c>
      <c r="T9" s="58">
        <f>T8-U21</f>
        <v>2248942.0115075</v>
      </c>
      <c r="U9" s="59">
        <f>T9/O16</f>
        <v>107.09247673845238</v>
      </c>
      <c r="V9" s="61">
        <f>T9/Q17</f>
        <v>94.238363902193214</v>
      </c>
      <c r="X9" s="17" t="s">
        <v>293</v>
      </c>
      <c r="Y9" s="403" t="s">
        <v>45</v>
      </c>
      <c r="Z9" s="404"/>
      <c r="AA9" s="404"/>
      <c r="AB9" s="405"/>
      <c r="AD9" s="60" t="s">
        <v>57</v>
      </c>
      <c r="AE9" s="58">
        <f>AE8-AF21</f>
        <v>2229046.71</v>
      </c>
      <c r="AF9" s="59">
        <f>AE9/Z16</f>
        <v>106.14508142857143</v>
      </c>
      <c r="AG9" s="61">
        <f>AE9/AB17</f>
        <v>93.404682707296217</v>
      </c>
      <c r="AI9" s="17" t="s">
        <v>293</v>
      </c>
      <c r="AJ9" s="403" t="s">
        <v>45</v>
      </c>
      <c r="AK9" s="404"/>
      <c r="AL9" s="404"/>
      <c r="AM9" s="405"/>
      <c r="AO9" s="60" t="s">
        <v>57</v>
      </c>
      <c r="AP9" s="58">
        <f>AP8-AQ21</f>
        <v>1990571.2399999998</v>
      </c>
      <c r="AQ9" s="59">
        <f>AP9/AK16</f>
        <v>94.789106666666655</v>
      </c>
      <c r="AR9" s="61">
        <f>AP9/AM17</f>
        <v>83.411744690836542</v>
      </c>
      <c r="AT9" s="17" t="s">
        <v>293</v>
      </c>
      <c r="AU9" s="403" t="s">
        <v>45</v>
      </c>
      <c r="AV9" s="404"/>
      <c r="AW9" s="404"/>
      <c r="AX9" s="405"/>
      <c r="AZ9" s="60" t="s">
        <v>57</v>
      </c>
      <c r="BA9" s="125">
        <f>BA8-BB21</f>
        <v>1889758.23</v>
      </c>
      <c r="BB9" s="59">
        <f>BA9/AV16</f>
        <v>89.988487142857139</v>
      </c>
      <c r="BC9" s="61">
        <f>BA9/AX17</f>
        <v>79.187334691004168</v>
      </c>
      <c r="BE9" s="17" t="s">
        <v>293</v>
      </c>
      <c r="BF9" s="403" t="s">
        <v>45</v>
      </c>
      <c r="BG9" s="404"/>
      <c r="BH9" s="404"/>
      <c r="BI9" s="405"/>
      <c r="BK9" s="60" t="s">
        <v>57</v>
      </c>
      <c r="BL9" s="125">
        <f>BL8-BM21</f>
        <v>1474822.304</v>
      </c>
      <c r="BM9" s="59">
        <f>BL9/BG16</f>
        <v>70.229633523809525</v>
      </c>
      <c r="BN9" s="61">
        <f>BL9/BI17</f>
        <v>61.800099897755651</v>
      </c>
      <c r="BP9" s="17" t="s">
        <v>293</v>
      </c>
      <c r="BQ9" s="403" t="s">
        <v>45</v>
      </c>
      <c r="BR9" s="404"/>
      <c r="BS9" s="404"/>
      <c r="BT9" s="405"/>
      <c r="BV9" s="60" t="s">
        <v>57</v>
      </c>
      <c r="BW9" s="125">
        <f>BW8-BX21</f>
        <v>1570680.162</v>
      </c>
      <c r="BX9" s="59">
        <f>BW9/BR16</f>
        <v>74.794293428571436</v>
      </c>
      <c r="BY9" s="61">
        <f>BW9/BT17</f>
        <v>65.816872077236383</v>
      </c>
      <c r="CB9" s="17" t="s">
        <v>293</v>
      </c>
      <c r="CC9" s="403" t="s">
        <v>45</v>
      </c>
      <c r="CD9" s="404"/>
      <c r="CE9" s="404"/>
      <c r="CF9" s="405"/>
      <c r="CH9" s="60" t="s">
        <v>57</v>
      </c>
      <c r="CI9" s="125">
        <f>CI8-CJ21</f>
        <v>1550134.28</v>
      </c>
      <c r="CJ9" s="59">
        <f>CI9/CD16</f>
        <v>73.815918095238104</v>
      </c>
      <c r="CK9" s="61">
        <f>CI9/CF17</f>
        <v>64.955929334070831</v>
      </c>
      <c r="CN9" s="17" t="s">
        <v>293</v>
      </c>
      <c r="CO9" s="403" t="s">
        <v>45</v>
      </c>
      <c r="CP9" s="404"/>
      <c r="CQ9" s="404"/>
      <c r="CR9" s="405"/>
      <c r="CT9" s="60" t="s">
        <v>57</v>
      </c>
      <c r="CU9" s="125">
        <f>CU8-CV21</f>
        <v>1850519.5399999998</v>
      </c>
      <c r="CV9" s="59">
        <f>CU9/CP16</f>
        <v>88.119978095238082</v>
      </c>
      <c r="CW9" s="61">
        <f>CU9/CR17</f>
        <v>77.543099344630477</v>
      </c>
      <c r="CY9" s="17" t="s">
        <v>293</v>
      </c>
      <c r="CZ9" s="403" t="s">
        <v>45</v>
      </c>
      <c r="DA9" s="404"/>
      <c r="DB9" s="404"/>
      <c r="DC9" s="405"/>
      <c r="DE9" s="60" t="s">
        <v>57</v>
      </c>
      <c r="DF9" s="125">
        <f>DF8-DG21</f>
        <v>1923284.5399999998</v>
      </c>
      <c r="DG9" s="59">
        <f>DF9/DA16</f>
        <v>91.584978095238085</v>
      </c>
      <c r="DH9" s="61">
        <f>DF9/DC17</f>
        <v>80.59220177335277</v>
      </c>
    </row>
    <row r="10" spans="1:112" ht="15" thickBot="1" x14ac:dyDescent="0.25">
      <c r="B10" s="17"/>
      <c r="C10" s="519"/>
      <c r="D10" s="519"/>
      <c r="E10" s="519"/>
      <c r="F10" s="520"/>
      <c r="H10" s="70" t="s">
        <v>61</v>
      </c>
      <c r="I10" s="89">
        <f>F22+J20+F38</f>
        <v>1864087.578671</v>
      </c>
      <c r="J10" s="71">
        <f>I10/D16</f>
        <v>88.766075174809515</v>
      </c>
      <c r="K10" s="239">
        <f>I10/F17</f>
        <v>78.111646581141784</v>
      </c>
      <c r="M10" s="17"/>
      <c r="N10" s="519"/>
      <c r="O10" s="519"/>
      <c r="P10" s="519"/>
      <c r="Q10" s="520"/>
      <c r="S10" s="70" t="s">
        <v>61</v>
      </c>
      <c r="T10" s="89">
        <f>Q22+U21+Q38</f>
        <v>2408710.8059999999</v>
      </c>
      <c r="U10" s="71">
        <f>T10/O16</f>
        <v>114.70051457142857</v>
      </c>
      <c r="V10" s="239">
        <f>T10/Q17</f>
        <v>100.93322295972241</v>
      </c>
      <c r="X10" s="54"/>
      <c r="Y10" s="55"/>
      <c r="Z10" s="55"/>
      <c r="AA10" s="55"/>
      <c r="AB10" s="55"/>
      <c r="AD10" s="70" t="s">
        <v>61</v>
      </c>
      <c r="AE10" s="89">
        <f>AB22+AF21+AB38</f>
        <v>2335564.25</v>
      </c>
      <c r="AF10" s="71">
        <f>AE10/Z16</f>
        <v>111.21734523809523</v>
      </c>
      <c r="AG10" s="239">
        <f>AE10/AB17</f>
        <v>97.868132029298863</v>
      </c>
      <c r="AI10" s="54"/>
      <c r="AJ10" s="55"/>
      <c r="AK10" s="55"/>
      <c r="AL10" s="55"/>
      <c r="AM10" s="55"/>
      <c r="AO10" s="70" t="s">
        <v>61</v>
      </c>
      <c r="AP10" s="89">
        <f>AM22+AQ21+AM38</f>
        <v>2066513.06</v>
      </c>
      <c r="AQ10" s="71">
        <f>AP10/AK16</f>
        <v>98.405383809523812</v>
      </c>
      <c r="AR10" s="240">
        <f>AP10/AM17</f>
        <v>86.593966745445101</v>
      </c>
      <c r="AT10" s="54"/>
      <c r="AU10" s="55"/>
      <c r="AV10" s="55"/>
      <c r="AW10" s="55"/>
      <c r="AX10" s="55"/>
      <c r="AZ10" s="70" t="s">
        <v>61</v>
      </c>
      <c r="BA10" s="89">
        <f>AX22+BB21+AX38</f>
        <v>1954529.73</v>
      </c>
      <c r="BB10" s="71">
        <f>BA10/AV16</f>
        <v>93.072844285714282</v>
      </c>
      <c r="BC10" s="240">
        <f>BA10/AX17</f>
        <v>81.901482124000594</v>
      </c>
      <c r="BE10" s="54"/>
      <c r="BF10" s="55"/>
      <c r="BG10" s="55"/>
      <c r="BH10" s="55"/>
      <c r="BI10" s="55"/>
      <c r="BK10" s="70" t="s">
        <v>61</v>
      </c>
      <c r="BL10" s="89">
        <f>BI22+BM21+BI38</f>
        <v>1541471.4039999999</v>
      </c>
      <c r="BM10" s="71">
        <f>BL10/BG16</f>
        <v>73.403400190476191</v>
      </c>
      <c r="BN10" s="238">
        <f>BL10/BI17</f>
        <v>64.592925194012835</v>
      </c>
      <c r="BP10" s="54"/>
      <c r="BQ10" s="55"/>
      <c r="BR10" s="55"/>
      <c r="BS10" s="55"/>
      <c r="BT10" s="55"/>
      <c r="BV10" s="70" t="s">
        <v>61</v>
      </c>
      <c r="BW10" s="89">
        <f>BT22+BX21+BT38</f>
        <v>1640781.162</v>
      </c>
      <c r="BX10" s="71">
        <f>BW10/BR16</f>
        <v>78.132436285714292</v>
      </c>
      <c r="BY10" s="238">
        <f>BW10/BT17</f>
        <v>68.754343792427207</v>
      </c>
      <c r="CB10" s="54"/>
      <c r="CC10" s="55"/>
      <c r="CD10" s="55"/>
      <c r="CE10" s="55"/>
      <c r="CF10" s="55"/>
      <c r="CH10" s="70" t="s">
        <v>61</v>
      </c>
      <c r="CI10" s="89">
        <f>CF22+CJ21+CF38</f>
        <v>1648525.83</v>
      </c>
      <c r="CJ10" s="71">
        <f>CI10/CD16</f>
        <v>78.501230000000007</v>
      </c>
      <c r="CK10" s="240">
        <f>CI10/CF17</f>
        <v>69.078871876099967</v>
      </c>
      <c r="CN10" s="54"/>
      <c r="CO10" s="55"/>
      <c r="CP10" s="55"/>
      <c r="CQ10" s="55"/>
      <c r="CR10" s="55"/>
      <c r="CT10" s="70" t="s">
        <v>61</v>
      </c>
      <c r="CU10" s="89">
        <f>CR22+CV21+CR38</f>
        <v>1948911.09</v>
      </c>
      <c r="CV10" s="71">
        <f>CU10/CP16</f>
        <v>92.805289999999999</v>
      </c>
      <c r="CW10" s="240">
        <f>CU10/CR17</f>
        <v>81.666041886659627</v>
      </c>
      <c r="CY10" s="54"/>
      <c r="CZ10" s="55"/>
      <c r="DA10" s="55"/>
      <c r="DB10" s="55"/>
      <c r="DC10" s="55"/>
      <c r="DE10" s="70" t="s">
        <v>61</v>
      </c>
      <c r="DF10" s="89">
        <f>DC22+DG21+DC38</f>
        <v>2021676.09</v>
      </c>
      <c r="DG10" s="71">
        <f>DF10/DA16</f>
        <v>96.270290000000003</v>
      </c>
      <c r="DH10" s="240">
        <f>DF10/DC17</f>
        <v>84.715144315381906</v>
      </c>
    </row>
    <row r="11" spans="1:112" ht="8.25" customHeight="1" thickBot="1" x14ac:dyDescent="0.25">
      <c r="H11" s="5"/>
      <c r="I11" s="5"/>
      <c r="J11" s="5"/>
      <c r="K11" s="5"/>
      <c r="S11" s="5"/>
      <c r="T11" s="5"/>
      <c r="U11" s="5"/>
      <c r="V11" s="5"/>
      <c r="AD11" s="5"/>
      <c r="AE11" s="5"/>
      <c r="AF11" s="5"/>
      <c r="AG11" s="5"/>
      <c r="AO11" s="5"/>
      <c r="AP11" s="5"/>
      <c r="AQ11" s="5"/>
      <c r="AR11" s="5"/>
      <c r="AZ11" s="5"/>
      <c r="BA11" s="5"/>
      <c r="BB11" s="5"/>
      <c r="BC11" s="5"/>
      <c r="BK11" s="5"/>
      <c r="BL11" s="5"/>
      <c r="BM11" s="5"/>
      <c r="BN11" s="5"/>
      <c r="BV11" s="5"/>
      <c r="BW11" s="5"/>
      <c r="BX11" s="5"/>
      <c r="BY11" s="5"/>
      <c r="CH11" s="5"/>
      <c r="CI11" s="5"/>
      <c r="CJ11" s="5"/>
      <c r="CK11" s="5"/>
      <c r="CT11" s="5"/>
      <c r="CU11" s="5"/>
      <c r="CV11" s="5"/>
      <c r="CW11" s="5"/>
      <c r="DE11" s="5"/>
      <c r="DF11" s="5"/>
      <c r="DG11" s="5"/>
      <c r="DH11" s="5"/>
    </row>
    <row r="12" spans="1:112" ht="18.75" thickBot="1" x14ac:dyDescent="0.25">
      <c r="B12" s="416" t="s">
        <v>72</v>
      </c>
      <c r="C12" s="417"/>
      <c r="D12" s="417"/>
      <c r="E12" s="417"/>
      <c r="F12" s="417"/>
      <c r="G12" s="417"/>
      <c r="H12" s="417"/>
      <c r="I12" s="417"/>
      <c r="J12" s="417"/>
      <c r="K12" s="418"/>
      <c r="M12" s="416" t="s">
        <v>72</v>
      </c>
      <c r="N12" s="417"/>
      <c r="O12" s="417"/>
      <c r="P12" s="417"/>
      <c r="Q12" s="417"/>
      <c r="R12" s="417"/>
      <c r="S12" s="417"/>
      <c r="T12" s="417"/>
      <c r="U12" s="417"/>
      <c r="V12" s="418"/>
      <c r="X12" s="416" t="s">
        <v>72</v>
      </c>
      <c r="Y12" s="417"/>
      <c r="Z12" s="417"/>
      <c r="AA12" s="417"/>
      <c r="AB12" s="417"/>
      <c r="AC12" s="417"/>
      <c r="AD12" s="417"/>
      <c r="AE12" s="417"/>
      <c r="AF12" s="417"/>
      <c r="AG12" s="418"/>
      <c r="AI12" s="416" t="s">
        <v>72</v>
      </c>
      <c r="AJ12" s="417"/>
      <c r="AK12" s="417"/>
      <c r="AL12" s="417"/>
      <c r="AM12" s="417"/>
      <c r="AN12" s="417"/>
      <c r="AO12" s="417"/>
      <c r="AP12" s="417"/>
      <c r="AQ12" s="417"/>
      <c r="AR12" s="418"/>
      <c r="AT12" s="416" t="s">
        <v>72</v>
      </c>
      <c r="AU12" s="417"/>
      <c r="AV12" s="417"/>
      <c r="AW12" s="417"/>
      <c r="AX12" s="417"/>
      <c r="AY12" s="417"/>
      <c r="AZ12" s="417"/>
      <c r="BA12" s="417"/>
      <c r="BB12" s="417"/>
      <c r="BC12" s="418"/>
      <c r="BE12" s="416" t="s">
        <v>72</v>
      </c>
      <c r="BF12" s="417"/>
      <c r="BG12" s="417"/>
      <c r="BH12" s="417"/>
      <c r="BI12" s="417"/>
      <c r="BJ12" s="417"/>
      <c r="BK12" s="417"/>
      <c r="BL12" s="417"/>
      <c r="BM12" s="417"/>
      <c r="BN12" s="418"/>
      <c r="BP12" s="416" t="s">
        <v>72</v>
      </c>
      <c r="BQ12" s="417"/>
      <c r="BR12" s="417"/>
      <c r="BS12" s="417"/>
      <c r="BT12" s="417"/>
      <c r="BU12" s="417"/>
      <c r="BV12" s="417"/>
      <c r="BW12" s="417"/>
      <c r="BX12" s="417"/>
      <c r="BY12" s="418"/>
      <c r="CB12" s="416" t="s">
        <v>72</v>
      </c>
      <c r="CC12" s="417"/>
      <c r="CD12" s="417"/>
      <c r="CE12" s="417"/>
      <c r="CF12" s="417"/>
      <c r="CG12" s="417"/>
      <c r="CH12" s="417"/>
      <c r="CI12" s="417"/>
      <c r="CJ12" s="417"/>
      <c r="CK12" s="418"/>
      <c r="CN12" s="416" t="s">
        <v>72</v>
      </c>
      <c r="CO12" s="417"/>
      <c r="CP12" s="417"/>
      <c r="CQ12" s="417"/>
      <c r="CR12" s="417"/>
      <c r="CS12" s="417"/>
      <c r="CT12" s="417"/>
      <c r="CU12" s="417"/>
      <c r="CV12" s="417"/>
      <c r="CW12" s="418"/>
      <c r="CY12" s="416" t="s">
        <v>72</v>
      </c>
      <c r="CZ12" s="417"/>
      <c r="DA12" s="417"/>
      <c r="DB12" s="417"/>
      <c r="DC12" s="417"/>
      <c r="DD12" s="417"/>
      <c r="DE12" s="417"/>
      <c r="DF12" s="417"/>
      <c r="DG12" s="417"/>
      <c r="DH12" s="418"/>
    </row>
    <row r="13" spans="1:112" ht="6.75" customHeight="1" x14ac:dyDescent="0.2">
      <c r="H13" s="5"/>
      <c r="I13" s="5"/>
      <c r="J13" s="5"/>
      <c r="K13" s="5"/>
      <c r="S13" s="5"/>
      <c r="T13" s="5"/>
      <c r="U13" s="5"/>
      <c r="V13" s="5"/>
      <c r="AD13" s="5"/>
      <c r="AE13" s="5"/>
      <c r="AF13" s="5"/>
      <c r="AG13" s="5"/>
      <c r="AO13" s="5"/>
      <c r="AP13" s="5"/>
      <c r="AQ13" s="5"/>
      <c r="AR13" s="5"/>
      <c r="AZ13" s="5"/>
      <c r="BA13" s="5"/>
      <c r="BB13" s="5"/>
      <c r="BC13" s="5"/>
      <c r="BK13" s="5"/>
      <c r="BL13" s="5"/>
      <c r="BM13" s="5"/>
      <c r="BN13" s="5"/>
      <c r="BV13" s="5"/>
      <c r="BW13" s="5"/>
      <c r="BX13" s="5"/>
      <c r="BY13" s="5"/>
      <c r="CH13" s="5"/>
      <c r="CI13" s="5"/>
      <c r="CJ13" s="5"/>
      <c r="CK13" s="5"/>
      <c r="CT13" s="5"/>
      <c r="CU13" s="5"/>
      <c r="CV13" s="5"/>
      <c r="CW13" s="5"/>
      <c r="DE13" s="5"/>
      <c r="DF13" s="5"/>
      <c r="DG13" s="5"/>
      <c r="DH13" s="5"/>
    </row>
    <row r="14" spans="1:112" ht="6.75" customHeight="1" thickBot="1" x14ac:dyDescent="0.25">
      <c r="H14" s="5"/>
      <c r="I14" s="5"/>
      <c r="J14" s="5"/>
      <c r="K14" s="5"/>
      <c r="S14" s="5"/>
      <c r="T14" s="5"/>
      <c r="U14" s="5"/>
      <c r="V14" s="5"/>
      <c r="W14" s="18"/>
      <c r="AD14" s="5"/>
      <c r="AE14" s="5"/>
      <c r="AF14" s="5"/>
      <c r="AG14" s="5"/>
      <c r="AO14" s="5"/>
      <c r="AP14" s="5"/>
      <c r="AQ14" s="5"/>
      <c r="AR14" s="5"/>
      <c r="AZ14" s="5"/>
      <c r="BA14" s="5"/>
      <c r="BB14" s="5"/>
      <c r="BC14" s="5"/>
      <c r="BK14" s="5"/>
      <c r="BL14" s="5"/>
      <c r="BM14" s="5"/>
      <c r="BN14" s="5"/>
      <c r="BV14" s="5"/>
      <c r="BW14" s="5"/>
      <c r="BX14" s="5"/>
      <c r="BY14" s="5"/>
      <c r="CH14" s="5"/>
      <c r="CI14" s="5"/>
      <c r="CJ14" s="5"/>
      <c r="CK14" s="5"/>
      <c r="CT14" s="5"/>
      <c r="CU14" s="5"/>
      <c r="CV14" s="5"/>
      <c r="CW14" s="5"/>
      <c r="DE14" s="5"/>
      <c r="DF14" s="5"/>
      <c r="DG14" s="5"/>
      <c r="DH14" s="5"/>
    </row>
    <row r="15" spans="1:112" x14ac:dyDescent="0.2">
      <c r="B15" s="449" t="s">
        <v>85</v>
      </c>
      <c r="C15" s="450"/>
      <c r="D15" s="450"/>
      <c r="E15" s="450"/>
      <c r="F15" s="451"/>
      <c r="H15" s="425" t="s">
        <v>86</v>
      </c>
      <c r="I15" s="426"/>
      <c r="J15" s="426"/>
      <c r="K15" s="427"/>
      <c r="M15" s="449" t="s">
        <v>85</v>
      </c>
      <c r="N15" s="450"/>
      <c r="O15" s="450"/>
      <c r="P15" s="450"/>
      <c r="Q15" s="451"/>
      <c r="S15" s="425" t="s">
        <v>86</v>
      </c>
      <c r="T15" s="426"/>
      <c r="U15" s="426"/>
      <c r="V15" s="427"/>
      <c r="X15" s="449" t="s">
        <v>85</v>
      </c>
      <c r="Y15" s="450"/>
      <c r="Z15" s="450"/>
      <c r="AA15" s="450"/>
      <c r="AB15" s="451"/>
      <c r="AD15" s="425" t="s">
        <v>86</v>
      </c>
      <c r="AE15" s="426"/>
      <c r="AF15" s="426"/>
      <c r="AG15" s="427"/>
      <c r="AI15" s="449" t="s">
        <v>85</v>
      </c>
      <c r="AJ15" s="450"/>
      <c r="AK15" s="450"/>
      <c r="AL15" s="450"/>
      <c r="AM15" s="451"/>
      <c r="AO15" s="425" t="s">
        <v>86</v>
      </c>
      <c r="AP15" s="426"/>
      <c r="AQ15" s="426"/>
      <c r="AR15" s="427"/>
      <c r="AT15" s="449" t="s">
        <v>85</v>
      </c>
      <c r="AU15" s="450"/>
      <c r="AV15" s="450"/>
      <c r="AW15" s="450"/>
      <c r="AX15" s="451"/>
      <c r="AZ15" s="425" t="s">
        <v>86</v>
      </c>
      <c r="BA15" s="426"/>
      <c r="BB15" s="426"/>
      <c r="BC15" s="427"/>
      <c r="BE15" s="449" t="s">
        <v>85</v>
      </c>
      <c r="BF15" s="450"/>
      <c r="BG15" s="450"/>
      <c r="BH15" s="450"/>
      <c r="BI15" s="451"/>
      <c r="BK15" s="425" t="s">
        <v>86</v>
      </c>
      <c r="BL15" s="426"/>
      <c r="BM15" s="426"/>
      <c r="BN15" s="427"/>
      <c r="BP15" s="449" t="s">
        <v>85</v>
      </c>
      <c r="BQ15" s="450"/>
      <c r="BR15" s="450"/>
      <c r="BS15" s="450"/>
      <c r="BT15" s="451"/>
      <c r="BV15" s="425" t="s">
        <v>86</v>
      </c>
      <c r="BW15" s="426"/>
      <c r="BX15" s="426"/>
      <c r="BY15" s="427"/>
      <c r="CB15" s="449" t="s">
        <v>85</v>
      </c>
      <c r="CC15" s="450"/>
      <c r="CD15" s="450"/>
      <c r="CE15" s="450"/>
      <c r="CF15" s="451"/>
      <c r="CH15" s="425" t="s">
        <v>86</v>
      </c>
      <c r="CI15" s="426"/>
      <c r="CJ15" s="426"/>
      <c r="CK15" s="427"/>
      <c r="CN15" s="449" t="s">
        <v>85</v>
      </c>
      <c r="CO15" s="450"/>
      <c r="CP15" s="450"/>
      <c r="CQ15" s="450"/>
      <c r="CR15" s="451"/>
      <c r="CT15" s="425" t="s">
        <v>86</v>
      </c>
      <c r="CU15" s="426"/>
      <c r="CV15" s="426"/>
      <c r="CW15" s="427"/>
      <c r="CY15" s="449" t="s">
        <v>85</v>
      </c>
      <c r="CZ15" s="450"/>
      <c r="DA15" s="450"/>
      <c r="DB15" s="450"/>
      <c r="DC15" s="451"/>
      <c r="DE15" s="425" t="s">
        <v>86</v>
      </c>
      <c r="DF15" s="426"/>
      <c r="DG15" s="426"/>
      <c r="DH15" s="427"/>
    </row>
    <row r="16" spans="1:112" x14ac:dyDescent="0.2">
      <c r="B16" s="31" t="s">
        <v>99</v>
      </c>
      <c r="C16" s="30"/>
      <c r="D16" s="33">
        <v>21000</v>
      </c>
      <c r="E16" s="6" t="s">
        <v>100</v>
      </c>
      <c r="F16" s="32">
        <f>31500/21000</f>
        <v>1.5</v>
      </c>
      <c r="H16" s="428" t="s">
        <v>101</v>
      </c>
      <c r="I16" s="429"/>
      <c r="J16" s="3" t="s">
        <v>102</v>
      </c>
      <c r="K16" s="8">
        <f>F35*0.12</f>
        <v>212387.578671</v>
      </c>
      <c r="M16" s="31" t="s">
        <v>99</v>
      </c>
      <c r="N16" s="30"/>
      <c r="O16" s="33">
        <v>21000</v>
      </c>
      <c r="P16" s="6" t="s">
        <v>100</v>
      </c>
      <c r="Q16" s="32">
        <v>1.8029999999999999</v>
      </c>
      <c r="S16" s="428" t="s">
        <v>101</v>
      </c>
      <c r="T16" s="429"/>
      <c r="U16" s="3" t="s">
        <v>102</v>
      </c>
      <c r="V16" s="8">
        <f>Q35*0.12</f>
        <v>273219.10338089999</v>
      </c>
      <c r="X16" s="31" t="s">
        <v>99</v>
      </c>
      <c r="Y16" s="30"/>
      <c r="Z16" s="33">
        <v>21000</v>
      </c>
      <c r="AA16" s="6" t="s">
        <v>100</v>
      </c>
      <c r="AB16" s="32">
        <v>1.7</v>
      </c>
      <c r="AD16" s="428" t="s">
        <v>101</v>
      </c>
      <c r="AE16" s="429"/>
      <c r="AF16" s="3" t="s">
        <v>102</v>
      </c>
      <c r="AG16" s="8">
        <f>AB35*0.12</f>
        <v>260739.02880000003</v>
      </c>
      <c r="AI16" s="31" t="s">
        <v>99</v>
      </c>
      <c r="AJ16" s="30"/>
      <c r="AK16" s="33">
        <v>21000</v>
      </c>
      <c r="AL16" s="6" t="s">
        <v>100</v>
      </c>
      <c r="AM16" s="32">
        <v>1.575</v>
      </c>
      <c r="AO16" s="428" t="s">
        <v>101</v>
      </c>
      <c r="AP16" s="429"/>
      <c r="AQ16" s="3" t="s">
        <v>102</v>
      </c>
      <c r="AR16" s="8">
        <f>AM35*0.12</f>
        <v>235014.5172</v>
      </c>
      <c r="AT16" s="31" t="s">
        <v>99</v>
      </c>
      <c r="AU16" s="30"/>
      <c r="AV16" s="33">
        <v>21000</v>
      </c>
      <c r="AW16" s="6" t="s">
        <v>100</v>
      </c>
      <c r="AX16" s="32">
        <v>1.5549999999999999</v>
      </c>
      <c r="AZ16" s="428" t="s">
        <v>101</v>
      </c>
      <c r="BA16" s="429"/>
      <c r="BB16" s="3" t="s">
        <v>102</v>
      </c>
      <c r="BC16" s="8">
        <f>AX35*0.12</f>
        <v>222773.49359999999</v>
      </c>
      <c r="BE16" s="31" t="s">
        <v>99</v>
      </c>
      <c r="BF16" s="30"/>
      <c r="BG16" s="33">
        <v>21000</v>
      </c>
      <c r="BH16" s="6" t="s">
        <v>100</v>
      </c>
      <c r="BI16" s="32">
        <v>1.1879999999999999</v>
      </c>
      <c r="BK16" s="428" t="s">
        <v>101</v>
      </c>
      <c r="BL16" s="429"/>
      <c r="BM16" s="3" t="s">
        <v>102</v>
      </c>
      <c r="BN16" s="8">
        <f>BI35*0.12</f>
        <v>173254.21967999998</v>
      </c>
      <c r="BP16" s="31" t="s">
        <v>99</v>
      </c>
      <c r="BQ16" s="30"/>
      <c r="BR16" s="33">
        <v>21000</v>
      </c>
      <c r="BS16" s="6" t="s">
        <v>100</v>
      </c>
      <c r="BT16" s="32">
        <v>1.238</v>
      </c>
      <c r="BV16" s="428" t="s">
        <v>101</v>
      </c>
      <c r="BW16" s="429"/>
      <c r="BX16" s="3" t="s">
        <v>102</v>
      </c>
      <c r="BY16" s="8">
        <f>BT35*0.12</f>
        <v>187643.29583999998</v>
      </c>
      <c r="CB16" s="31" t="s">
        <v>99</v>
      </c>
      <c r="CC16" s="30"/>
      <c r="CD16" s="33">
        <v>21000</v>
      </c>
      <c r="CE16" s="6" t="s">
        <v>100</v>
      </c>
      <c r="CF16" s="32">
        <v>1.2150000000000001</v>
      </c>
      <c r="CH16" s="428" t="s">
        <v>101</v>
      </c>
      <c r="CI16" s="429"/>
      <c r="CJ16" s="3" t="s">
        <v>102</v>
      </c>
      <c r="CK16" s="8">
        <f>CF35*0.12</f>
        <v>183521.75759999998</v>
      </c>
      <c r="CN16" s="31" t="s">
        <v>99</v>
      </c>
      <c r="CO16" s="30"/>
      <c r="CP16" s="33">
        <v>21000</v>
      </c>
      <c r="CQ16" s="6" t="s">
        <v>100</v>
      </c>
      <c r="CR16" s="32">
        <v>1.41</v>
      </c>
      <c r="CT16" s="428" t="s">
        <v>101</v>
      </c>
      <c r="CU16" s="429"/>
      <c r="CV16" s="3" t="s">
        <v>102</v>
      </c>
      <c r="CW16" s="8">
        <f>CR35*0.12</f>
        <v>219567.98879999999</v>
      </c>
      <c r="CY16" s="31" t="s">
        <v>99</v>
      </c>
      <c r="CZ16" s="30"/>
      <c r="DA16" s="33">
        <v>21000</v>
      </c>
      <c r="DB16" s="6" t="s">
        <v>100</v>
      </c>
      <c r="DC16" s="32">
        <v>1.5</v>
      </c>
      <c r="DE16" s="428" t="s">
        <v>101</v>
      </c>
      <c r="DF16" s="429"/>
      <c r="DG16" s="3" t="s">
        <v>102</v>
      </c>
      <c r="DH16" s="8">
        <f>DC35*0.12</f>
        <v>228299.78879999998</v>
      </c>
    </row>
    <row r="17" spans="1:112" x14ac:dyDescent="0.2">
      <c r="B17" s="31" t="s">
        <v>109</v>
      </c>
      <c r="C17" s="30"/>
      <c r="D17" s="34">
        <f>D16*F16</f>
        <v>31500</v>
      </c>
      <c r="E17" s="6" t="s">
        <v>110</v>
      </c>
      <c r="F17" s="35">
        <f>D16*1.1364</f>
        <v>23864.400000000001</v>
      </c>
      <c r="H17" s="428" t="s">
        <v>118</v>
      </c>
      <c r="I17" s="429"/>
      <c r="J17" s="3" t="s">
        <v>102</v>
      </c>
      <c r="K17" s="8">
        <f>IF(E24+F22+E25&gt;750000,1000,IF(E24+F22+E25&gt;750000,750,IF(E24+F22+E25&gt;P31500000,750,IF(E24+F22+E25&gt;500000,750,IF(E24+F22+E25&gt;250000,500,IF(E24+F22+E25&gt;250000,500,250))))))</f>
        <v>1000</v>
      </c>
      <c r="M17" s="31" t="s">
        <v>109</v>
      </c>
      <c r="N17" s="30"/>
      <c r="O17" s="34">
        <f>O16*Q16</f>
        <v>37863</v>
      </c>
      <c r="P17" s="6" t="s">
        <v>110</v>
      </c>
      <c r="Q17" s="35">
        <f>O16*1.1364</f>
        <v>23864.400000000001</v>
      </c>
      <c r="S17" s="428" t="s">
        <v>111</v>
      </c>
      <c r="T17" s="429"/>
      <c r="U17" s="241">
        <v>273115.40000000002</v>
      </c>
      <c r="V17" s="8">
        <f>U17-V16</f>
        <v>-103.70338089996949</v>
      </c>
      <c r="X17" s="31" t="s">
        <v>109</v>
      </c>
      <c r="Y17" s="30"/>
      <c r="Z17" s="34">
        <f>Z16*AB16</f>
        <v>35700</v>
      </c>
      <c r="AA17" s="6" t="s">
        <v>110</v>
      </c>
      <c r="AB17" s="35">
        <f>Z16*1.1364</f>
        <v>23864.400000000001</v>
      </c>
      <c r="AD17" s="428" t="s">
        <v>111</v>
      </c>
      <c r="AE17" s="429"/>
      <c r="AF17" s="241">
        <v>230903.25</v>
      </c>
      <c r="AG17" s="8">
        <f>AF17-AG16</f>
        <v>-29835.778800000029</v>
      </c>
      <c r="AI17" s="31" t="s">
        <v>109</v>
      </c>
      <c r="AJ17" s="30"/>
      <c r="AK17" s="34">
        <f>AK16*AM16</f>
        <v>33075</v>
      </c>
      <c r="AL17" s="6" t="s">
        <v>110</v>
      </c>
      <c r="AM17" s="35">
        <f>AK16*1.1364</f>
        <v>23864.400000000001</v>
      </c>
      <c r="AO17" s="428" t="s">
        <v>111</v>
      </c>
      <c r="AP17" s="429"/>
      <c r="AQ17" s="241">
        <v>186620.81</v>
      </c>
      <c r="AR17" s="8">
        <f>AQ17-AR16</f>
        <v>-48393.707200000004</v>
      </c>
      <c r="AT17" s="31" t="s">
        <v>109</v>
      </c>
      <c r="AU17" s="30"/>
      <c r="AV17" s="34">
        <f>AV16*AX16</f>
        <v>32655</v>
      </c>
      <c r="AW17" s="6" t="s">
        <v>110</v>
      </c>
      <c r="AX17" s="35">
        <f>AV16*1.1364</f>
        <v>23864.400000000001</v>
      </c>
      <c r="AZ17" s="428" t="s">
        <v>111</v>
      </c>
      <c r="BA17" s="429"/>
      <c r="BB17" s="241">
        <v>173868.02</v>
      </c>
      <c r="BC17" s="8">
        <f>BB17-BC16</f>
        <v>-48905.473599999998</v>
      </c>
      <c r="BE17" s="31" t="s">
        <v>109</v>
      </c>
      <c r="BF17" s="30"/>
      <c r="BG17" s="34">
        <f>BG16*BI16</f>
        <v>24948</v>
      </c>
      <c r="BH17" s="6" t="s">
        <v>110</v>
      </c>
      <c r="BI17" s="35">
        <f>BG16*1.1364</f>
        <v>23864.400000000001</v>
      </c>
      <c r="BK17" s="428" t="s">
        <v>111</v>
      </c>
      <c r="BL17" s="429"/>
      <c r="BM17" s="241">
        <v>178556.94</v>
      </c>
      <c r="BN17" s="8">
        <f>BM17-BN16</f>
        <v>5302.7203200000222</v>
      </c>
      <c r="BP17" s="31" t="s">
        <v>109</v>
      </c>
      <c r="BQ17" s="30"/>
      <c r="BR17" s="34">
        <f>BR16*BT16</f>
        <v>25998</v>
      </c>
      <c r="BS17" s="6" t="s">
        <v>110</v>
      </c>
      <c r="BT17" s="35">
        <f>BR16*1.1364</f>
        <v>23864.400000000001</v>
      </c>
      <c r="BV17" s="428" t="s">
        <v>111</v>
      </c>
      <c r="BW17" s="429"/>
      <c r="BX17" s="241">
        <v>186869.89</v>
      </c>
      <c r="BY17" s="8">
        <f>BX17-BY16</f>
        <v>-773.40583999996306</v>
      </c>
      <c r="CB17" s="31" t="s">
        <v>109</v>
      </c>
      <c r="CC17" s="30"/>
      <c r="CD17" s="34">
        <f>CD16*CF16</f>
        <v>25515</v>
      </c>
      <c r="CE17" s="6" t="s">
        <v>110</v>
      </c>
      <c r="CF17" s="35">
        <f>CD16*1.1364</f>
        <v>23864.400000000001</v>
      </c>
      <c r="CH17" s="428" t="s">
        <v>111</v>
      </c>
      <c r="CI17" s="429"/>
      <c r="CJ17" s="241">
        <v>215166.09</v>
      </c>
      <c r="CK17" s="8">
        <f>CJ17-CK16</f>
        <v>31644.332400000014</v>
      </c>
      <c r="CN17" s="31" t="s">
        <v>109</v>
      </c>
      <c r="CO17" s="30"/>
      <c r="CP17" s="34">
        <f>CP16*CR16</f>
        <v>29610</v>
      </c>
      <c r="CQ17" s="6" t="s">
        <v>110</v>
      </c>
      <c r="CR17" s="35">
        <f>CP16*1.1364</f>
        <v>23864.400000000001</v>
      </c>
      <c r="CT17" s="428" t="s">
        <v>111</v>
      </c>
      <c r="CU17" s="429"/>
      <c r="CV17" s="241">
        <v>215166.09</v>
      </c>
      <c r="CW17" s="8">
        <f>CV17-CW16</f>
        <v>-4401.8987999999954</v>
      </c>
      <c r="CY17" s="31" t="s">
        <v>109</v>
      </c>
      <c r="CZ17" s="30"/>
      <c r="DA17" s="34">
        <f>DA16*DC16</f>
        <v>31500</v>
      </c>
      <c r="DB17" s="6" t="s">
        <v>110</v>
      </c>
      <c r="DC17" s="35">
        <f>DA16*1.1364</f>
        <v>23864.400000000001</v>
      </c>
      <c r="DE17" s="428" t="s">
        <v>111</v>
      </c>
      <c r="DF17" s="429"/>
      <c r="DG17" s="241">
        <v>215166.09</v>
      </c>
      <c r="DH17" s="8">
        <f>DG17-DH16</f>
        <v>-13133.698799999984</v>
      </c>
    </row>
    <row r="18" spans="1:112" ht="15" thickBot="1" x14ac:dyDescent="0.25">
      <c r="B18" s="485" t="s">
        <v>117</v>
      </c>
      <c r="C18" s="486"/>
      <c r="D18" s="486"/>
      <c r="E18" s="487"/>
      <c r="F18" s="29">
        <v>52.386000000000003</v>
      </c>
      <c r="H18" s="428" t="s">
        <v>123</v>
      </c>
      <c r="I18" s="429"/>
      <c r="J18" s="3" t="s">
        <v>124</v>
      </c>
      <c r="K18" s="8">
        <v>280</v>
      </c>
      <c r="M18" s="430" t="s">
        <v>117</v>
      </c>
      <c r="N18" s="431"/>
      <c r="O18" s="431"/>
      <c r="P18" s="432"/>
      <c r="Q18" s="29">
        <v>56.362000000000002</v>
      </c>
      <c r="S18" s="428" t="s">
        <v>118</v>
      </c>
      <c r="T18" s="429"/>
      <c r="U18" s="3" t="s">
        <v>102</v>
      </c>
      <c r="V18" s="8">
        <f>IF(P24+Q22+P25&gt;750000,1000,IF(P24+Q22+P25&gt;750000,750,IF(P24+Q22+P25&gt;P31500000,750,IF(P24+Q22+P25&gt;500000,750,IF(P24+Q22+P25&gt;250000,500,IF(P24+Q22+P25&gt;250000,500,250))))))</f>
        <v>1000</v>
      </c>
      <c r="X18" s="430" t="s">
        <v>117</v>
      </c>
      <c r="Y18" s="431"/>
      <c r="Z18" s="431"/>
      <c r="AA18" s="432"/>
      <c r="AB18" s="29">
        <v>58.91</v>
      </c>
      <c r="AD18" s="428" t="s">
        <v>118</v>
      </c>
      <c r="AE18" s="429"/>
      <c r="AF18" s="3" t="s">
        <v>102</v>
      </c>
      <c r="AG18" s="8">
        <f>IF(AA24+AB22+AA25&gt;750000,1000,IF(AA24+AB22+AA25&gt;750000,750,IF(AA24+AB22+AA25&gt;P31500000,750,IF(AA24+AB22+AA25&gt;500000,750,IF(AA24+AB22+AA25&gt;250000,500,IF(AA24+AB22+AA25&gt;250000,500,250))))))</f>
        <v>1000</v>
      </c>
      <c r="AI18" s="430" t="s">
        <v>117</v>
      </c>
      <c r="AJ18" s="431"/>
      <c r="AK18" s="431"/>
      <c r="AL18" s="432"/>
      <c r="AM18" s="29">
        <v>56.79</v>
      </c>
      <c r="AO18" s="428" t="s">
        <v>118</v>
      </c>
      <c r="AP18" s="429"/>
      <c r="AQ18" s="3" t="s">
        <v>102</v>
      </c>
      <c r="AR18" s="8">
        <f>IF(AL24+AM22+AL25&gt;750000,1000,IF(AL24+AM22+AL25&gt;750000,750,IF(AL24+AM22+AL25&gt;P31500000,750,IF(AL24+AM22+AL25&gt;500000,750,IF(AL24+AM22+AL25&gt;250000,500,IF(AL24+AM22+AL25&gt;250000,500,250))))))</f>
        <v>1000</v>
      </c>
      <c r="AT18" s="430" t="s">
        <v>117</v>
      </c>
      <c r="AU18" s="431"/>
      <c r="AV18" s="431"/>
      <c r="AW18" s="432"/>
      <c r="AX18" s="29">
        <v>54.481999999999999</v>
      </c>
      <c r="AZ18" s="428" t="s">
        <v>118</v>
      </c>
      <c r="BA18" s="429"/>
      <c r="BB18" s="3" t="s">
        <v>102</v>
      </c>
      <c r="BC18" s="8">
        <f>IF(AW24+AX22+AW25&gt;750000,1000,IF(AW24+AX22+AW25&gt;750000,750,IF(AW24+AX22+AW25&gt;P31500000,750,IF(AW24+AX22+AW25&gt;500000,750,IF(AW24+AX22+AW25&gt;250000,500,IF(AW24+AX22+AW25&gt;250000,500,250))))))</f>
        <v>1000</v>
      </c>
      <c r="BE18" s="430" t="s">
        <v>117</v>
      </c>
      <c r="BF18" s="431"/>
      <c r="BG18" s="431"/>
      <c r="BH18" s="432"/>
      <c r="BI18" s="29">
        <v>54.567999999999998</v>
      </c>
      <c r="BK18" s="428" t="s">
        <v>118</v>
      </c>
      <c r="BL18" s="429"/>
      <c r="BM18" s="3" t="s">
        <v>102</v>
      </c>
      <c r="BN18" s="8">
        <f>IF(BH24+BI22+BH25&gt;750000,1000,IF(BH24+BI22+BH25&gt;750000,750,IF(BH24+BI22+BH25&gt;P31500000,750,IF(BH24+BI22+BH25&gt;500000,750,IF(BH24+BI22+BH25&gt;250000,500,IF(BH24+BI22+BH25&gt;250000,500,250))))))</f>
        <v>1000</v>
      </c>
      <c r="BP18" s="430" t="s">
        <v>117</v>
      </c>
      <c r="BQ18" s="431"/>
      <c r="BR18" s="431"/>
      <c r="BS18" s="432"/>
      <c r="BT18" s="29">
        <v>55.863999999999997</v>
      </c>
      <c r="BV18" s="428" t="s">
        <v>118</v>
      </c>
      <c r="BW18" s="429"/>
      <c r="BX18" s="3" t="s">
        <v>102</v>
      </c>
      <c r="BY18" s="8">
        <f>IF(BS24+BT22+BS25&gt;750000,1000,IF(BS24+BT22+BS25&gt;750000,750,IF(BS24+BT22+BS25&gt;P31500000,750,IF(BS24+BT22+BS25&gt;500000,750,IF(BS24+BT22+BS25&gt;250000,500,IF(BS24+BT22+BS25&gt;250000,500,250))))))</f>
        <v>1000</v>
      </c>
      <c r="CB18" s="430" t="s">
        <v>117</v>
      </c>
      <c r="CC18" s="431"/>
      <c r="CD18" s="431"/>
      <c r="CE18" s="432"/>
      <c r="CF18" s="29">
        <v>56.116</v>
      </c>
      <c r="CH18" s="428" t="s">
        <v>118</v>
      </c>
      <c r="CI18" s="429"/>
      <c r="CJ18" s="3" t="s">
        <v>102</v>
      </c>
      <c r="CK18" s="8">
        <f>IF(CE24+CF22+CE25&gt;750000,1000,IF(CE24+CF22+CE25&gt;750000,750,IF(CE24+CF22+CE25&gt;P31500000,750,IF(CE24+CF22+CE25&gt;500000,750,IF(CE24+CF22+CE25&gt;250000,500,IF(CE24+CF22+CE25&gt;250000,500,250))))))</f>
        <v>1000</v>
      </c>
      <c r="CN18" s="430" t="s">
        <v>117</v>
      </c>
      <c r="CO18" s="431"/>
      <c r="CP18" s="431"/>
      <c r="CQ18" s="432"/>
      <c r="CR18" s="29">
        <v>58.5</v>
      </c>
      <c r="CT18" s="428" t="s">
        <v>118</v>
      </c>
      <c r="CU18" s="429"/>
      <c r="CV18" s="3" t="s">
        <v>102</v>
      </c>
      <c r="CW18" s="8">
        <f>IF(CQ24+CR22+CQ25&gt;750000,1000,IF(CQ24+CR22+CQ25&gt;750000,750,IF(CQ24+CR22+CQ25&gt;P31500000,750,IF(CQ24+CR22+CQ25&gt;500000,750,IF(CQ24+CR22+CQ25&gt;250000,500,IF(CQ24+CR22+CQ25&gt;250000,500,250))))))</f>
        <v>1000</v>
      </c>
      <c r="CY18" s="430" t="s">
        <v>117</v>
      </c>
      <c r="CZ18" s="431"/>
      <c r="DA18" s="431"/>
      <c r="DB18" s="432"/>
      <c r="DC18" s="29">
        <v>57.3</v>
      </c>
      <c r="DE18" s="428" t="s">
        <v>118</v>
      </c>
      <c r="DF18" s="429"/>
      <c r="DG18" s="3" t="s">
        <v>102</v>
      </c>
      <c r="DH18" s="8">
        <f>IF(DB24+DC22+DB25&gt;750000,1000,IF(DB24+DC22+DB25&gt;750000,750,IF(DB24+DC22+DB25&gt;P31500000,750,IF(DB24+DC22+DB25&gt;500000,750,IF(DB24+DC22+DB25&gt;250000,500,IF(DB24+DC22+DB25&gt;250000,500,250))))))</f>
        <v>1000</v>
      </c>
    </row>
    <row r="19" spans="1:112" ht="15" thickBot="1" x14ac:dyDescent="0.25">
      <c r="H19" s="428" t="s">
        <v>129</v>
      </c>
      <c r="I19" s="429"/>
      <c r="J19" s="3" t="s">
        <v>124</v>
      </c>
      <c r="K19" s="8">
        <v>261</v>
      </c>
      <c r="S19" s="428" t="s">
        <v>123</v>
      </c>
      <c r="T19" s="429"/>
      <c r="U19" s="3" t="s">
        <v>124</v>
      </c>
      <c r="V19" s="8">
        <v>280</v>
      </c>
      <c r="AD19" s="428" t="s">
        <v>123</v>
      </c>
      <c r="AE19" s="429"/>
      <c r="AF19" s="3" t="s">
        <v>124</v>
      </c>
      <c r="AG19" s="8">
        <v>280</v>
      </c>
      <c r="AO19" s="428" t="s">
        <v>123</v>
      </c>
      <c r="AP19" s="429"/>
      <c r="AQ19" s="3" t="s">
        <v>124</v>
      </c>
      <c r="AR19" s="8">
        <v>280</v>
      </c>
      <c r="AZ19" s="428" t="s">
        <v>123</v>
      </c>
      <c r="BA19" s="429"/>
      <c r="BB19" s="3" t="s">
        <v>124</v>
      </c>
      <c r="BC19" s="8">
        <v>280</v>
      </c>
      <c r="BK19" s="428" t="s">
        <v>123</v>
      </c>
      <c r="BL19" s="429"/>
      <c r="BM19" s="3" t="s">
        <v>124</v>
      </c>
      <c r="BN19" s="8">
        <v>280</v>
      </c>
      <c r="BV19" s="428" t="s">
        <v>123</v>
      </c>
      <c r="BW19" s="429"/>
      <c r="BX19" s="3" t="s">
        <v>124</v>
      </c>
      <c r="BY19" s="8">
        <v>280</v>
      </c>
      <c r="CH19" s="428" t="s">
        <v>123</v>
      </c>
      <c r="CI19" s="429"/>
      <c r="CJ19" s="3" t="s">
        <v>124</v>
      </c>
      <c r="CK19" s="8">
        <v>280</v>
      </c>
      <c r="CT19" s="428" t="s">
        <v>123</v>
      </c>
      <c r="CU19" s="429"/>
      <c r="CV19" s="3" t="s">
        <v>124</v>
      </c>
      <c r="CW19" s="8">
        <v>280</v>
      </c>
      <c r="DE19" s="428" t="s">
        <v>123</v>
      </c>
      <c r="DF19" s="429"/>
      <c r="DG19" s="3" t="s">
        <v>124</v>
      </c>
      <c r="DH19" s="8">
        <v>280</v>
      </c>
    </row>
    <row r="20" spans="1:112" ht="15" thickBot="1" x14ac:dyDescent="0.25">
      <c r="B20" s="530" t="s">
        <v>128</v>
      </c>
      <c r="C20" s="531"/>
      <c r="D20" s="531"/>
      <c r="E20" s="531"/>
      <c r="F20" s="532"/>
      <c r="H20" s="9" t="s">
        <v>137</v>
      </c>
      <c r="I20" s="23"/>
      <c r="J20" s="439">
        <f>SUM(K16:K19)</f>
        <v>213928.578671</v>
      </c>
      <c r="K20" s="440"/>
      <c r="M20" s="433" t="s">
        <v>128</v>
      </c>
      <c r="N20" s="434"/>
      <c r="O20" s="434"/>
      <c r="P20" s="434"/>
      <c r="Q20" s="435"/>
      <c r="S20" s="428" t="s">
        <v>129</v>
      </c>
      <c r="T20" s="429"/>
      <c r="U20" s="3" t="s">
        <v>124</v>
      </c>
      <c r="V20" s="8">
        <v>281</v>
      </c>
      <c r="X20" s="433" t="s">
        <v>128</v>
      </c>
      <c r="Y20" s="434"/>
      <c r="Z20" s="434"/>
      <c r="AA20" s="434"/>
      <c r="AB20" s="435"/>
      <c r="AD20" s="428" t="s">
        <v>129</v>
      </c>
      <c r="AE20" s="429"/>
      <c r="AF20" s="3" t="s">
        <v>124</v>
      </c>
      <c r="AG20" s="8">
        <v>294</v>
      </c>
      <c r="AI20" s="433" t="s">
        <v>128</v>
      </c>
      <c r="AJ20" s="434"/>
      <c r="AK20" s="434"/>
      <c r="AL20" s="434"/>
      <c r="AM20" s="435"/>
      <c r="AO20" s="428" t="s">
        <v>129</v>
      </c>
      <c r="AP20" s="429"/>
      <c r="AQ20" s="3" t="s">
        <v>124</v>
      </c>
      <c r="AR20" s="8">
        <v>283</v>
      </c>
      <c r="AT20" s="433" t="s">
        <v>128</v>
      </c>
      <c r="AU20" s="434"/>
      <c r="AV20" s="434"/>
      <c r="AW20" s="434"/>
      <c r="AX20" s="435"/>
      <c r="AZ20" s="428" t="s">
        <v>129</v>
      </c>
      <c r="BA20" s="429"/>
      <c r="BB20" s="3" t="s">
        <v>124</v>
      </c>
      <c r="BC20" s="8">
        <v>272</v>
      </c>
      <c r="BE20" s="433" t="s">
        <v>128</v>
      </c>
      <c r="BF20" s="434"/>
      <c r="BG20" s="434"/>
      <c r="BH20" s="434"/>
      <c r="BI20" s="435"/>
      <c r="BK20" s="428" t="s">
        <v>129</v>
      </c>
      <c r="BL20" s="429"/>
      <c r="BM20" s="3" t="s">
        <v>124</v>
      </c>
      <c r="BN20" s="8">
        <v>272</v>
      </c>
      <c r="BP20" s="433" t="s">
        <v>128</v>
      </c>
      <c r="BQ20" s="434"/>
      <c r="BR20" s="434"/>
      <c r="BS20" s="434"/>
      <c r="BT20" s="435"/>
      <c r="BV20" s="428" t="s">
        <v>129</v>
      </c>
      <c r="BW20" s="429"/>
      <c r="BX20" s="3" t="s">
        <v>124</v>
      </c>
      <c r="BY20" s="8">
        <v>279</v>
      </c>
      <c r="CB20" s="433" t="s">
        <v>128</v>
      </c>
      <c r="CC20" s="434"/>
      <c r="CD20" s="434"/>
      <c r="CE20" s="434"/>
      <c r="CF20" s="435"/>
      <c r="CH20" s="428" t="s">
        <v>129</v>
      </c>
      <c r="CI20" s="429"/>
      <c r="CJ20" s="3" t="s">
        <v>124</v>
      </c>
      <c r="CK20" s="8">
        <v>280</v>
      </c>
      <c r="CN20" s="433" t="s">
        <v>128</v>
      </c>
      <c r="CO20" s="434"/>
      <c r="CP20" s="434"/>
      <c r="CQ20" s="434"/>
      <c r="CR20" s="435"/>
      <c r="CT20" s="428" t="s">
        <v>129</v>
      </c>
      <c r="CU20" s="429"/>
      <c r="CV20" s="3" t="s">
        <v>124</v>
      </c>
      <c r="CW20" s="8">
        <v>280</v>
      </c>
      <c r="CY20" s="433" t="s">
        <v>128</v>
      </c>
      <c r="CZ20" s="434"/>
      <c r="DA20" s="434"/>
      <c r="DB20" s="434"/>
      <c r="DC20" s="435"/>
      <c r="DE20" s="428" t="s">
        <v>129</v>
      </c>
      <c r="DF20" s="429"/>
      <c r="DG20" s="3" t="s">
        <v>124</v>
      </c>
      <c r="DH20" s="8">
        <v>280</v>
      </c>
    </row>
    <row r="21" spans="1:112" ht="14.25" customHeight="1" thickBot="1" x14ac:dyDescent="0.25">
      <c r="B21" s="436" t="s">
        <v>136</v>
      </c>
      <c r="C21" s="437"/>
      <c r="D21" s="437"/>
      <c r="E21" s="437"/>
      <c r="F21" s="438"/>
      <c r="M21" s="436" t="s">
        <v>136</v>
      </c>
      <c r="N21" s="437"/>
      <c r="O21" s="437"/>
      <c r="P21" s="437"/>
      <c r="Q21" s="438"/>
      <c r="S21" s="9" t="s">
        <v>137</v>
      </c>
      <c r="T21" s="23"/>
      <c r="U21" s="439">
        <f>SUM(V16:V20)</f>
        <v>274676.40000000002</v>
      </c>
      <c r="V21" s="440"/>
      <c r="X21" s="436" t="s">
        <v>136</v>
      </c>
      <c r="Y21" s="437"/>
      <c r="Z21" s="437"/>
      <c r="AA21" s="437"/>
      <c r="AB21" s="438"/>
      <c r="AD21" s="9" t="s">
        <v>137</v>
      </c>
      <c r="AE21" s="23"/>
      <c r="AF21" s="439">
        <f>SUM(AG16:AG20)</f>
        <v>232477.25</v>
      </c>
      <c r="AG21" s="440"/>
      <c r="AI21" s="436" t="s">
        <v>136</v>
      </c>
      <c r="AJ21" s="437"/>
      <c r="AK21" s="437"/>
      <c r="AL21" s="437"/>
      <c r="AM21" s="438"/>
      <c r="AO21" s="9" t="s">
        <v>137</v>
      </c>
      <c r="AP21" s="23"/>
      <c r="AQ21" s="439">
        <f>SUM(AR16:AR20)</f>
        <v>188183.81</v>
      </c>
      <c r="AR21" s="440"/>
      <c r="AT21" s="436" t="s">
        <v>136</v>
      </c>
      <c r="AU21" s="437"/>
      <c r="AV21" s="437"/>
      <c r="AW21" s="437"/>
      <c r="AX21" s="438"/>
      <c r="AZ21" s="9" t="s">
        <v>137</v>
      </c>
      <c r="BA21" s="23"/>
      <c r="BB21" s="439">
        <f>SUM(BC16:BC20)</f>
        <v>175420.02</v>
      </c>
      <c r="BC21" s="440"/>
      <c r="BE21" s="436" t="s">
        <v>136</v>
      </c>
      <c r="BF21" s="437"/>
      <c r="BG21" s="437"/>
      <c r="BH21" s="437"/>
      <c r="BI21" s="438"/>
      <c r="BK21" s="9" t="s">
        <v>137</v>
      </c>
      <c r="BL21" s="23"/>
      <c r="BM21" s="439">
        <f>SUM(BN16:BN20)</f>
        <v>180108.94</v>
      </c>
      <c r="BN21" s="440"/>
      <c r="BP21" s="436" t="s">
        <v>136</v>
      </c>
      <c r="BQ21" s="437"/>
      <c r="BR21" s="437"/>
      <c r="BS21" s="437"/>
      <c r="BT21" s="438"/>
      <c r="BV21" s="9" t="s">
        <v>137</v>
      </c>
      <c r="BW21" s="23"/>
      <c r="BX21" s="439">
        <f>SUM(BY16:BY20)</f>
        <v>188428.89</v>
      </c>
      <c r="BY21" s="440"/>
      <c r="CB21" s="436" t="s">
        <v>136</v>
      </c>
      <c r="CC21" s="437"/>
      <c r="CD21" s="437"/>
      <c r="CE21" s="437"/>
      <c r="CF21" s="438"/>
      <c r="CH21" s="9" t="s">
        <v>137</v>
      </c>
      <c r="CI21" s="23"/>
      <c r="CJ21" s="439">
        <f>SUM(CK16:CK20)</f>
        <v>216726.09</v>
      </c>
      <c r="CK21" s="440"/>
      <c r="CN21" s="436" t="s">
        <v>136</v>
      </c>
      <c r="CO21" s="437"/>
      <c r="CP21" s="437"/>
      <c r="CQ21" s="437"/>
      <c r="CR21" s="438"/>
      <c r="CT21" s="9" t="s">
        <v>137</v>
      </c>
      <c r="CU21" s="23"/>
      <c r="CV21" s="439">
        <f>SUM(CW16:CW20)</f>
        <v>216726.09</v>
      </c>
      <c r="CW21" s="440"/>
      <c r="CY21" s="436" t="s">
        <v>136</v>
      </c>
      <c r="CZ21" s="437"/>
      <c r="DA21" s="437"/>
      <c r="DB21" s="437"/>
      <c r="DC21" s="438"/>
      <c r="DE21" s="9" t="s">
        <v>137</v>
      </c>
      <c r="DF21" s="23"/>
      <c r="DG21" s="439">
        <f>SUM(DH16:DH20)</f>
        <v>216726.09</v>
      </c>
      <c r="DH21" s="440"/>
    </row>
    <row r="22" spans="1:112" ht="15" thickBot="1" x14ac:dyDescent="0.25">
      <c r="B22" s="537" t="s">
        <v>142</v>
      </c>
      <c r="C22" s="538"/>
      <c r="D22" s="538"/>
      <c r="E22" s="39" t="s">
        <v>102</v>
      </c>
      <c r="F22" s="49">
        <f>D17*F18</f>
        <v>1650159</v>
      </c>
      <c r="H22" s="425" t="s">
        <v>149</v>
      </c>
      <c r="I22" s="426"/>
      <c r="J22" s="426"/>
      <c r="K22" s="427"/>
      <c r="M22" s="457" t="s">
        <v>142</v>
      </c>
      <c r="N22" s="458"/>
      <c r="O22" s="458"/>
      <c r="P22" s="39" t="s">
        <v>102</v>
      </c>
      <c r="Q22" s="49">
        <f>O17*Q18</f>
        <v>2134034.406</v>
      </c>
      <c r="X22" s="457" t="s">
        <v>142</v>
      </c>
      <c r="Y22" s="458"/>
      <c r="Z22" s="458"/>
      <c r="AA22" s="39" t="s">
        <v>102</v>
      </c>
      <c r="AB22" s="49">
        <f>Z17*AB18</f>
        <v>2103087</v>
      </c>
      <c r="AI22" s="457" t="s">
        <v>142</v>
      </c>
      <c r="AJ22" s="458"/>
      <c r="AK22" s="458"/>
      <c r="AL22" s="39" t="s">
        <v>102</v>
      </c>
      <c r="AM22" s="49">
        <f>AK17*AM18</f>
        <v>1878329.25</v>
      </c>
      <c r="AT22" s="457" t="s">
        <v>142</v>
      </c>
      <c r="AU22" s="458"/>
      <c r="AV22" s="458"/>
      <c r="AW22" s="39" t="s">
        <v>102</v>
      </c>
      <c r="AX22" s="49">
        <f>AV17*AX18</f>
        <v>1779109.71</v>
      </c>
      <c r="BE22" s="457" t="s">
        <v>142</v>
      </c>
      <c r="BF22" s="458"/>
      <c r="BG22" s="458"/>
      <c r="BH22" s="39" t="s">
        <v>102</v>
      </c>
      <c r="BI22" s="49">
        <f>BG17*BI18</f>
        <v>1361362.4639999999</v>
      </c>
      <c r="BP22" s="457" t="s">
        <v>142</v>
      </c>
      <c r="BQ22" s="458"/>
      <c r="BR22" s="458"/>
      <c r="BS22" s="39" t="s">
        <v>102</v>
      </c>
      <c r="BT22" s="49">
        <f>BR17*BT18</f>
        <v>1452352.2719999999</v>
      </c>
      <c r="CB22" s="457" t="s">
        <v>142</v>
      </c>
      <c r="CC22" s="458"/>
      <c r="CD22" s="458"/>
      <c r="CE22" s="39" t="s">
        <v>102</v>
      </c>
      <c r="CF22" s="49">
        <f>CD17*CF18</f>
        <v>1431799.74</v>
      </c>
      <c r="CN22" s="457" t="s">
        <v>142</v>
      </c>
      <c r="CO22" s="458"/>
      <c r="CP22" s="458"/>
      <c r="CQ22" s="39" t="s">
        <v>102</v>
      </c>
      <c r="CR22" s="49">
        <f>CP17*CR18</f>
        <v>1732185</v>
      </c>
      <c r="CY22" s="457" t="s">
        <v>142</v>
      </c>
      <c r="CZ22" s="458"/>
      <c r="DA22" s="458"/>
      <c r="DB22" s="39" t="s">
        <v>102</v>
      </c>
      <c r="DC22" s="49">
        <f>DA17*DC18</f>
        <v>1804950</v>
      </c>
    </row>
    <row r="23" spans="1:112" ht="15" thickBot="1" x14ac:dyDescent="0.25">
      <c r="B23" s="436" t="s">
        <v>148</v>
      </c>
      <c r="C23" s="437"/>
      <c r="D23" s="437"/>
      <c r="E23" s="437"/>
      <c r="F23" s="438"/>
      <c r="H23" s="428" t="s">
        <v>158</v>
      </c>
      <c r="I23" s="429"/>
      <c r="J23" s="7" t="s">
        <v>159</v>
      </c>
      <c r="K23" s="14">
        <v>37957.15</v>
      </c>
      <c r="M23" s="436" t="s">
        <v>148</v>
      </c>
      <c r="N23" s="437"/>
      <c r="O23" s="437"/>
      <c r="P23" s="437"/>
      <c r="Q23" s="438"/>
      <c r="S23" s="425" t="s">
        <v>149</v>
      </c>
      <c r="T23" s="426"/>
      <c r="U23" s="426"/>
      <c r="V23" s="427"/>
      <c r="X23" s="436" t="s">
        <v>148</v>
      </c>
      <c r="Y23" s="437"/>
      <c r="Z23" s="437"/>
      <c r="AA23" s="437"/>
      <c r="AB23" s="438"/>
      <c r="AD23" s="425" t="s">
        <v>149</v>
      </c>
      <c r="AE23" s="426"/>
      <c r="AF23" s="426"/>
      <c r="AG23" s="427"/>
      <c r="AI23" s="436" t="s">
        <v>148</v>
      </c>
      <c r="AJ23" s="437"/>
      <c r="AK23" s="437"/>
      <c r="AL23" s="437"/>
      <c r="AM23" s="438"/>
      <c r="AO23" s="425" t="s">
        <v>149</v>
      </c>
      <c r="AP23" s="426"/>
      <c r="AQ23" s="426"/>
      <c r="AR23" s="427"/>
      <c r="AT23" s="436" t="s">
        <v>148</v>
      </c>
      <c r="AU23" s="437"/>
      <c r="AV23" s="437"/>
      <c r="AW23" s="437"/>
      <c r="AX23" s="438"/>
      <c r="AZ23" s="425" t="s">
        <v>149</v>
      </c>
      <c r="BA23" s="426"/>
      <c r="BB23" s="426"/>
      <c r="BC23" s="427"/>
      <c r="BE23" s="436" t="s">
        <v>148</v>
      </c>
      <c r="BF23" s="437"/>
      <c r="BG23" s="437"/>
      <c r="BH23" s="437"/>
      <c r="BI23" s="438"/>
      <c r="BK23" s="425" t="s">
        <v>149</v>
      </c>
      <c r="BL23" s="426"/>
      <c r="BM23" s="426"/>
      <c r="BN23" s="427"/>
      <c r="BP23" s="436" t="s">
        <v>148</v>
      </c>
      <c r="BQ23" s="437"/>
      <c r="BR23" s="437"/>
      <c r="BS23" s="437"/>
      <c r="BT23" s="438"/>
      <c r="BV23" s="425" t="s">
        <v>149</v>
      </c>
      <c r="BW23" s="426"/>
      <c r="BX23" s="426"/>
      <c r="BY23" s="427"/>
      <c r="CB23" s="436" t="s">
        <v>148</v>
      </c>
      <c r="CC23" s="437"/>
      <c r="CD23" s="437"/>
      <c r="CE23" s="437"/>
      <c r="CF23" s="438"/>
      <c r="CH23" s="425" t="s">
        <v>149</v>
      </c>
      <c r="CI23" s="426"/>
      <c r="CJ23" s="426"/>
      <c r="CK23" s="427"/>
      <c r="CN23" s="436" t="s">
        <v>148</v>
      </c>
      <c r="CO23" s="437"/>
      <c r="CP23" s="437"/>
      <c r="CQ23" s="437"/>
      <c r="CR23" s="438"/>
      <c r="CT23" s="425" t="s">
        <v>149</v>
      </c>
      <c r="CU23" s="426"/>
      <c r="CV23" s="426"/>
      <c r="CW23" s="427"/>
      <c r="CY23" s="436" t="s">
        <v>148</v>
      </c>
      <c r="CZ23" s="437"/>
      <c r="DA23" s="437"/>
      <c r="DB23" s="437"/>
      <c r="DC23" s="438"/>
      <c r="DE23" s="425" t="s">
        <v>149</v>
      </c>
      <c r="DF23" s="426"/>
      <c r="DG23" s="426"/>
      <c r="DH23" s="427"/>
    </row>
    <row r="24" spans="1:112" x14ac:dyDescent="0.2">
      <c r="A24" s="286">
        <f>F24/F22</f>
        <v>6.3174603174603175E-2</v>
      </c>
      <c r="B24" s="40" t="s">
        <v>157</v>
      </c>
      <c r="C24" s="41"/>
      <c r="D24" s="41" t="s">
        <v>102</v>
      </c>
      <c r="E24" s="42">
        <f>F22*0.04</f>
        <v>66006.36</v>
      </c>
      <c r="F24" s="513">
        <f>SUM(E24:E25)</f>
        <v>104248.14</v>
      </c>
      <c r="H24" s="428" t="s">
        <v>163</v>
      </c>
      <c r="I24" s="429"/>
      <c r="J24" s="7" t="s">
        <v>159</v>
      </c>
      <c r="K24" s="14">
        <v>0</v>
      </c>
      <c r="L24" s="286">
        <f>Q24/Q22</f>
        <v>5.9861265423290462E-2</v>
      </c>
      <c r="M24" s="40" t="s">
        <v>157</v>
      </c>
      <c r="N24" s="41"/>
      <c r="O24" s="41" t="s">
        <v>102</v>
      </c>
      <c r="P24" s="42">
        <v>82656</v>
      </c>
      <c r="Q24" s="513">
        <f>SUM(P24:P25)</f>
        <v>127746</v>
      </c>
      <c r="S24" s="428" t="s">
        <v>158</v>
      </c>
      <c r="T24" s="429"/>
      <c r="U24" s="7" t="s">
        <v>159</v>
      </c>
      <c r="V24" s="14">
        <v>30760.95</v>
      </c>
      <c r="W24" s="286">
        <f>AB24/AB22</f>
        <v>2.6050277520616123E-2</v>
      </c>
      <c r="X24" s="40" t="s">
        <v>157</v>
      </c>
      <c r="Y24" s="41"/>
      <c r="Z24" s="41" t="s">
        <v>102</v>
      </c>
      <c r="AA24" s="42">
        <v>37113</v>
      </c>
      <c r="AB24" s="513">
        <f>SUM(AA24:AA25)</f>
        <v>54786</v>
      </c>
      <c r="AD24" s="428" t="s">
        <v>158</v>
      </c>
      <c r="AE24" s="429"/>
      <c r="AF24" s="7" t="s">
        <v>159</v>
      </c>
      <c r="AG24" s="14">
        <v>36131.25</v>
      </c>
      <c r="AH24" s="286">
        <f>AM24/AM22</f>
        <v>3.4852782066828805E-2</v>
      </c>
      <c r="AI24" s="40" t="s">
        <v>157</v>
      </c>
      <c r="AJ24" s="41"/>
      <c r="AK24" s="41" t="s">
        <v>102</v>
      </c>
      <c r="AL24" s="42">
        <v>37070</v>
      </c>
      <c r="AM24" s="513">
        <f>SUM(AL24:AL25)</f>
        <v>65465</v>
      </c>
      <c r="AO24" s="428" t="s">
        <v>158</v>
      </c>
      <c r="AP24" s="429"/>
      <c r="AQ24" s="7" t="s">
        <v>159</v>
      </c>
      <c r="AR24" s="14">
        <v>25822.87</v>
      </c>
      <c r="AS24" s="286">
        <f>AX24/AX22</f>
        <v>3.5301364298663741E-2</v>
      </c>
      <c r="AT24" s="40" t="s">
        <v>157</v>
      </c>
      <c r="AU24" s="41"/>
      <c r="AV24" s="41" t="s">
        <v>102</v>
      </c>
      <c r="AW24" s="42">
        <v>35564</v>
      </c>
      <c r="AX24" s="513">
        <f>SUM(AW24:AW25)</f>
        <v>62805</v>
      </c>
      <c r="AZ24" s="428" t="s">
        <v>158</v>
      </c>
      <c r="BA24" s="429"/>
      <c r="BB24" s="7" t="s">
        <v>159</v>
      </c>
      <c r="BC24" s="14">
        <v>24561.45</v>
      </c>
      <c r="BD24" s="286">
        <f>BI24/BI22</f>
        <v>5.0215135063397781E-2</v>
      </c>
      <c r="BE24" s="40" t="s">
        <v>157</v>
      </c>
      <c r="BF24" s="41"/>
      <c r="BG24" s="41" t="s">
        <v>102</v>
      </c>
      <c r="BH24" s="42">
        <v>35620</v>
      </c>
      <c r="BI24" s="513">
        <f>SUM(BH24:BH25)</f>
        <v>68361</v>
      </c>
      <c r="BK24" s="428" t="s">
        <v>158</v>
      </c>
      <c r="BL24" s="429"/>
      <c r="BM24" s="7" t="s">
        <v>159</v>
      </c>
      <c r="BN24" s="14">
        <v>31178.14</v>
      </c>
      <c r="BO24" s="286">
        <f>BT24/BT22</f>
        <v>6.6521051305932763E-2</v>
      </c>
      <c r="BP24" s="40" t="s">
        <v>157</v>
      </c>
      <c r="BQ24" s="41"/>
      <c r="BR24" s="41" t="s">
        <v>102</v>
      </c>
      <c r="BS24" s="42">
        <v>38518</v>
      </c>
      <c r="BT24" s="513">
        <f>SUM(BS24:BS25)</f>
        <v>96612</v>
      </c>
      <c r="BV24" s="428" t="s">
        <v>158</v>
      </c>
      <c r="BW24" s="429"/>
      <c r="BX24" s="7" t="s">
        <v>159</v>
      </c>
      <c r="BY24" s="14">
        <v>32378.03</v>
      </c>
      <c r="CA24" s="286">
        <f>CF24/CF22</f>
        <v>5.7636551882597774E-2</v>
      </c>
      <c r="CB24" s="40" t="s">
        <v>157</v>
      </c>
      <c r="CC24" s="41"/>
      <c r="CD24" s="41" t="s">
        <v>102</v>
      </c>
      <c r="CE24" s="42">
        <v>25252</v>
      </c>
      <c r="CF24" s="513">
        <f>SUM(CE24:CE25)</f>
        <v>82524</v>
      </c>
      <c r="CH24" s="428" t="s">
        <v>158</v>
      </c>
      <c r="CI24" s="429"/>
      <c r="CJ24" s="7" t="s">
        <v>159</v>
      </c>
      <c r="CK24" s="14">
        <v>32090.3</v>
      </c>
      <c r="CN24" s="40" t="s">
        <v>157</v>
      </c>
      <c r="CO24" s="41"/>
      <c r="CP24" s="41" t="s">
        <v>102</v>
      </c>
      <c r="CQ24" s="42">
        <v>25252</v>
      </c>
      <c r="CR24" s="513">
        <f>SUM(CQ24:CQ25)</f>
        <v>82524</v>
      </c>
      <c r="CT24" s="428" t="s">
        <v>158</v>
      </c>
      <c r="CU24" s="429"/>
      <c r="CV24" s="7" t="s">
        <v>159</v>
      </c>
      <c r="CW24" s="14">
        <v>32090.3</v>
      </c>
      <c r="CY24" s="40" t="s">
        <v>157</v>
      </c>
      <c r="CZ24" s="41"/>
      <c r="DA24" s="41" t="s">
        <v>102</v>
      </c>
      <c r="DB24" s="42">
        <v>25252</v>
      </c>
      <c r="DC24" s="513">
        <f>SUM(DB24:DB25)</f>
        <v>82524</v>
      </c>
      <c r="DE24" s="428" t="s">
        <v>158</v>
      </c>
      <c r="DF24" s="429"/>
      <c r="DG24" s="7" t="s">
        <v>159</v>
      </c>
      <c r="DH24" s="14">
        <v>32090.3</v>
      </c>
    </row>
    <row r="25" spans="1:112" x14ac:dyDescent="0.2">
      <c r="B25" s="43" t="s">
        <v>162</v>
      </c>
      <c r="C25" s="36"/>
      <c r="D25" s="41" t="s">
        <v>102</v>
      </c>
      <c r="E25" s="44">
        <v>38241.78</v>
      </c>
      <c r="F25" s="514"/>
      <c r="H25" s="428" t="s">
        <v>172</v>
      </c>
      <c r="I25" s="429"/>
      <c r="J25" s="7" t="s">
        <v>159</v>
      </c>
      <c r="K25" s="8">
        <v>18000</v>
      </c>
      <c r="M25" s="43" t="s">
        <v>162</v>
      </c>
      <c r="N25" s="36"/>
      <c r="O25" s="41" t="s">
        <v>102</v>
      </c>
      <c r="P25" s="44">
        <v>45090</v>
      </c>
      <c r="Q25" s="514"/>
      <c r="S25" s="428" t="s">
        <v>163</v>
      </c>
      <c r="T25" s="429"/>
      <c r="U25" s="7" t="s">
        <v>159</v>
      </c>
      <c r="V25" s="14">
        <v>3881.2</v>
      </c>
      <c r="X25" s="43" t="s">
        <v>162</v>
      </c>
      <c r="Y25" s="36"/>
      <c r="Z25" s="41" t="s">
        <v>102</v>
      </c>
      <c r="AA25" s="44">
        <v>17673</v>
      </c>
      <c r="AB25" s="514"/>
      <c r="AD25" s="428" t="s">
        <v>163</v>
      </c>
      <c r="AE25" s="429"/>
      <c r="AF25" s="7" t="s">
        <v>159</v>
      </c>
      <c r="AG25" s="14">
        <v>2156.2199999999998</v>
      </c>
      <c r="AI25" s="43" t="s">
        <v>162</v>
      </c>
      <c r="AJ25" s="36"/>
      <c r="AK25" s="41" t="s">
        <v>102</v>
      </c>
      <c r="AL25" s="44">
        <v>28395</v>
      </c>
      <c r="AM25" s="514"/>
      <c r="AO25" s="428" t="s">
        <v>163</v>
      </c>
      <c r="AP25" s="429"/>
      <c r="AQ25" s="7" t="s">
        <v>159</v>
      </c>
      <c r="AR25" s="14">
        <v>539.05999999999995</v>
      </c>
      <c r="AT25" s="43" t="s">
        <v>162</v>
      </c>
      <c r="AU25" s="36"/>
      <c r="AV25" s="41" t="s">
        <v>102</v>
      </c>
      <c r="AW25" s="44">
        <v>27241</v>
      </c>
      <c r="AX25" s="514"/>
      <c r="AZ25" s="428" t="s">
        <v>163</v>
      </c>
      <c r="BA25" s="429"/>
      <c r="BB25" s="7" t="s">
        <v>159</v>
      </c>
      <c r="BC25" s="14">
        <v>336</v>
      </c>
      <c r="BE25" s="43" t="s">
        <v>162</v>
      </c>
      <c r="BF25" s="36"/>
      <c r="BG25" s="41" t="s">
        <v>102</v>
      </c>
      <c r="BH25" s="44">
        <v>32741</v>
      </c>
      <c r="BI25" s="514"/>
      <c r="BK25" s="428" t="s">
        <v>163</v>
      </c>
      <c r="BL25" s="429"/>
      <c r="BM25" s="7" t="s">
        <v>159</v>
      </c>
      <c r="BN25" s="14">
        <v>0</v>
      </c>
      <c r="BP25" s="43" t="s">
        <v>162</v>
      </c>
      <c r="BQ25" s="36"/>
      <c r="BR25" s="41" t="s">
        <v>102</v>
      </c>
      <c r="BS25" s="44">
        <v>58094</v>
      </c>
      <c r="BT25" s="514"/>
      <c r="BV25" s="428" t="s">
        <v>163</v>
      </c>
      <c r="BW25" s="429"/>
      <c r="BX25" s="7" t="s">
        <v>159</v>
      </c>
      <c r="BY25" s="14">
        <v>0</v>
      </c>
      <c r="CB25" s="43" t="s">
        <v>162</v>
      </c>
      <c r="CC25" s="36"/>
      <c r="CD25" s="41" t="s">
        <v>102</v>
      </c>
      <c r="CE25" s="44">
        <v>57272</v>
      </c>
      <c r="CF25" s="514"/>
      <c r="CH25" s="428" t="s">
        <v>163</v>
      </c>
      <c r="CI25" s="429"/>
      <c r="CJ25" s="7" t="s">
        <v>159</v>
      </c>
      <c r="CK25" s="14">
        <v>0</v>
      </c>
      <c r="CN25" s="43" t="s">
        <v>162</v>
      </c>
      <c r="CO25" s="36"/>
      <c r="CP25" s="41" t="s">
        <v>102</v>
      </c>
      <c r="CQ25" s="44">
        <v>57272</v>
      </c>
      <c r="CR25" s="514"/>
      <c r="CT25" s="428" t="s">
        <v>163</v>
      </c>
      <c r="CU25" s="429"/>
      <c r="CV25" s="7" t="s">
        <v>159</v>
      </c>
      <c r="CW25" s="14">
        <v>0</v>
      </c>
      <c r="CY25" s="43" t="s">
        <v>162</v>
      </c>
      <c r="CZ25" s="36"/>
      <c r="DA25" s="41" t="s">
        <v>102</v>
      </c>
      <c r="DB25" s="44">
        <v>57272</v>
      </c>
      <c r="DC25" s="514"/>
      <c r="DE25" s="428" t="s">
        <v>163</v>
      </c>
      <c r="DF25" s="429"/>
      <c r="DG25" s="7" t="s">
        <v>159</v>
      </c>
      <c r="DH25" s="14">
        <v>0</v>
      </c>
    </row>
    <row r="26" spans="1:112" ht="14.25" customHeight="1" thickBot="1" x14ac:dyDescent="0.25">
      <c r="B26" s="539" t="s">
        <v>171</v>
      </c>
      <c r="C26" s="540"/>
      <c r="D26" s="540"/>
      <c r="E26" s="541"/>
      <c r="F26" s="82">
        <f>SUM(F22:F24)</f>
        <v>1754407.14</v>
      </c>
      <c r="H26" s="428" t="s">
        <v>175</v>
      </c>
      <c r="I26" s="429"/>
      <c r="J26" s="3" t="s">
        <v>124</v>
      </c>
      <c r="K26" s="8">
        <v>5000</v>
      </c>
      <c r="M26" s="446" t="s">
        <v>171</v>
      </c>
      <c r="N26" s="447"/>
      <c r="O26" s="447"/>
      <c r="P26" s="448"/>
      <c r="Q26" s="26">
        <f>SUM(Q22:Q24)</f>
        <v>2261780.406</v>
      </c>
      <c r="S26" s="428" t="s">
        <v>172</v>
      </c>
      <c r="T26" s="429"/>
      <c r="U26" s="7" t="s">
        <v>159</v>
      </c>
      <c r="V26" s="8">
        <v>15000</v>
      </c>
      <c r="X26" s="446" t="s">
        <v>171</v>
      </c>
      <c r="Y26" s="447"/>
      <c r="Z26" s="447"/>
      <c r="AA26" s="448"/>
      <c r="AB26" s="26">
        <f>SUM(AB22:AB24)</f>
        <v>2157873</v>
      </c>
      <c r="AD26" s="428" t="s">
        <v>172</v>
      </c>
      <c r="AE26" s="429"/>
      <c r="AF26" s="7" t="s">
        <v>159</v>
      </c>
      <c r="AG26" s="8">
        <v>22500</v>
      </c>
      <c r="AI26" s="446" t="s">
        <v>171</v>
      </c>
      <c r="AJ26" s="447"/>
      <c r="AK26" s="447"/>
      <c r="AL26" s="448"/>
      <c r="AM26" s="26">
        <f>SUM(AM22:AM24)</f>
        <v>1943794.25</v>
      </c>
      <c r="AO26" s="428" t="s">
        <v>172</v>
      </c>
      <c r="AP26" s="429"/>
      <c r="AQ26" s="7" t="s">
        <v>159</v>
      </c>
      <c r="AR26" s="8">
        <v>20000</v>
      </c>
      <c r="AT26" s="446" t="s">
        <v>171</v>
      </c>
      <c r="AU26" s="447"/>
      <c r="AV26" s="447"/>
      <c r="AW26" s="448"/>
      <c r="AX26" s="26">
        <f>SUM(AX22:AX24)</f>
        <v>1841914.71</v>
      </c>
      <c r="AZ26" s="428" t="s">
        <v>172</v>
      </c>
      <c r="BA26" s="429"/>
      <c r="BB26" s="7" t="s">
        <v>159</v>
      </c>
      <c r="BC26" s="8">
        <v>20000</v>
      </c>
      <c r="BE26" s="446" t="s">
        <v>171</v>
      </c>
      <c r="BF26" s="447"/>
      <c r="BG26" s="447"/>
      <c r="BH26" s="448"/>
      <c r="BI26" s="26">
        <f>SUM(BI22:BI24)</f>
        <v>1429723.4639999999</v>
      </c>
      <c r="BK26" s="428" t="s">
        <v>172</v>
      </c>
      <c r="BL26" s="429"/>
      <c r="BM26" s="7" t="s">
        <v>159</v>
      </c>
      <c r="BN26" s="8">
        <v>15000</v>
      </c>
      <c r="BP26" s="446" t="s">
        <v>171</v>
      </c>
      <c r="BQ26" s="447"/>
      <c r="BR26" s="447"/>
      <c r="BS26" s="448"/>
      <c r="BT26" s="26">
        <f>SUM(BT22:BT24)</f>
        <v>1548964.2719999999</v>
      </c>
      <c r="BV26" s="428" t="s">
        <v>172</v>
      </c>
      <c r="BW26" s="429"/>
      <c r="BX26" s="7" t="s">
        <v>159</v>
      </c>
      <c r="BY26" s="8">
        <v>18000</v>
      </c>
      <c r="CB26" s="446" t="s">
        <v>171</v>
      </c>
      <c r="CC26" s="447"/>
      <c r="CD26" s="447"/>
      <c r="CE26" s="448"/>
      <c r="CF26" s="26">
        <f>SUM(CF22:CF24)</f>
        <v>1514323.74</v>
      </c>
      <c r="CH26" s="428" t="s">
        <v>172</v>
      </c>
      <c r="CI26" s="429"/>
      <c r="CJ26" s="7" t="s">
        <v>159</v>
      </c>
      <c r="CK26" s="8">
        <v>18000</v>
      </c>
      <c r="CN26" s="446" t="s">
        <v>171</v>
      </c>
      <c r="CO26" s="447"/>
      <c r="CP26" s="447"/>
      <c r="CQ26" s="448"/>
      <c r="CR26" s="26">
        <f>SUM(CR22:CR24)</f>
        <v>1814709</v>
      </c>
      <c r="CT26" s="428" t="s">
        <v>172</v>
      </c>
      <c r="CU26" s="429"/>
      <c r="CV26" s="7" t="s">
        <v>159</v>
      </c>
      <c r="CW26" s="8">
        <v>18000</v>
      </c>
      <c r="CY26" s="446" t="s">
        <v>171</v>
      </c>
      <c r="CZ26" s="447"/>
      <c r="DA26" s="447"/>
      <c r="DB26" s="448"/>
      <c r="DC26" s="26">
        <f>SUM(DC22:DC24)</f>
        <v>1887474</v>
      </c>
      <c r="DE26" s="428" t="s">
        <v>172</v>
      </c>
      <c r="DF26" s="429"/>
      <c r="DG26" s="7" t="s">
        <v>159</v>
      </c>
      <c r="DH26" s="8">
        <v>18000</v>
      </c>
    </row>
    <row r="27" spans="1:112" ht="15" thickBot="1" x14ac:dyDescent="0.25">
      <c r="B27" s="436" t="s">
        <v>174</v>
      </c>
      <c r="C27" s="437"/>
      <c r="D27" s="437"/>
      <c r="E27" s="441"/>
      <c r="F27" s="38"/>
      <c r="H27" s="428" t="s">
        <v>181</v>
      </c>
      <c r="I27" s="429"/>
      <c r="J27" s="3" t="s">
        <v>124</v>
      </c>
      <c r="K27" s="8">
        <v>1500</v>
      </c>
      <c r="M27" s="436" t="s">
        <v>174</v>
      </c>
      <c r="N27" s="437"/>
      <c r="O27" s="437"/>
      <c r="P27" s="441"/>
      <c r="Q27" s="38"/>
      <c r="S27" s="428" t="s">
        <v>175</v>
      </c>
      <c r="T27" s="429"/>
      <c r="U27" s="3" t="s">
        <v>124</v>
      </c>
      <c r="V27" s="8">
        <v>6000</v>
      </c>
      <c r="X27" s="436" t="s">
        <v>174</v>
      </c>
      <c r="Y27" s="437"/>
      <c r="Z27" s="437"/>
      <c r="AA27" s="441"/>
      <c r="AB27" s="38"/>
      <c r="AD27" s="428" t="s">
        <v>175</v>
      </c>
      <c r="AE27" s="429"/>
      <c r="AF27" s="3" t="s">
        <v>124</v>
      </c>
      <c r="AG27" s="8">
        <v>6000</v>
      </c>
      <c r="AI27" s="436" t="s">
        <v>174</v>
      </c>
      <c r="AJ27" s="437"/>
      <c r="AK27" s="437"/>
      <c r="AL27" s="441"/>
      <c r="AM27" s="38"/>
      <c r="AO27" s="428" t="s">
        <v>175</v>
      </c>
      <c r="AP27" s="429"/>
      <c r="AQ27" s="3" t="s">
        <v>124</v>
      </c>
      <c r="AR27" s="8">
        <v>6000</v>
      </c>
      <c r="AT27" s="436" t="s">
        <v>174</v>
      </c>
      <c r="AU27" s="437"/>
      <c r="AV27" s="437"/>
      <c r="AW27" s="441"/>
      <c r="AX27" s="38"/>
      <c r="AZ27" s="428" t="s">
        <v>175</v>
      </c>
      <c r="BA27" s="429"/>
      <c r="BB27" s="3" t="s">
        <v>124</v>
      </c>
      <c r="BC27" s="8">
        <v>6000</v>
      </c>
      <c r="BE27" s="436" t="s">
        <v>174</v>
      </c>
      <c r="BF27" s="437"/>
      <c r="BG27" s="437"/>
      <c r="BH27" s="441"/>
      <c r="BI27" s="38"/>
      <c r="BK27" s="428" t="s">
        <v>175</v>
      </c>
      <c r="BL27" s="429"/>
      <c r="BM27" s="3" t="s">
        <v>124</v>
      </c>
      <c r="BN27" s="8">
        <v>6000</v>
      </c>
      <c r="BP27" s="436" t="s">
        <v>174</v>
      </c>
      <c r="BQ27" s="437"/>
      <c r="BR27" s="437"/>
      <c r="BS27" s="441"/>
      <c r="BT27" s="38"/>
      <c r="BV27" s="428" t="s">
        <v>175</v>
      </c>
      <c r="BW27" s="429"/>
      <c r="BX27" s="3" t="s">
        <v>124</v>
      </c>
      <c r="BY27" s="8">
        <v>6000</v>
      </c>
      <c r="CB27" s="436" t="s">
        <v>174</v>
      </c>
      <c r="CC27" s="437"/>
      <c r="CD27" s="437"/>
      <c r="CE27" s="441"/>
      <c r="CF27" s="38"/>
      <c r="CH27" s="428" t="s">
        <v>175</v>
      </c>
      <c r="CI27" s="429"/>
      <c r="CJ27" s="3" t="s">
        <v>124</v>
      </c>
      <c r="CK27" s="8">
        <v>6000</v>
      </c>
      <c r="CN27" s="436" t="s">
        <v>174</v>
      </c>
      <c r="CO27" s="437"/>
      <c r="CP27" s="437"/>
      <c r="CQ27" s="441"/>
      <c r="CR27" s="38"/>
      <c r="CT27" s="428" t="s">
        <v>175</v>
      </c>
      <c r="CU27" s="429"/>
      <c r="CV27" s="3" t="s">
        <v>124</v>
      </c>
      <c r="CW27" s="8">
        <v>6000</v>
      </c>
      <c r="CY27" s="436" t="s">
        <v>174</v>
      </c>
      <c r="CZ27" s="437"/>
      <c r="DA27" s="437"/>
      <c r="DB27" s="441"/>
      <c r="DC27" s="38"/>
      <c r="DE27" s="428" t="s">
        <v>175</v>
      </c>
      <c r="DF27" s="429"/>
      <c r="DG27" s="3" t="s">
        <v>124</v>
      </c>
      <c r="DH27" s="8">
        <v>6000</v>
      </c>
    </row>
    <row r="28" spans="1:112" ht="14.25" customHeight="1" x14ac:dyDescent="0.2">
      <c r="B28" s="45" t="s">
        <v>180</v>
      </c>
      <c r="C28" s="46"/>
      <c r="D28" s="21" t="s">
        <v>159</v>
      </c>
      <c r="E28" s="37">
        <v>0</v>
      </c>
      <c r="F28" s="510">
        <f>SUM(E28:E34)</f>
        <v>15489.348925</v>
      </c>
      <c r="H28" s="428" t="s">
        <v>186</v>
      </c>
      <c r="I28" s="429"/>
      <c r="J28" s="3" t="s">
        <v>124</v>
      </c>
      <c r="K28" s="8">
        <v>36000</v>
      </c>
      <c r="M28" s="45" t="s">
        <v>180</v>
      </c>
      <c r="N28" s="46"/>
      <c r="O28" s="21" t="s">
        <v>159</v>
      </c>
      <c r="P28" s="37">
        <v>0</v>
      </c>
      <c r="Q28" s="510">
        <f>SUM(P28:P34)</f>
        <v>15045.455507499999</v>
      </c>
      <c r="S28" s="428" t="s">
        <v>181</v>
      </c>
      <c r="T28" s="429"/>
      <c r="U28" s="3" t="s">
        <v>124</v>
      </c>
      <c r="V28" s="8">
        <v>2000</v>
      </c>
      <c r="X28" s="45" t="s">
        <v>180</v>
      </c>
      <c r="Y28" s="46"/>
      <c r="Z28" s="21" t="s">
        <v>159</v>
      </c>
      <c r="AA28" s="37">
        <v>0</v>
      </c>
      <c r="AB28" s="510">
        <f>SUM(AA28:AA34)</f>
        <v>14952.240000000002</v>
      </c>
      <c r="AD28" s="428" t="s">
        <v>181</v>
      </c>
      <c r="AE28" s="429"/>
      <c r="AF28" s="3" t="s">
        <v>124</v>
      </c>
      <c r="AG28" s="8">
        <v>2000</v>
      </c>
      <c r="AI28" s="45" t="s">
        <v>180</v>
      </c>
      <c r="AJ28" s="46"/>
      <c r="AK28" s="21" t="s">
        <v>159</v>
      </c>
      <c r="AL28" s="37">
        <v>0</v>
      </c>
      <c r="AM28" s="510">
        <f>SUM(AL28:AL34)</f>
        <v>14660.060000000001</v>
      </c>
      <c r="AO28" s="428" t="s">
        <v>181</v>
      </c>
      <c r="AP28" s="429"/>
      <c r="AQ28" s="3" t="s">
        <v>124</v>
      </c>
      <c r="AR28" s="8">
        <v>2000</v>
      </c>
      <c r="AT28" s="45" t="s">
        <v>180</v>
      </c>
      <c r="AU28" s="46"/>
      <c r="AV28" s="21" t="s">
        <v>159</v>
      </c>
      <c r="AW28" s="37">
        <v>0</v>
      </c>
      <c r="AX28" s="510">
        <f>SUM(AW28:AW34)</f>
        <v>14531.07</v>
      </c>
      <c r="AZ28" s="428" t="s">
        <v>181</v>
      </c>
      <c r="BA28" s="429"/>
      <c r="BB28" s="3" t="s">
        <v>124</v>
      </c>
      <c r="BC28" s="8">
        <v>2000</v>
      </c>
      <c r="BE28" s="45" t="s">
        <v>180</v>
      </c>
      <c r="BF28" s="46"/>
      <c r="BG28" s="21" t="s">
        <v>159</v>
      </c>
      <c r="BH28" s="37">
        <v>0</v>
      </c>
      <c r="BI28" s="510">
        <f>SUM(BH28:BH34)</f>
        <v>14061.7</v>
      </c>
      <c r="BK28" s="428" t="s">
        <v>181</v>
      </c>
      <c r="BL28" s="429"/>
      <c r="BM28" s="3" t="s">
        <v>124</v>
      </c>
      <c r="BN28" s="8">
        <v>2000</v>
      </c>
      <c r="BP28" s="45" t="s">
        <v>180</v>
      </c>
      <c r="BQ28" s="46"/>
      <c r="BR28" s="21" t="s">
        <v>159</v>
      </c>
      <c r="BS28" s="37">
        <v>0</v>
      </c>
      <c r="BT28" s="510">
        <f>SUM(BS28:BS34)</f>
        <v>14729.86</v>
      </c>
      <c r="BV28" s="428" t="s">
        <v>181</v>
      </c>
      <c r="BW28" s="429"/>
      <c r="BX28" s="3" t="s">
        <v>124</v>
      </c>
      <c r="BY28" s="8">
        <v>2000</v>
      </c>
      <c r="CB28" s="45" t="s">
        <v>180</v>
      </c>
      <c r="CC28" s="46"/>
      <c r="CD28" s="21" t="s">
        <v>159</v>
      </c>
      <c r="CE28" s="37">
        <v>0</v>
      </c>
      <c r="CF28" s="510">
        <f>SUM(CE28:CE34)</f>
        <v>15024.24</v>
      </c>
      <c r="CH28" s="428" t="s">
        <v>181</v>
      </c>
      <c r="CI28" s="429"/>
      <c r="CJ28" s="3" t="s">
        <v>124</v>
      </c>
      <c r="CK28" s="8">
        <v>2000</v>
      </c>
      <c r="CN28" s="45" t="s">
        <v>180</v>
      </c>
      <c r="CO28" s="46"/>
      <c r="CP28" s="21" t="s">
        <v>159</v>
      </c>
      <c r="CQ28" s="37">
        <v>0</v>
      </c>
      <c r="CR28" s="510">
        <f>SUM(CQ28:CQ34)</f>
        <v>15024.24</v>
      </c>
      <c r="CT28" s="428" t="s">
        <v>181</v>
      </c>
      <c r="CU28" s="429"/>
      <c r="CV28" s="3" t="s">
        <v>124</v>
      </c>
      <c r="CW28" s="8">
        <v>2000</v>
      </c>
      <c r="CY28" s="45" t="s">
        <v>180</v>
      </c>
      <c r="CZ28" s="46"/>
      <c r="DA28" s="21" t="s">
        <v>159</v>
      </c>
      <c r="DB28" s="37">
        <v>0</v>
      </c>
      <c r="DC28" s="510">
        <f>SUM(DB28:DB34)</f>
        <v>15024.24</v>
      </c>
      <c r="DE28" s="428" t="s">
        <v>181</v>
      </c>
      <c r="DF28" s="429"/>
      <c r="DG28" s="3" t="s">
        <v>124</v>
      </c>
      <c r="DH28" s="8">
        <v>2000</v>
      </c>
    </row>
    <row r="29" spans="1:112" x14ac:dyDescent="0.2">
      <c r="B29" s="45" t="s">
        <v>185</v>
      </c>
      <c r="C29" s="46"/>
      <c r="D29" s="21" t="s">
        <v>159</v>
      </c>
      <c r="E29" s="37">
        <v>0</v>
      </c>
      <c r="F29" s="511"/>
      <c r="H29" s="428" t="s">
        <v>190</v>
      </c>
      <c r="I29" s="429"/>
      <c r="J29" s="3" t="s">
        <v>124</v>
      </c>
      <c r="K29" s="8">
        <v>3500</v>
      </c>
      <c r="M29" s="45" t="s">
        <v>185</v>
      </c>
      <c r="N29" s="46"/>
      <c r="O29" s="21" t="s">
        <v>159</v>
      </c>
      <c r="P29" s="37">
        <v>0</v>
      </c>
      <c r="Q29" s="511"/>
      <c r="S29" s="428" t="s">
        <v>186</v>
      </c>
      <c r="T29" s="429"/>
      <c r="U29" s="3" t="s">
        <v>124</v>
      </c>
      <c r="V29" s="8">
        <v>40000</v>
      </c>
      <c r="X29" s="45" t="s">
        <v>185</v>
      </c>
      <c r="Y29" s="46"/>
      <c r="Z29" s="21" t="s">
        <v>159</v>
      </c>
      <c r="AA29" s="37">
        <v>0</v>
      </c>
      <c r="AB29" s="511"/>
      <c r="AD29" s="428" t="s">
        <v>186</v>
      </c>
      <c r="AE29" s="429"/>
      <c r="AF29" s="3" t="s">
        <v>124</v>
      </c>
      <c r="AG29" s="8">
        <v>40000</v>
      </c>
      <c r="AI29" s="45" t="s">
        <v>185</v>
      </c>
      <c r="AJ29" s="46"/>
      <c r="AK29" s="21" t="s">
        <v>159</v>
      </c>
      <c r="AL29" s="37">
        <v>0</v>
      </c>
      <c r="AM29" s="511"/>
      <c r="AO29" s="428" t="s">
        <v>186</v>
      </c>
      <c r="AP29" s="429"/>
      <c r="AQ29" s="3" t="s">
        <v>124</v>
      </c>
      <c r="AR29" s="8">
        <v>40000</v>
      </c>
      <c r="AT29" s="45" t="s">
        <v>185</v>
      </c>
      <c r="AU29" s="46"/>
      <c r="AV29" s="21" t="s">
        <v>159</v>
      </c>
      <c r="AW29" s="37">
        <v>0</v>
      </c>
      <c r="AX29" s="511"/>
      <c r="AZ29" s="428" t="s">
        <v>186</v>
      </c>
      <c r="BA29" s="429"/>
      <c r="BB29" s="3" t="s">
        <v>124</v>
      </c>
      <c r="BC29" s="8">
        <v>40000</v>
      </c>
      <c r="BE29" s="45" t="s">
        <v>185</v>
      </c>
      <c r="BF29" s="46"/>
      <c r="BG29" s="21" t="s">
        <v>159</v>
      </c>
      <c r="BH29" s="37">
        <v>0</v>
      </c>
      <c r="BI29" s="511"/>
      <c r="BK29" s="428" t="s">
        <v>186</v>
      </c>
      <c r="BL29" s="429"/>
      <c r="BM29" s="3" t="s">
        <v>124</v>
      </c>
      <c r="BN29" s="8">
        <v>42000</v>
      </c>
      <c r="BP29" s="45" t="s">
        <v>185</v>
      </c>
      <c r="BQ29" s="46"/>
      <c r="BR29" s="21" t="s">
        <v>159</v>
      </c>
      <c r="BS29" s="37">
        <v>0</v>
      </c>
      <c r="BT29" s="511"/>
      <c r="BV29" s="428" t="s">
        <v>186</v>
      </c>
      <c r="BW29" s="429"/>
      <c r="BX29" s="3" t="s">
        <v>124</v>
      </c>
      <c r="BY29" s="8">
        <v>42000</v>
      </c>
      <c r="CB29" s="45" t="s">
        <v>185</v>
      </c>
      <c r="CC29" s="46"/>
      <c r="CD29" s="21" t="s">
        <v>159</v>
      </c>
      <c r="CE29" s="37">
        <v>0</v>
      </c>
      <c r="CF29" s="511"/>
      <c r="CH29" s="428" t="s">
        <v>186</v>
      </c>
      <c r="CI29" s="429"/>
      <c r="CJ29" s="3" t="s">
        <v>124</v>
      </c>
      <c r="CK29" s="8">
        <v>42000</v>
      </c>
      <c r="CN29" s="45" t="s">
        <v>185</v>
      </c>
      <c r="CO29" s="46"/>
      <c r="CP29" s="21" t="s">
        <v>159</v>
      </c>
      <c r="CQ29" s="37">
        <v>0</v>
      </c>
      <c r="CR29" s="511"/>
      <c r="CT29" s="428" t="s">
        <v>186</v>
      </c>
      <c r="CU29" s="429"/>
      <c r="CV29" s="3" t="s">
        <v>124</v>
      </c>
      <c r="CW29" s="8">
        <v>42000</v>
      </c>
      <c r="CY29" s="45" t="s">
        <v>185</v>
      </c>
      <c r="CZ29" s="46"/>
      <c r="DA29" s="21" t="s">
        <v>159</v>
      </c>
      <c r="DB29" s="37">
        <v>0</v>
      </c>
      <c r="DC29" s="511"/>
      <c r="DE29" s="428" t="s">
        <v>186</v>
      </c>
      <c r="DF29" s="429"/>
      <c r="DG29" s="3" t="s">
        <v>124</v>
      </c>
      <c r="DH29" s="8">
        <v>42000</v>
      </c>
    </row>
    <row r="30" spans="1:112" x14ac:dyDescent="0.2">
      <c r="B30" s="45" t="s">
        <v>189</v>
      </c>
      <c r="C30" s="46"/>
      <c r="D30" s="21" t="s">
        <v>102</v>
      </c>
      <c r="E30" s="37">
        <f>IF(E24+F22+E25&gt;200000,((E24+F22+E25-200000)*0.00125)+5300,IF(E24+F22+E25&gt;100000,5300,IF(E24+F22+E25&gt;60000,4700,IF(E24+F22+E25&gt;50000,4000,IF(E24+F22+E25&gt;40000,3600,IF(E24+F22+E25&gt;30000,3300,IF(E24+F22+E25&gt;20000,2700,IF(E24+F22+E25&gt;10000,2000,1300))))))))</f>
        <v>7243.0089250000001</v>
      </c>
      <c r="F30" s="511"/>
      <c r="H30" s="428" t="s">
        <v>195</v>
      </c>
      <c r="I30" s="429"/>
      <c r="J30" s="3" t="s">
        <v>124</v>
      </c>
      <c r="K30" s="8">
        <v>10000</v>
      </c>
      <c r="M30" s="45" t="s">
        <v>189</v>
      </c>
      <c r="N30" s="46"/>
      <c r="O30" s="21" t="s">
        <v>102</v>
      </c>
      <c r="P30" s="37">
        <f>IF(P24+Q22+P25&gt;200000,((P24+Q22+P25-200000)*0.00125)+5300,IF(P24+Q22+P25&gt;100000,5300,IF(P24+Q22+P25&gt;60000,4700,IF(P24+Q22+P25&gt;50000,4000,IF(P24+Q22+P25&gt;40000,3600,IF(P24+Q22+P25&gt;30000,3300,IF(P24+Q22+P25&gt;20000,2700,IF(P24+Q22+P25&gt;10000,2000,1300))))))))</f>
        <v>7877.2255074999994</v>
      </c>
      <c r="Q30" s="511"/>
      <c r="S30" s="428" t="s">
        <v>190</v>
      </c>
      <c r="T30" s="429"/>
      <c r="U30" s="3" t="s">
        <v>124</v>
      </c>
      <c r="V30" s="8">
        <v>1500</v>
      </c>
      <c r="X30" s="45" t="s">
        <v>189</v>
      </c>
      <c r="Y30" s="46"/>
      <c r="Z30" s="21" t="s">
        <v>102</v>
      </c>
      <c r="AA30" s="37">
        <v>7784.01</v>
      </c>
      <c r="AB30" s="511"/>
      <c r="AD30" s="428" t="s">
        <v>190</v>
      </c>
      <c r="AE30" s="429"/>
      <c r="AF30" s="3" t="s">
        <v>124</v>
      </c>
      <c r="AG30" s="8">
        <v>1500</v>
      </c>
      <c r="AI30" s="45" t="s">
        <v>189</v>
      </c>
      <c r="AJ30" s="46"/>
      <c r="AK30" s="21" t="s">
        <v>102</v>
      </c>
      <c r="AL30" s="37">
        <v>7491.83</v>
      </c>
      <c r="AM30" s="511"/>
      <c r="AO30" s="428" t="s">
        <v>190</v>
      </c>
      <c r="AP30" s="429"/>
      <c r="AQ30" s="3" t="s">
        <v>124</v>
      </c>
      <c r="AR30" s="8">
        <v>1500</v>
      </c>
      <c r="AT30" s="45" t="s">
        <v>189</v>
      </c>
      <c r="AU30" s="46"/>
      <c r="AV30" s="21" t="s">
        <v>102</v>
      </c>
      <c r="AW30" s="37">
        <v>7362.84</v>
      </c>
      <c r="AX30" s="511"/>
      <c r="AZ30" s="428" t="s">
        <v>190</v>
      </c>
      <c r="BA30" s="429"/>
      <c r="BB30" s="3" t="s">
        <v>124</v>
      </c>
      <c r="BC30" s="8">
        <v>1500</v>
      </c>
      <c r="BE30" s="45" t="s">
        <v>189</v>
      </c>
      <c r="BF30" s="46"/>
      <c r="BG30" s="21" t="s">
        <v>102</v>
      </c>
      <c r="BH30" s="37">
        <v>6893.47</v>
      </c>
      <c r="BI30" s="511"/>
      <c r="BK30" s="428" t="s">
        <v>190</v>
      </c>
      <c r="BL30" s="429"/>
      <c r="BM30" s="3" t="s">
        <v>124</v>
      </c>
      <c r="BN30" s="8">
        <v>1500</v>
      </c>
      <c r="BP30" s="45" t="s">
        <v>189</v>
      </c>
      <c r="BQ30" s="46"/>
      <c r="BR30" s="21" t="s">
        <v>102</v>
      </c>
      <c r="BS30" s="37">
        <v>6979.96</v>
      </c>
      <c r="BT30" s="511"/>
      <c r="BV30" s="428" t="s">
        <v>190</v>
      </c>
      <c r="BW30" s="429"/>
      <c r="BX30" s="3" t="s">
        <v>124</v>
      </c>
      <c r="BY30" s="8">
        <v>1500</v>
      </c>
      <c r="CB30" s="45" t="s">
        <v>189</v>
      </c>
      <c r="CC30" s="46"/>
      <c r="CD30" s="21" t="s">
        <v>102</v>
      </c>
      <c r="CE30" s="37">
        <v>7274.34</v>
      </c>
      <c r="CF30" s="511"/>
      <c r="CH30" s="428" t="s">
        <v>190</v>
      </c>
      <c r="CI30" s="429"/>
      <c r="CJ30" s="3" t="s">
        <v>124</v>
      </c>
      <c r="CK30" s="8">
        <v>1500</v>
      </c>
      <c r="CN30" s="45" t="s">
        <v>189</v>
      </c>
      <c r="CO30" s="46"/>
      <c r="CP30" s="21" t="s">
        <v>102</v>
      </c>
      <c r="CQ30" s="37">
        <v>7274.34</v>
      </c>
      <c r="CR30" s="511"/>
      <c r="CT30" s="428" t="s">
        <v>190</v>
      </c>
      <c r="CU30" s="429"/>
      <c r="CV30" s="3" t="s">
        <v>124</v>
      </c>
      <c r="CW30" s="8">
        <v>1500</v>
      </c>
      <c r="CY30" s="45" t="s">
        <v>189</v>
      </c>
      <c r="CZ30" s="46"/>
      <c r="DA30" s="21" t="s">
        <v>102</v>
      </c>
      <c r="DB30" s="37">
        <v>7274.34</v>
      </c>
      <c r="DC30" s="511"/>
      <c r="DE30" s="428" t="s">
        <v>190</v>
      </c>
      <c r="DF30" s="429"/>
      <c r="DG30" s="3" t="s">
        <v>124</v>
      </c>
      <c r="DH30" s="8">
        <v>1500</v>
      </c>
    </row>
    <row r="31" spans="1:112" x14ac:dyDescent="0.2">
      <c r="B31" s="45" t="s">
        <v>194</v>
      </c>
      <c r="C31" s="46"/>
      <c r="D31" s="21" t="s">
        <v>159</v>
      </c>
      <c r="E31" s="37">
        <v>581.66999999999996</v>
      </c>
      <c r="F31" s="511"/>
      <c r="H31" s="544" t="s">
        <v>199</v>
      </c>
      <c r="I31" s="545"/>
      <c r="J31" s="3" t="s">
        <v>124</v>
      </c>
      <c r="K31" s="8">
        <v>0</v>
      </c>
      <c r="M31" s="45" t="s">
        <v>194</v>
      </c>
      <c r="N31" s="46"/>
      <c r="O31" s="21" t="s">
        <v>159</v>
      </c>
      <c r="P31" s="37">
        <v>581.66999999999996</v>
      </c>
      <c r="Q31" s="511"/>
      <c r="S31" s="428" t="s">
        <v>195</v>
      </c>
      <c r="T31" s="429"/>
      <c r="U31" s="3" t="s">
        <v>124</v>
      </c>
      <c r="V31" s="8">
        <v>1000</v>
      </c>
      <c r="X31" s="45" t="s">
        <v>194</v>
      </c>
      <c r="Y31" s="46"/>
      <c r="Z31" s="21" t="s">
        <v>159</v>
      </c>
      <c r="AA31" s="37">
        <v>581.66999999999996</v>
      </c>
      <c r="AB31" s="511"/>
      <c r="AD31" s="428" t="s">
        <v>195</v>
      </c>
      <c r="AE31" s="429"/>
      <c r="AF31" s="3" t="s">
        <v>124</v>
      </c>
      <c r="AG31" s="8">
        <v>1000</v>
      </c>
      <c r="AI31" s="45" t="s">
        <v>194</v>
      </c>
      <c r="AJ31" s="46"/>
      <c r="AK31" s="21" t="s">
        <v>159</v>
      </c>
      <c r="AL31" s="37">
        <v>581.66999999999996</v>
      </c>
      <c r="AM31" s="511"/>
      <c r="AO31" s="428" t="s">
        <v>195</v>
      </c>
      <c r="AP31" s="429"/>
      <c r="AQ31" s="3" t="s">
        <v>124</v>
      </c>
      <c r="AR31" s="8">
        <v>2000</v>
      </c>
      <c r="AT31" s="45" t="s">
        <v>194</v>
      </c>
      <c r="AU31" s="46"/>
      <c r="AV31" s="21" t="s">
        <v>159</v>
      </c>
      <c r="AW31" s="37">
        <v>581.66999999999996</v>
      </c>
      <c r="AX31" s="511"/>
      <c r="AZ31" s="428" t="s">
        <v>195</v>
      </c>
      <c r="BA31" s="429"/>
      <c r="BB31" s="3" t="s">
        <v>124</v>
      </c>
      <c r="BC31" s="8">
        <v>2000</v>
      </c>
      <c r="BE31" s="45" t="s">
        <v>194</v>
      </c>
      <c r="BF31" s="46"/>
      <c r="BG31" s="21" t="s">
        <v>159</v>
      </c>
      <c r="BH31" s="37">
        <v>581.66999999999996</v>
      </c>
      <c r="BI31" s="511"/>
      <c r="BK31" s="428" t="s">
        <v>195</v>
      </c>
      <c r="BL31" s="429"/>
      <c r="BM31" s="3" t="s">
        <v>124</v>
      </c>
      <c r="BN31" s="8">
        <v>2000</v>
      </c>
      <c r="BP31" s="45" t="s">
        <v>194</v>
      </c>
      <c r="BQ31" s="46"/>
      <c r="BR31" s="21" t="s">
        <v>159</v>
      </c>
      <c r="BS31" s="37">
        <v>581.66999999999996</v>
      </c>
      <c r="BT31" s="511"/>
      <c r="BV31" s="428" t="s">
        <v>195</v>
      </c>
      <c r="BW31" s="429"/>
      <c r="BX31" s="3" t="s">
        <v>124</v>
      </c>
      <c r="BY31" s="8">
        <v>2000</v>
      </c>
      <c r="CB31" s="45" t="s">
        <v>194</v>
      </c>
      <c r="CC31" s="46"/>
      <c r="CD31" s="21" t="s">
        <v>159</v>
      </c>
      <c r="CE31" s="37">
        <v>581.66999999999996</v>
      </c>
      <c r="CF31" s="511"/>
      <c r="CH31" s="428" t="s">
        <v>195</v>
      </c>
      <c r="CI31" s="429"/>
      <c r="CJ31" s="3" t="s">
        <v>124</v>
      </c>
      <c r="CK31" s="8">
        <v>2000</v>
      </c>
      <c r="CN31" s="45" t="s">
        <v>194</v>
      </c>
      <c r="CO31" s="46"/>
      <c r="CP31" s="21" t="s">
        <v>159</v>
      </c>
      <c r="CQ31" s="37">
        <v>581.66999999999996</v>
      </c>
      <c r="CR31" s="511"/>
      <c r="CT31" s="428" t="s">
        <v>195</v>
      </c>
      <c r="CU31" s="429"/>
      <c r="CV31" s="3" t="s">
        <v>124</v>
      </c>
      <c r="CW31" s="8">
        <v>2000</v>
      </c>
      <c r="CY31" s="45" t="s">
        <v>194</v>
      </c>
      <c r="CZ31" s="46"/>
      <c r="DA31" s="21" t="s">
        <v>159</v>
      </c>
      <c r="DB31" s="37">
        <v>581.66999999999996</v>
      </c>
      <c r="DC31" s="511"/>
      <c r="DE31" s="428" t="s">
        <v>195</v>
      </c>
      <c r="DF31" s="429"/>
      <c r="DG31" s="3" t="s">
        <v>124</v>
      </c>
      <c r="DH31" s="8">
        <v>2000</v>
      </c>
    </row>
    <row r="32" spans="1:112" ht="14.25" customHeight="1" x14ac:dyDescent="0.2">
      <c r="B32" s="45" t="s">
        <v>198</v>
      </c>
      <c r="C32" s="46"/>
      <c r="D32" s="21" t="s">
        <v>159</v>
      </c>
      <c r="E32" s="37">
        <f>6966.34-E31</f>
        <v>6384.67</v>
      </c>
      <c r="F32" s="511"/>
      <c r="H32" s="380" t="s">
        <v>203</v>
      </c>
      <c r="I32" s="28"/>
      <c r="J32" s="3" t="s">
        <v>102</v>
      </c>
      <c r="K32" s="8">
        <f>SUM(E30:E32)</f>
        <v>14209.348925</v>
      </c>
      <c r="M32" s="45" t="s">
        <v>198</v>
      </c>
      <c r="N32" s="46"/>
      <c r="O32" s="21" t="s">
        <v>159</v>
      </c>
      <c r="P32" s="37">
        <v>5306.56</v>
      </c>
      <c r="Q32" s="511"/>
      <c r="S32" s="428" t="s">
        <v>199</v>
      </c>
      <c r="T32" s="429"/>
      <c r="U32" s="3" t="s">
        <v>124</v>
      </c>
      <c r="V32" s="8">
        <v>1000</v>
      </c>
      <c r="X32" s="45" t="s">
        <v>198</v>
      </c>
      <c r="Y32" s="46"/>
      <c r="Z32" s="21" t="s">
        <v>159</v>
      </c>
      <c r="AA32" s="37">
        <v>5306.56</v>
      </c>
      <c r="AB32" s="511"/>
      <c r="AD32" s="428" t="s">
        <v>199</v>
      </c>
      <c r="AE32" s="429"/>
      <c r="AF32" s="3" t="s">
        <v>124</v>
      </c>
      <c r="AG32" s="8">
        <v>1000</v>
      </c>
      <c r="AI32" s="45" t="s">
        <v>198</v>
      </c>
      <c r="AJ32" s="46"/>
      <c r="AK32" s="21" t="s">
        <v>159</v>
      </c>
      <c r="AL32" s="37">
        <v>5306.56</v>
      </c>
      <c r="AM32" s="511"/>
      <c r="AO32" s="428" t="s">
        <v>199</v>
      </c>
      <c r="AP32" s="429"/>
      <c r="AQ32" s="3" t="s">
        <v>124</v>
      </c>
      <c r="AR32" s="8">
        <v>1000</v>
      </c>
      <c r="AT32" s="45" t="s">
        <v>198</v>
      </c>
      <c r="AU32" s="46"/>
      <c r="AV32" s="21" t="s">
        <v>159</v>
      </c>
      <c r="AW32" s="37">
        <v>5306.56</v>
      </c>
      <c r="AX32" s="511"/>
      <c r="AZ32" s="428" t="s">
        <v>199</v>
      </c>
      <c r="BA32" s="429"/>
      <c r="BB32" s="3" t="s">
        <v>124</v>
      </c>
      <c r="BC32" s="8">
        <v>1000</v>
      </c>
      <c r="BE32" s="45" t="s">
        <v>198</v>
      </c>
      <c r="BF32" s="46"/>
      <c r="BG32" s="21" t="s">
        <v>159</v>
      </c>
      <c r="BH32" s="37">
        <v>5306.56</v>
      </c>
      <c r="BI32" s="511"/>
      <c r="BK32" s="428" t="s">
        <v>199</v>
      </c>
      <c r="BL32" s="429"/>
      <c r="BM32" s="3" t="s">
        <v>124</v>
      </c>
      <c r="BN32" s="8">
        <v>1000</v>
      </c>
      <c r="BP32" s="45" t="s">
        <v>198</v>
      </c>
      <c r="BQ32" s="46"/>
      <c r="BR32" s="21" t="s">
        <v>159</v>
      </c>
      <c r="BS32" s="37">
        <v>5888.23</v>
      </c>
      <c r="BT32" s="511"/>
      <c r="BV32" s="428" t="s">
        <v>199</v>
      </c>
      <c r="BW32" s="429"/>
      <c r="BX32" s="3" t="s">
        <v>124</v>
      </c>
      <c r="BY32" s="8">
        <v>1000</v>
      </c>
      <c r="CB32" s="45" t="s">
        <v>198</v>
      </c>
      <c r="CC32" s="46"/>
      <c r="CD32" s="21" t="s">
        <v>159</v>
      </c>
      <c r="CE32" s="37">
        <v>5888.23</v>
      </c>
      <c r="CF32" s="511"/>
      <c r="CH32" s="428" t="s">
        <v>199</v>
      </c>
      <c r="CI32" s="429"/>
      <c r="CJ32" s="3" t="s">
        <v>124</v>
      </c>
      <c r="CK32" s="8">
        <v>1000</v>
      </c>
      <c r="CN32" s="45" t="s">
        <v>198</v>
      </c>
      <c r="CO32" s="46"/>
      <c r="CP32" s="21" t="s">
        <v>159</v>
      </c>
      <c r="CQ32" s="37">
        <v>5888.23</v>
      </c>
      <c r="CR32" s="511"/>
      <c r="CT32" s="428" t="s">
        <v>199</v>
      </c>
      <c r="CU32" s="429"/>
      <c r="CV32" s="3" t="s">
        <v>124</v>
      </c>
      <c r="CW32" s="8">
        <v>1000</v>
      </c>
      <c r="CY32" s="45" t="s">
        <v>198</v>
      </c>
      <c r="CZ32" s="46"/>
      <c r="DA32" s="21" t="s">
        <v>159</v>
      </c>
      <c r="DB32" s="37">
        <v>5888.23</v>
      </c>
      <c r="DC32" s="511"/>
      <c r="DE32" s="428" t="s">
        <v>199</v>
      </c>
      <c r="DF32" s="429"/>
      <c r="DG32" s="3" t="s">
        <v>124</v>
      </c>
      <c r="DH32" s="8">
        <v>1000</v>
      </c>
    </row>
    <row r="33" spans="1:112" x14ac:dyDescent="0.2">
      <c r="B33" s="45" t="s">
        <v>202</v>
      </c>
      <c r="C33" s="46"/>
      <c r="D33" s="21" t="s">
        <v>124</v>
      </c>
      <c r="E33" s="37">
        <v>280</v>
      </c>
      <c r="F33" s="511"/>
      <c r="H33" s="47" t="s">
        <v>210</v>
      </c>
      <c r="I33" s="1"/>
      <c r="J33" s="7" t="s">
        <v>159</v>
      </c>
      <c r="K33" s="48"/>
      <c r="M33" s="45" t="s">
        <v>202</v>
      </c>
      <c r="N33" s="46"/>
      <c r="O33" s="21" t="s">
        <v>124</v>
      </c>
      <c r="P33" s="37">
        <v>280</v>
      </c>
      <c r="Q33" s="511"/>
      <c r="S33" s="380" t="s">
        <v>203</v>
      </c>
      <c r="T33" s="28"/>
      <c r="U33" s="3" t="s">
        <v>102</v>
      </c>
      <c r="V33" s="8">
        <f>SUM(P30:P32)</f>
        <v>13765.455507499999</v>
      </c>
      <c r="X33" s="45" t="s">
        <v>202</v>
      </c>
      <c r="Y33" s="46"/>
      <c r="Z33" s="21" t="s">
        <v>124</v>
      </c>
      <c r="AA33" s="37">
        <v>280</v>
      </c>
      <c r="AB33" s="511"/>
      <c r="AD33" s="380" t="s">
        <v>203</v>
      </c>
      <c r="AE33" s="28"/>
      <c r="AF33" s="3" t="s">
        <v>102</v>
      </c>
      <c r="AG33" s="8">
        <f>SUM(AA30:AA32)</f>
        <v>13672.240000000002</v>
      </c>
      <c r="AI33" s="45" t="s">
        <v>202</v>
      </c>
      <c r="AJ33" s="46"/>
      <c r="AK33" s="21" t="s">
        <v>124</v>
      </c>
      <c r="AL33" s="37">
        <v>280</v>
      </c>
      <c r="AM33" s="511"/>
      <c r="AO33" s="380" t="s">
        <v>203</v>
      </c>
      <c r="AP33" s="28"/>
      <c r="AQ33" s="3" t="s">
        <v>102</v>
      </c>
      <c r="AR33" s="8">
        <f>SUM(AL30:AL32)</f>
        <v>13380.060000000001</v>
      </c>
      <c r="AT33" s="45" t="s">
        <v>202</v>
      </c>
      <c r="AU33" s="46"/>
      <c r="AV33" s="21" t="s">
        <v>124</v>
      </c>
      <c r="AW33" s="37">
        <v>280</v>
      </c>
      <c r="AX33" s="511"/>
      <c r="AZ33" s="380" t="s">
        <v>203</v>
      </c>
      <c r="BA33" s="28"/>
      <c r="BB33" s="3" t="s">
        <v>102</v>
      </c>
      <c r="BC33" s="8">
        <f>SUM(AW30:AW32)</f>
        <v>13251.07</v>
      </c>
      <c r="BE33" s="45" t="s">
        <v>202</v>
      </c>
      <c r="BF33" s="46"/>
      <c r="BG33" s="21" t="s">
        <v>124</v>
      </c>
      <c r="BH33" s="37">
        <v>280</v>
      </c>
      <c r="BI33" s="511"/>
      <c r="BK33" s="380" t="s">
        <v>203</v>
      </c>
      <c r="BL33" s="28"/>
      <c r="BM33" s="3" t="s">
        <v>102</v>
      </c>
      <c r="BN33" s="8">
        <f>SUM(BH30:BH32)</f>
        <v>12781.7</v>
      </c>
      <c r="BP33" s="45" t="s">
        <v>202</v>
      </c>
      <c r="BQ33" s="46"/>
      <c r="BR33" s="21" t="s">
        <v>124</v>
      </c>
      <c r="BS33" s="37">
        <v>280</v>
      </c>
      <c r="BT33" s="511"/>
      <c r="BV33" s="380" t="s">
        <v>203</v>
      </c>
      <c r="BW33" s="28"/>
      <c r="BX33" s="3" t="s">
        <v>102</v>
      </c>
      <c r="BY33" s="8">
        <f>SUM(BS30:BS32)</f>
        <v>13449.86</v>
      </c>
      <c r="CB33" s="45" t="s">
        <v>202</v>
      </c>
      <c r="CC33" s="46"/>
      <c r="CD33" s="21" t="s">
        <v>124</v>
      </c>
      <c r="CE33" s="37">
        <v>280</v>
      </c>
      <c r="CF33" s="511"/>
      <c r="CH33" s="380" t="s">
        <v>203</v>
      </c>
      <c r="CI33" s="28"/>
      <c r="CJ33" s="3" t="s">
        <v>102</v>
      </c>
      <c r="CK33" s="8">
        <f>SUM(CE30:CE32)</f>
        <v>13744.24</v>
      </c>
      <c r="CN33" s="45" t="s">
        <v>202</v>
      </c>
      <c r="CO33" s="46"/>
      <c r="CP33" s="21" t="s">
        <v>124</v>
      </c>
      <c r="CQ33" s="37">
        <v>280</v>
      </c>
      <c r="CR33" s="511"/>
      <c r="CT33" s="380" t="s">
        <v>203</v>
      </c>
      <c r="CU33" s="28"/>
      <c r="CV33" s="3" t="s">
        <v>102</v>
      </c>
      <c r="CW33" s="8">
        <f>SUM(CQ30:CQ32)</f>
        <v>13744.24</v>
      </c>
      <c r="CY33" s="45" t="s">
        <v>202</v>
      </c>
      <c r="CZ33" s="46"/>
      <c r="DA33" s="21" t="s">
        <v>124</v>
      </c>
      <c r="DB33" s="37">
        <v>280</v>
      </c>
      <c r="DC33" s="511"/>
      <c r="DE33" s="380" t="s">
        <v>203</v>
      </c>
      <c r="DF33" s="28"/>
      <c r="DG33" s="3" t="s">
        <v>102</v>
      </c>
      <c r="DH33" s="8">
        <f>SUM(DB30:DB32)</f>
        <v>13744.24</v>
      </c>
    </row>
    <row r="34" spans="1:112" ht="15" thickBot="1" x14ac:dyDescent="0.25">
      <c r="B34" s="542" t="s">
        <v>209</v>
      </c>
      <c r="C34" s="543"/>
      <c r="D34" s="383" t="s">
        <v>124</v>
      </c>
      <c r="E34" s="88">
        <v>1000</v>
      </c>
      <c r="F34" s="528"/>
      <c r="H34" s="77" t="s">
        <v>213</v>
      </c>
      <c r="I34" s="78"/>
      <c r="J34" s="79">
        <f>K34/F17</f>
        <v>5.2868079199560842</v>
      </c>
      <c r="K34" s="76">
        <f>SUM(K23:K33)</f>
        <v>126166.49892499999</v>
      </c>
      <c r="M34" s="444" t="s">
        <v>209</v>
      </c>
      <c r="N34" s="445"/>
      <c r="O34" s="21" t="s">
        <v>124</v>
      </c>
      <c r="P34" s="37">
        <v>1000</v>
      </c>
      <c r="Q34" s="512"/>
      <c r="S34" s="47" t="s">
        <v>210</v>
      </c>
      <c r="T34" s="1"/>
      <c r="U34" s="7" t="s">
        <v>159</v>
      </c>
      <c r="V34" s="48">
        <v>0</v>
      </c>
      <c r="W34" s="4"/>
      <c r="X34" s="444" t="s">
        <v>209</v>
      </c>
      <c r="Y34" s="445"/>
      <c r="Z34" s="21" t="s">
        <v>124</v>
      </c>
      <c r="AA34" s="37">
        <v>1000</v>
      </c>
      <c r="AB34" s="512"/>
      <c r="AD34" s="47" t="s">
        <v>210</v>
      </c>
      <c r="AE34" s="1"/>
      <c r="AF34" s="7" t="s">
        <v>159</v>
      </c>
      <c r="AG34" s="48">
        <v>0</v>
      </c>
      <c r="AI34" s="444" t="s">
        <v>209</v>
      </c>
      <c r="AJ34" s="445"/>
      <c r="AK34" s="21" t="s">
        <v>124</v>
      </c>
      <c r="AL34" s="37">
        <v>1000</v>
      </c>
      <c r="AM34" s="512"/>
      <c r="AO34" s="47" t="s">
        <v>210</v>
      </c>
      <c r="AP34" s="1"/>
      <c r="AQ34" s="7" t="s">
        <v>159</v>
      </c>
      <c r="AR34" s="48">
        <v>0</v>
      </c>
      <c r="AT34" s="444" t="s">
        <v>209</v>
      </c>
      <c r="AU34" s="445"/>
      <c r="AV34" s="21" t="s">
        <v>124</v>
      </c>
      <c r="AW34" s="37">
        <v>1000</v>
      </c>
      <c r="AX34" s="512"/>
      <c r="AZ34" s="47" t="s">
        <v>210</v>
      </c>
      <c r="BA34" s="1"/>
      <c r="BB34" s="7" t="s">
        <v>159</v>
      </c>
      <c r="BC34" s="48">
        <v>0</v>
      </c>
      <c r="BE34" s="444" t="s">
        <v>209</v>
      </c>
      <c r="BF34" s="445"/>
      <c r="BG34" s="21" t="s">
        <v>124</v>
      </c>
      <c r="BH34" s="37">
        <v>1000</v>
      </c>
      <c r="BI34" s="512"/>
      <c r="BK34" s="47" t="s">
        <v>210</v>
      </c>
      <c r="BL34" s="1"/>
      <c r="BM34" s="7" t="s">
        <v>159</v>
      </c>
      <c r="BN34" s="48">
        <v>0</v>
      </c>
      <c r="BP34" s="444" t="s">
        <v>209</v>
      </c>
      <c r="BQ34" s="445"/>
      <c r="BR34" s="21" t="s">
        <v>124</v>
      </c>
      <c r="BS34" s="37">
        <v>1000</v>
      </c>
      <c r="BT34" s="512"/>
      <c r="BV34" s="47" t="s">
        <v>210</v>
      </c>
      <c r="BW34" s="1"/>
      <c r="BX34" s="7" t="s">
        <v>159</v>
      </c>
      <c r="BY34" s="48">
        <v>0</v>
      </c>
      <c r="CB34" s="444" t="s">
        <v>209</v>
      </c>
      <c r="CC34" s="445"/>
      <c r="CD34" s="21" t="s">
        <v>124</v>
      </c>
      <c r="CE34" s="37">
        <v>1000</v>
      </c>
      <c r="CF34" s="512"/>
      <c r="CH34" s="47" t="s">
        <v>210</v>
      </c>
      <c r="CI34" s="1"/>
      <c r="CJ34" s="7" t="s">
        <v>159</v>
      </c>
      <c r="CK34" s="48">
        <v>0</v>
      </c>
      <c r="CN34" s="444" t="s">
        <v>209</v>
      </c>
      <c r="CO34" s="445"/>
      <c r="CP34" s="21" t="s">
        <v>124</v>
      </c>
      <c r="CQ34" s="37">
        <v>1000</v>
      </c>
      <c r="CR34" s="512"/>
      <c r="CT34" s="47" t="s">
        <v>210</v>
      </c>
      <c r="CU34" s="1"/>
      <c r="CV34" s="7" t="s">
        <v>159</v>
      </c>
      <c r="CW34" s="48">
        <v>0</v>
      </c>
      <c r="CY34" s="444" t="s">
        <v>209</v>
      </c>
      <c r="CZ34" s="445"/>
      <c r="DA34" s="21" t="s">
        <v>124</v>
      </c>
      <c r="DB34" s="37">
        <v>1000</v>
      </c>
      <c r="DC34" s="512"/>
      <c r="DE34" s="47" t="s">
        <v>210</v>
      </c>
      <c r="DF34" s="1"/>
      <c r="DG34" s="7" t="s">
        <v>159</v>
      </c>
      <c r="DH34" s="48">
        <v>0</v>
      </c>
    </row>
    <row r="35" spans="1:112" ht="15" thickBot="1" x14ac:dyDescent="0.25">
      <c r="B35" s="533" t="s">
        <v>212</v>
      </c>
      <c r="C35" s="534"/>
      <c r="D35" s="534"/>
      <c r="E35" s="86">
        <f>SUM(E26:E34)</f>
        <v>15489.348925</v>
      </c>
      <c r="F35" s="87">
        <f>SUM(F26:F33)</f>
        <v>1769896.488925</v>
      </c>
      <c r="K35" s="286">
        <f>K34/F22</f>
        <v>7.6457177111417737E-2</v>
      </c>
      <c r="M35" s="446" t="s">
        <v>212</v>
      </c>
      <c r="N35" s="447"/>
      <c r="O35" s="448"/>
      <c r="P35" s="19">
        <f>SUM(P26:P34)</f>
        <v>15045.455507499999</v>
      </c>
      <c r="Q35" s="87">
        <f>SUM(Q26:Q33)</f>
        <v>2276825.8615075001</v>
      </c>
      <c r="S35" s="77" t="s">
        <v>213</v>
      </c>
      <c r="T35" s="78"/>
      <c r="U35" s="79">
        <f>V35/Q17</f>
        <v>4.8150217691414818</v>
      </c>
      <c r="V35" s="76">
        <f>SUM(V24:V34)</f>
        <v>114907.60550749999</v>
      </c>
      <c r="W35" s="4"/>
      <c r="X35" s="446" t="s">
        <v>212</v>
      </c>
      <c r="Y35" s="447"/>
      <c r="Z35" s="448"/>
      <c r="AA35" s="19">
        <f>SUM(AA26:AA34)</f>
        <v>14952.240000000002</v>
      </c>
      <c r="AB35" s="87">
        <f>SUM(AB26:AB33)</f>
        <v>2172825.2400000002</v>
      </c>
      <c r="AD35" s="24" t="s">
        <v>213</v>
      </c>
      <c r="AE35" s="25"/>
      <c r="AF35" s="79">
        <f>AG35/AB17</f>
        <v>5.2781427565746464</v>
      </c>
      <c r="AG35" s="76">
        <f>SUM(AG24:AG34)</f>
        <v>125959.71</v>
      </c>
      <c r="AI35" s="446" t="s">
        <v>212</v>
      </c>
      <c r="AJ35" s="447"/>
      <c r="AK35" s="448"/>
      <c r="AL35" s="19">
        <f>SUM(AL26:AL34)</f>
        <v>14660.060000000001</v>
      </c>
      <c r="AM35" s="87">
        <f>SUM(AM26:AM33)</f>
        <v>1958454.31</v>
      </c>
      <c r="AO35" s="24" t="s">
        <v>213</v>
      </c>
      <c r="AP35" s="25"/>
      <c r="AQ35" s="79">
        <f>AR35/AM17</f>
        <v>4.7033233603191356</v>
      </c>
      <c r="AR35" s="76">
        <f>SUM(AR24:AR34)</f>
        <v>112241.98999999999</v>
      </c>
      <c r="AT35" s="446" t="s">
        <v>212</v>
      </c>
      <c r="AU35" s="447"/>
      <c r="AV35" s="448"/>
      <c r="AW35" s="19">
        <f>SUM(AW26:AW34)</f>
        <v>14531.07</v>
      </c>
      <c r="AX35" s="87">
        <f>SUM(AX26:AX33)</f>
        <v>1856445.78</v>
      </c>
      <c r="AZ35" s="24" t="s">
        <v>213</v>
      </c>
      <c r="BA35" s="25"/>
      <c r="BB35" s="79">
        <f>BC35/AX17</f>
        <v>4.6365515160657713</v>
      </c>
      <c r="BC35" s="76">
        <f>SUM(BC24:BC34)</f>
        <v>110648.51999999999</v>
      </c>
      <c r="BE35" s="446" t="s">
        <v>212</v>
      </c>
      <c r="BF35" s="447"/>
      <c r="BG35" s="448"/>
      <c r="BH35" s="19">
        <f>SUM(BH26:BH34)</f>
        <v>14061.7</v>
      </c>
      <c r="BI35" s="87">
        <f>SUM(BI26:BI33)</f>
        <v>1443785.1639999999</v>
      </c>
      <c r="BK35" s="24" t="s">
        <v>213</v>
      </c>
      <c r="BL35" s="25"/>
      <c r="BM35" s="79">
        <f>BN35/BI17</f>
        <v>4.7543554415782499</v>
      </c>
      <c r="BN35" s="76">
        <f>SUM(BN24:BN34)</f>
        <v>113459.84</v>
      </c>
      <c r="BP35" s="446" t="s">
        <v>212</v>
      </c>
      <c r="BQ35" s="447"/>
      <c r="BR35" s="448"/>
      <c r="BS35" s="19">
        <f>SUM(BS26:BS34)</f>
        <v>14729.86</v>
      </c>
      <c r="BT35" s="87">
        <f>SUM(BT26:BT33)</f>
        <v>1563694.132</v>
      </c>
      <c r="BV35" s="24" t="s">
        <v>213</v>
      </c>
      <c r="BW35" s="25"/>
      <c r="BX35" s="79">
        <f>BY35/BT17</f>
        <v>4.9583433901543721</v>
      </c>
      <c r="BY35" s="76">
        <f>SUM(BY24:BY34)</f>
        <v>118327.89</v>
      </c>
      <c r="CB35" s="446" t="s">
        <v>212</v>
      </c>
      <c r="CC35" s="447"/>
      <c r="CD35" s="448"/>
      <c r="CE35" s="19">
        <f>SUM(CE26:CE34)</f>
        <v>15024.24</v>
      </c>
      <c r="CF35" s="87">
        <f>SUM(CF26:CF33)</f>
        <v>1529347.98</v>
      </c>
      <c r="CH35" s="24" t="s">
        <v>213</v>
      </c>
      <c r="CI35" s="25"/>
      <c r="CJ35" s="79">
        <f>CK35/CF17</f>
        <v>4.9586220479039911</v>
      </c>
      <c r="CK35" s="76">
        <f>SUM(CK24:CK34)</f>
        <v>118334.54000000001</v>
      </c>
      <c r="CN35" s="446" t="s">
        <v>212</v>
      </c>
      <c r="CO35" s="447"/>
      <c r="CP35" s="448"/>
      <c r="CQ35" s="19">
        <f>SUM(CQ26:CQ34)</f>
        <v>15024.24</v>
      </c>
      <c r="CR35" s="87">
        <f>SUM(CR26:CR33)</f>
        <v>1829733.24</v>
      </c>
      <c r="CT35" s="24" t="s">
        <v>213</v>
      </c>
      <c r="CU35" s="25"/>
      <c r="CV35" s="79">
        <f>CW35/CR17</f>
        <v>4.9586220479039911</v>
      </c>
      <c r="CW35" s="76">
        <f>SUM(CW24:CW34)</f>
        <v>118334.54000000001</v>
      </c>
      <c r="CY35" s="446" t="s">
        <v>212</v>
      </c>
      <c r="CZ35" s="447"/>
      <c r="DA35" s="448"/>
      <c r="DB35" s="19">
        <f>SUM(DB26:DB34)</f>
        <v>15024.24</v>
      </c>
      <c r="DC35" s="87">
        <f>SUM(DC26:DC33)</f>
        <v>1902498.24</v>
      </c>
      <c r="DE35" s="24" t="s">
        <v>213</v>
      </c>
      <c r="DF35" s="25"/>
      <c r="DG35" s="79">
        <f>DH35/DC17</f>
        <v>4.9586220479039911</v>
      </c>
      <c r="DH35" s="76">
        <f>SUM(DH24:DH34)</f>
        <v>118334.54000000001</v>
      </c>
    </row>
    <row r="36" spans="1:112" ht="15" thickBot="1" x14ac:dyDescent="0.25">
      <c r="V36" s="286">
        <f>V35/Q22</f>
        <v>5.3845245036550735E-2</v>
      </c>
      <c r="W36" s="4"/>
      <c r="AG36" s="286">
        <f>AG35/AB22</f>
        <v>5.9892771911005109E-2</v>
      </c>
      <c r="AR36" s="286">
        <f>AR35/AM22</f>
        <v>5.9756291395664518E-2</v>
      </c>
      <c r="BC36" s="286">
        <f>BC35/AX22</f>
        <v>6.2193196618549169E-2</v>
      </c>
      <c r="BN36" s="286">
        <f>BN35/BI22</f>
        <v>8.3342859084441459E-2</v>
      </c>
      <c r="BY36" s="286">
        <f>BY35/BT22</f>
        <v>8.1473270831912886E-2</v>
      </c>
      <c r="CK36" s="286">
        <f>CK35/CF22</f>
        <v>8.264740989546486E-2</v>
      </c>
      <c r="CW36" s="286">
        <f>CW35/CR22</f>
        <v>6.8315185733625453E-2</v>
      </c>
      <c r="DH36" s="286">
        <f>DH35/DC22</f>
        <v>6.5561118036510713E-2</v>
      </c>
    </row>
    <row r="37" spans="1:112" x14ac:dyDescent="0.2">
      <c r="B37" s="523" t="s">
        <v>218</v>
      </c>
      <c r="C37" s="524"/>
      <c r="D37" s="524"/>
      <c r="E37" s="524"/>
      <c r="F37" s="525"/>
      <c r="M37" s="449" t="s">
        <v>218</v>
      </c>
      <c r="N37" s="450"/>
      <c r="O37" s="450"/>
      <c r="P37" s="450"/>
      <c r="Q37" s="451"/>
      <c r="W37" s="4"/>
      <c r="X37" s="449" t="s">
        <v>218</v>
      </c>
      <c r="Y37" s="450"/>
      <c r="Z37" s="450"/>
      <c r="AA37" s="450"/>
      <c r="AB37" s="451"/>
      <c r="AI37" s="449" t="s">
        <v>218</v>
      </c>
      <c r="AJ37" s="450"/>
      <c r="AK37" s="450"/>
      <c r="AL37" s="450"/>
      <c r="AM37" s="451"/>
      <c r="AT37" s="449" t="s">
        <v>218</v>
      </c>
      <c r="AU37" s="450"/>
      <c r="AV37" s="450"/>
      <c r="AW37" s="450"/>
      <c r="AX37" s="451"/>
      <c r="AZ37" s="75"/>
      <c r="BE37" s="449" t="s">
        <v>218</v>
      </c>
      <c r="BF37" s="450"/>
      <c r="BG37" s="450"/>
      <c r="BH37" s="450"/>
      <c r="BI37" s="451"/>
      <c r="BK37" s="75"/>
      <c r="BP37" s="449" t="s">
        <v>218</v>
      </c>
      <c r="BQ37" s="450"/>
      <c r="BR37" s="450"/>
      <c r="BS37" s="450"/>
      <c r="BT37" s="451"/>
      <c r="BV37" s="75"/>
      <c r="CB37" s="449" t="s">
        <v>218</v>
      </c>
      <c r="CC37" s="450"/>
      <c r="CD37" s="450"/>
      <c r="CE37" s="450"/>
      <c r="CF37" s="451"/>
      <c r="CH37" s="75"/>
      <c r="CN37" s="449" t="s">
        <v>218</v>
      </c>
      <c r="CO37" s="450"/>
      <c r="CP37" s="450"/>
      <c r="CQ37" s="450"/>
      <c r="CR37" s="451"/>
      <c r="CT37" s="75"/>
      <c r="CY37" s="449" t="s">
        <v>218</v>
      </c>
      <c r="CZ37" s="450"/>
      <c r="DA37" s="450"/>
      <c r="DB37" s="450"/>
      <c r="DC37" s="451"/>
      <c r="DE37" s="75"/>
    </row>
    <row r="38" spans="1:112" ht="15" thickBot="1" x14ac:dyDescent="0.25">
      <c r="B38" s="535" t="s">
        <v>109</v>
      </c>
      <c r="C38" s="536"/>
      <c r="D38" s="129">
        <v>31500</v>
      </c>
      <c r="E38" s="51">
        <f>D38-D17</f>
        <v>0</v>
      </c>
      <c r="F38" s="52">
        <f>E38*F18</f>
        <v>0</v>
      </c>
      <c r="M38" s="452" t="s">
        <v>109</v>
      </c>
      <c r="N38" s="453"/>
      <c r="O38" s="129">
        <v>37863</v>
      </c>
      <c r="P38" s="51">
        <f>O38-O17</f>
        <v>0</v>
      </c>
      <c r="Q38" s="52">
        <f>P38*Q18</f>
        <v>0</v>
      </c>
      <c r="W38" s="4"/>
      <c r="X38" s="452" t="s">
        <v>109</v>
      </c>
      <c r="Y38" s="453"/>
      <c r="Z38" s="129">
        <v>35700</v>
      </c>
      <c r="AA38" s="51">
        <f>Z38-Z17</f>
        <v>0</v>
      </c>
      <c r="AB38" s="52">
        <f>AA38*AB18</f>
        <v>0</v>
      </c>
      <c r="AI38" s="452" t="s">
        <v>109</v>
      </c>
      <c r="AJ38" s="453"/>
      <c r="AK38" s="129">
        <v>33075</v>
      </c>
      <c r="AL38" s="51">
        <f>AK38-AK17</f>
        <v>0</v>
      </c>
      <c r="AM38" s="52">
        <f>AL38*AM18</f>
        <v>0</v>
      </c>
      <c r="AT38" s="452" t="s">
        <v>109</v>
      </c>
      <c r="AU38" s="453"/>
      <c r="AV38" s="129">
        <v>32655</v>
      </c>
      <c r="AW38" s="51">
        <f>AV38-AV17</f>
        <v>0</v>
      </c>
      <c r="AX38" s="52">
        <f>AW38*AX18</f>
        <v>0</v>
      </c>
      <c r="BE38" s="452" t="s">
        <v>109</v>
      </c>
      <c r="BF38" s="453"/>
      <c r="BG38" s="129">
        <v>24948</v>
      </c>
      <c r="BH38" s="51">
        <f>BG38-BG17</f>
        <v>0</v>
      </c>
      <c r="BI38" s="52">
        <f>BH38*BI18</f>
        <v>0</v>
      </c>
      <c r="BP38" s="452" t="s">
        <v>109</v>
      </c>
      <c r="BQ38" s="453"/>
      <c r="BR38" s="129">
        <v>25998</v>
      </c>
      <c r="BS38" s="51">
        <f>BR38-BR17</f>
        <v>0</v>
      </c>
      <c r="BT38" s="52">
        <f>BS38*BT18</f>
        <v>0</v>
      </c>
      <c r="CB38" s="452" t="s">
        <v>109</v>
      </c>
      <c r="CC38" s="453"/>
      <c r="CD38" s="129">
        <v>25515</v>
      </c>
      <c r="CE38" s="51">
        <f>CD38-CD17</f>
        <v>0</v>
      </c>
      <c r="CF38" s="52">
        <f>CE38*CF18</f>
        <v>0</v>
      </c>
      <c r="CN38" s="452" t="s">
        <v>109</v>
      </c>
      <c r="CO38" s="453"/>
      <c r="CP38" s="237">
        <f>CP17</f>
        <v>29610</v>
      </c>
      <c r="CQ38" s="51">
        <f>CP38-CP17</f>
        <v>0</v>
      </c>
      <c r="CR38" s="52">
        <f>CQ38*CR18</f>
        <v>0</v>
      </c>
      <c r="CY38" s="452" t="s">
        <v>109</v>
      </c>
      <c r="CZ38" s="453"/>
      <c r="DA38" s="129">
        <f>DA17</f>
        <v>31500</v>
      </c>
      <c r="DB38" s="51">
        <f>DA38-DA17</f>
        <v>0</v>
      </c>
      <c r="DC38" s="52">
        <f>DB38*DC18</f>
        <v>0</v>
      </c>
    </row>
    <row r="39" spans="1:112" ht="15" thickBot="1" x14ac:dyDescent="0.25">
      <c r="D39" s="133"/>
      <c r="E39" s="133"/>
      <c r="P39" s="133"/>
      <c r="AA39" s="133"/>
      <c r="AL39" s="133"/>
      <c r="AW39" s="133"/>
      <c r="BH39" s="133"/>
      <c r="BS39" s="133"/>
      <c r="CE39" s="133"/>
      <c r="CQ39" s="133"/>
      <c r="DB39" s="133"/>
    </row>
    <row r="40" spans="1:112" ht="15" thickBot="1" x14ac:dyDescent="0.25">
      <c r="B40" s="419" t="s">
        <v>270</v>
      </c>
      <c r="C40" s="420"/>
      <c r="D40" s="420"/>
      <c r="E40" s="420"/>
      <c r="F40" s="420"/>
      <c r="G40" s="420"/>
      <c r="H40" s="420"/>
      <c r="I40" s="420"/>
      <c r="J40" s="420"/>
      <c r="K40" s="421"/>
    </row>
    <row r="41" spans="1:112" ht="15" thickBot="1" x14ac:dyDescent="0.25">
      <c r="A41" s="529"/>
      <c r="B41" s="529"/>
      <c r="C41" s="529"/>
      <c r="D41" s="529"/>
      <c r="E41" s="529"/>
      <c r="F41" s="529"/>
      <c r="G41" s="529"/>
      <c r="H41" s="529"/>
      <c r="I41" s="529"/>
      <c r="J41" s="529"/>
      <c r="K41" s="529"/>
      <c r="L41" s="529"/>
    </row>
    <row r="42" spans="1:112" ht="15" thickBot="1" x14ac:dyDescent="0.25">
      <c r="A42" s="382"/>
      <c r="B42" s="516" t="s">
        <v>281</v>
      </c>
      <c r="C42" s="517"/>
      <c r="D42" s="517"/>
      <c r="E42" s="517"/>
      <c r="F42" s="518"/>
      <c r="G42" s="382"/>
      <c r="H42" s="491" t="s">
        <v>21</v>
      </c>
      <c r="I42" s="492"/>
      <c r="J42" s="493"/>
      <c r="K42" s="494"/>
      <c r="L42" s="382"/>
    </row>
    <row r="43" spans="1:112" ht="15" thickBot="1" x14ac:dyDescent="0.25">
      <c r="A43" s="382"/>
      <c r="B43" s="15" t="s">
        <v>282</v>
      </c>
      <c r="C43" s="521"/>
      <c r="D43" s="521"/>
      <c r="E43" s="521"/>
      <c r="F43" s="522"/>
      <c r="G43" s="382"/>
      <c r="H43" s="66" t="s">
        <v>22</v>
      </c>
      <c r="I43" s="67" t="s">
        <v>23</v>
      </c>
      <c r="J43" s="68" t="s">
        <v>24</v>
      </c>
      <c r="K43" s="69" t="s">
        <v>25</v>
      </c>
      <c r="L43" s="382"/>
    </row>
    <row r="44" spans="1:112" x14ac:dyDescent="0.2">
      <c r="A44" s="382"/>
      <c r="B44" s="16" t="s">
        <v>286</v>
      </c>
      <c r="C44" s="526"/>
      <c r="D44" s="526"/>
      <c r="E44" s="526"/>
      <c r="F44" s="527"/>
      <c r="G44" s="382"/>
      <c r="H44" s="62" t="s">
        <v>31</v>
      </c>
      <c r="I44" s="63">
        <f>F60+F76</f>
        <v>1921500</v>
      </c>
      <c r="J44" s="64" t="e">
        <f>I44/D54</f>
        <v>#DIV/0!</v>
      </c>
      <c r="K44" s="65" t="e">
        <f>I44/F55</f>
        <v>#DIV/0!</v>
      </c>
      <c r="L44" s="382"/>
    </row>
    <row r="45" spans="1:112" x14ac:dyDescent="0.2">
      <c r="B45" s="16" t="s">
        <v>289</v>
      </c>
      <c r="C45" s="526"/>
      <c r="D45" s="526"/>
      <c r="E45" s="526"/>
      <c r="F45" s="527"/>
      <c r="H45" s="27" t="s">
        <v>44</v>
      </c>
      <c r="I45" s="56" t="e">
        <f>K72+J58</f>
        <v>#VALUE!</v>
      </c>
      <c r="J45" s="10" t="e">
        <f>I45/D54</f>
        <v>#VALUE!</v>
      </c>
      <c r="K45" s="11" t="e">
        <f>I45/F55</f>
        <v>#VALUE!</v>
      </c>
    </row>
    <row r="46" spans="1:112" x14ac:dyDescent="0.2">
      <c r="B46" s="16" t="s">
        <v>291</v>
      </c>
      <c r="C46" s="515"/>
      <c r="D46" s="515"/>
      <c r="E46" s="72"/>
      <c r="F46" s="73"/>
      <c r="H46" s="22" t="s">
        <v>53</v>
      </c>
      <c r="I46" s="57" t="e">
        <f>I44+I45</f>
        <v>#VALUE!</v>
      </c>
      <c r="J46" s="12" t="e">
        <f>I46/D54</f>
        <v>#VALUE!</v>
      </c>
      <c r="K46" s="13" t="e">
        <f>I46/F55</f>
        <v>#VALUE!</v>
      </c>
    </row>
    <row r="47" spans="1:112" x14ac:dyDescent="0.2">
      <c r="B47" s="16" t="s">
        <v>293</v>
      </c>
      <c r="C47" s="526"/>
      <c r="D47" s="526"/>
      <c r="E47" s="526"/>
      <c r="F47" s="527"/>
      <c r="H47" s="60" t="s">
        <v>57</v>
      </c>
      <c r="I47" s="58" t="e">
        <f>I46-J58</f>
        <v>#VALUE!</v>
      </c>
      <c r="J47" s="59" t="e">
        <f>I47/D54</f>
        <v>#VALUE!</v>
      </c>
      <c r="K47" s="61" t="e">
        <f>I47/F55</f>
        <v>#VALUE!</v>
      </c>
    </row>
    <row r="48" spans="1:112" ht="15" thickBot="1" x14ac:dyDescent="0.25">
      <c r="B48" s="17"/>
      <c r="C48" s="519"/>
      <c r="D48" s="519"/>
      <c r="E48" s="519"/>
      <c r="F48" s="520"/>
      <c r="H48" s="70" t="s">
        <v>61</v>
      </c>
      <c r="I48" s="89" t="e">
        <f>F60+J58+F76</f>
        <v>#VALUE!</v>
      </c>
      <c r="J48" s="71" t="e">
        <f>I48/D54</f>
        <v>#VALUE!</v>
      </c>
      <c r="K48" s="239" t="e">
        <f>I48/F55</f>
        <v>#VALUE!</v>
      </c>
    </row>
    <row r="49" spans="1:12" ht="15" thickBot="1" x14ac:dyDescent="0.25">
      <c r="H49" s="5"/>
      <c r="I49" s="5"/>
      <c r="J49" s="5"/>
      <c r="K49" s="5"/>
    </row>
    <row r="50" spans="1:12" ht="18.75" thickBot="1" x14ac:dyDescent="0.25">
      <c r="B50" s="416" t="s">
        <v>72</v>
      </c>
      <c r="C50" s="417"/>
      <c r="D50" s="417"/>
      <c r="E50" s="417"/>
      <c r="F50" s="417"/>
      <c r="G50" s="417"/>
      <c r="H50" s="417"/>
      <c r="I50" s="417"/>
      <c r="J50" s="417"/>
      <c r="K50" s="418"/>
    </row>
    <row r="51" spans="1:12" x14ac:dyDescent="0.2">
      <c r="H51" s="5"/>
      <c r="I51" s="5"/>
      <c r="J51" s="5"/>
      <c r="K51" s="5"/>
    </row>
    <row r="52" spans="1:12" ht="15" thickBot="1" x14ac:dyDescent="0.25">
      <c r="H52" s="5"/>
      <c r="I52" s="5"/>
      <c r="J52" s="5"/>
      <c r="K52" s="5"/>
    </row>
    <row r="53" spans="1:12" x14ac:dyDescent="0.2">
      <c r="B53" s="449" t="s">
        <v>85</v>
      </c>
      <c r="C53" s="450"/>
      <c r="D53" s="450"/>
      <c r="E53" s="450"/>
      <c r="F53" s="451"/>
      <c r="H53" s="425" t="s">
        <v>86</v>
      </c>
      <c r="I53" s="426"/>
      <c r="J53" s="426"/>
      <c r="K53" s="427"/>
    </row>
    <row r="54" spans="1:12" x14ac:dyDescent="0.2">
      <c r="B54" s="31" t="s">
        <v>99</v>
      </c>
      <c r="C54" s="30"/>
      <c r="D54" s="33"/>
      <c r="E54" s="6" t="s">
        <v>100</v>
      </c>
      <c r="F54" s="32"/>
      <c r="H54" s="428" t="s">
        <v>101</v>
      </c>
      <c r="I54" s="429"/>
      <c r="J54" s="3" t="s">
        <v>102</v>
      </c>
      <c r="K54" s="8">
        <f>F73*0.12</f>
        <v>235615.32029999999</v>
      </c>
    </row>
    <row r="55" spans="1:12" x14ac:dyDescent="0.2">
      <c r="B55" s="31" t="s">
        <v>109</v>
      </c>
      <c r="C55" s="30"/>
      <c r="D55" s="34">
        <v>30000</v>
      </c>
      <c r="E55" s="6" t="s">
        <v>110</v>
      </c>
      <c r="F55" s="35"/>
      <c r="H55" s="428" t="s">
        <v>111</v>
      </c>
      <c r="I55" s="429"/>
      <c r="J55" s="241">
        <v>186569.2</v>
      </c>
      <c r="K55" s="8">
        <f>J55-K54</f>
        <v>-49046.12029999998</v>
      </c>
    </row>
    <row r="56" spans="1:12" ht="15" thickBot="1" x14ac:dyDescent="0.25">
      <c r="B56" s="485" t="s">
        <v>117</v>
      </c>
      <c r="C56" s="486"/>
      <c r="D56" s="486"/>
      <c r="E56" s="487"/>
      <c r="F56" s="29">
        <v>61</v>
      </c>
      <c r="H56" s="428" t="s">
        <v>118</v>
      </c>
      <c r="I56" s="429"/>
      <c r="J56" s="3" t="s">
        <v>102</v>
      </c>
      <c r="K56" s="8">
        <f>IF(E62+F60+E63&gt;750000,1000,IF(E62+F60+E63&gt;750000,750,IF(E62+F60+E63&gt;P31500000,750,IF(E62+F60+E63&gt;500000,750,IF(E62+F60+E63&gt;250000,500,IF(E62+F60+E63&gt;250000,500,250))))))</f>
        <v>1000</v>
      </c>
    </row>
    <row r="57" spans="1:12" ht="15" thickBot="1" x14ac:dyDescent="0.25">
      <c r="H57" s="428" t="s">
        <v>123</v>
      </c>
      <c r="I57" s="429"/>
      <c r="J57" s="3" t="s">
        <v>124</v>
      </c>
      <c r="K57" s="8">
        <v>280</v>
      </c>
    </row>
    <row r="58" spans="1:12" ht="15" thickBot="1" x14ac:dyDescent="0.25">
      <c r="B58" s="530" t="s">
        <v>128</v>
      </c>
      <c r="C58" s="531"/>
      <c r="D58" s="531"/>
      <c r="E58" s="531"/>
      <c r="F58" s="532"/>
      <c r="H58" s="428" t="s">
        <v>129</v>
      </c>
      <c r="I58" s="429"/>
      <c r="J58" s="3" t="s">
        <v>124</v>
      </c>
      <c r="K58" s="8">
        <v>281</v>
      </c>
    </row>
    <row r="59" spans="1:12" ht="15" thickBot="1" x14ac:dyDescent="0.25">
      <c r="B59" s="436" t="s">
        <v>136</v>
      </c>
      <c r="C59" s="437"/>
      <c r="D59" s="437"/>
      <c r="E59" s="437"/>
      <c r="F59" s="438"/>
      <c r="H59" s="9" t="s">
        <v>137</v>
      </c>
      <c r="I59" s="23"/>
      <c r="J59" s="439">
        <f>SUM(K54:K58)</f>
        <v>188130.2</v>
      </c>
      <c r="K59" s="440"/>
    </row>
    <row r="60" spans="1:12" ht="15" thickBot="1" x14ac:dyDescent="0.25">
      <c r="B60" s="537" t="s">
        <v>142</v>
      </c>
      <c r="C60" s="538"/>
      <c r="D60" s="538"/>
      <c r="E60" s="39" t="s">
        <v>102</v>
      </c>
      <c r="F60" s="49">
        <f>D55*F56</f>
        <v>1830000</v>
      </c>
    </row>
    <row r="61" spans="1:12" ht="15" thickBot="1" x14ac:dyDescent="0.25">
      <c r="B61" s="436" t="s">
        <v>148</v>
      </c>
      <c r="C61" s="437"/>
      <c r="D61" s="437"/>
      <c r="E61" s="437"/>
      <c r="F61" s="438"/>
      <c r="H61" s="425" t="s">
        <v>149</v>
      </c>
      <c r="I61" s="426"/>
      <c r="J61" s="426"/>
      <c r="K61" s="427"/>
    </row>
    <row r="62" spans="1:12" x14ac:dyDescent="0.2">
      <c r="A62" s="286">
        <f>F62/F60</f>
        <v>6.433333333333334E-2</v>
      </c>
      <c r="B62" s="40" t="s">
        <v>157</v>
      </c>
      <c r="C62" s="41"/>
      <c r="D62" s="41" t="s">
        <v>102</v>
      </c>
      <c r="E62" s="42">
        <f>F60*0.04</f>
        <v>73200</v>
      </c>
      <c r="F62" s="513">
        <f>SUM(E62:E63)</f>
        <v>117730</v>
      </c>
      <c r="H62" s="428" t="s">
        <v>158</v>
      </c>
      <c r="I62" s="429"/>
      <c r="J62" s="7" t="s">
        <v>159</v>
      </c>
      <c r="K62" s="14">
        <v>30760.95</v>
      </c>
      <c r="L62" s="286" t="e">
        <f>Q62/Q60</f>
        <v>#DIV/0!</v>
      </c>
    </row>
    <row r="63" spans="1:12" x14ac:dyDescent="0.2">
      <c r="B63" s="43" t="s">
        <v>162</v>
      </c>
      <c r="C63" s="36"/>
      <c r="D63" s="41" t="s">
        <v>102</v>
      </c>
      <c r="E63" s="44">
        <v>44530</v>
      </c>
      <c r="F63" s="514"/>
      <c r="H63" s="428" t="s">
        <v>163</v>
      </c>
      <c r="I63" s="429"/>
      <c r="J63" s="7" t="s">
        <v>159</v>
      </c>
      <c r="K63" s="14">
        <v>3881.2</v>
      </c>
    </row>
    <row r="64" spans="1:12" ht="15" thickBot="1" x14ac:dyDescent="0.25">
      <c r="B64" s="539" t="s">
        <v>171</v>
      </c>
      <c r="C64" s="540"/>
      <c r="D64" s="540"/>
      <c r="E64" s="541"/>
      <c r="F64" s="82">
        <f>SUM(F60:F62)</f>
        <v>1947730</v>
      </c>
      <c r="H64" s="428" t="s">
        <v>172</v>
      </c>
      <c r="I64" s="429"/>
      <c r="J64" s="7" t="s">
        <v>159</v>
      </c>
      <c r="K64" s="8">
        <v>15000</v>
      </c>
    </row>
    <row r="65" spans="2:11" ht="15" thickBot="1" x14ac:dyDescent="0.25">
      <c r="B65" s="436" t="s">
        <v>174</v>
      </c>
      <c r="C65" s="437"/>
      <c r="D65" s="437"/>
      <c r="E65" s="441"/>
      <c r="F65" s="38"/>
      <c r="H65" s="428" t="s">
        <v>175</v>
      </c>
      <c r="I65" s="429"/>
      <c r="J65" s="3" t="s">
        <v>124</v>
      </c>
      <c r="K65" s="8">
        <v>6000</v>
      </c>
    </row>
    <row r="66" spans="2:11" x14ac:dyDescent="0.2">
      <c r="B66" s="45" t="s">
        <v>180</v>
      </c>
      <c r="C66" s="46"/>
      <c r="D66" s="21" t="s">
        <v>159</v>
      </c>
      <c r="E66" s="37">
        <v>0</v>
      </c>
      <c r="F66" s="510">
        <f>SUM(E66:E72)</f>
        <v>15731.002500000001</v>
      </c>
      <c r="H66" s="428" t="s">
        <v>181</v>
      </c>
      <c r="I66" s="429"/>
      <c r="J66" s="3" t="s">
        <v>124</v>
      </c>
      <c r="K66" s="8">
        <v>2000</v>
      </c>
    </row>
    <row r="67" spans="2:11" x14ac:dyDescent="0.2">
      <c r="B67" s="45" t="s">
        <v>185</v>
      </c>
      <c r="C67" s="46"/>
      <c r="D67" s="21" t="s">
        <v>159</v>
      </c>
      <c r="E67" s="37">
        <v>0</v>
      </c>
      <c r="F67" s="511"/>
      <c r="H67" s="428" t="s">
        <v>186</v>
      </c>
      <c r="I67" s="429"/>
      <c r="J67" s="3" t="s">
        <v>124</v>
      </c>
      <c r="K67" s="8">
        <v>40000</v>
      </c>
    </row>
    <row r="68" spans="2:11" x14ac:dyDescent="0.2">
      <c r="B68" s="45" t="s">
        <v>189</v>
      </c>
      <c r="C68" s="46"/>
      <c r="D68" s="21" t="s">
        <v>102</v>
      </c>
      <c r="E68" s="37">
        <f>IF(E62+F60+E63&gt;200000,((E62+F60+E63-200000)*0.00125)+5300,IF(E62+F60+E63&gt;100000,5300,IF(E62+F60+E63&gt;60000,4700,IF(E62+F60+E63&gt;50000,4000,IF(E62+F60+E63&gt;40000,3600,IF(E62+F60+E63&gt;30000,3300,IF(E62+F60+E63&gt;20000,2700,IF(E62+F60+E63&gt;10000,2000,1300))))))))</f>
        <v>7484.6625000000004</v>
      </c>
      <c r="F68" s="511"/>
      <c r="H68" s="428" t="s">
        <v>190</v>
      </c>
      <c r="I68" s="429"/>
      <c r="J68" s="3" t="s">
        <v>124</v>
      </c>
      <c r="K68" s="8">
        <v>1500</v>
      </c>
    </row>
    <row r="69" spans="2:11" x14ac:dyDescent="0.2">
      <c r="B69" s="45" t="s">
        <v>194</v>
      </c>
      <c r="C69" s="46"/>
      <c r="D69" s="21" t="s">
        <v>159</v>
      </c>
      <c r="E69" s="37">
        <v>581.66999999999996</v>
      </c>
      <c r="F69" s="511"/>
      <c r="H69" s="428" t="s">
        <v>195</v>
      </c>
      <c r="I69" s="429"/>
      <c r="J69" s="3" t="s">
        <v>124</v>
      </c>
      <c r="K69" s="8">
        <v>1000</v>
      </c>
    </row>
    <row r="70" spans="2:11" x14ac:dyDescent="0.2">
      <c r="B70" s="45" t="s">
        <v>198</v>
      </c>
      <c r="C70" s="46"/>
      <c r="D70" s="21" t="s">
        <v>159</v>
      </c>
      <c r="E70" s="37">
        <f>6966.34-E69</f>
        <v>6384.67</v>
      </c>
      <c r="F70" s="511"/>
      <c r="H70" s="428" t="s">
        <v>199</v>
      </c>
      <c r="I70" s="429"/>
      <c r="J70" s="3" t="s">
        <v>124</v>
      </c>
      <c r="K70" s="8">
        <v>1000</v>
      </c>
    </row>
    <row r="71" spans="2:11" x14ac:dyDescent="0.2">
      <c r="B71" s="45" t="s">
        <v>202</v>
      </c>
      <c r="C71" s="46"/>
      <c r="D71" s="21" t="s">
        <v>124</v>
      </c>
      <c r="E71" s="37">
        <v>280</v>
      </c>
      <c r="F71" s="511"/>
      <c r="H71" s="380" t="s">
        <v>203</v>
      </c>
      <c r="I71" s="28"/>
      <c r="J71" s="3" t="s">
        <v>102</v>
      </c>
      <c r="K71" s="8">
        <f>SUM(E68:E70)</f>
        <v>14451.002500000001</v>
      </c>
    </row>
    <row r="72" spans="2:11" ht="15" thickBot="1" x14ac:dyDescent="0.25">
      <c r="B72" s="542" t="s">
        <v>209</v>
      </c>
      <c r="C72" s="543"/>
      <c r="D72" s="383" t="s">
        <v>124</v>
      </c>
      <c r="E72" s="88">
        <v>1000</v>
      </c>
      <c r="F72" s="528"/>
      <c r="H72" s="47" t="s">
        <v>210</v>
      </c>
      <c r="I72" s="1"/>
      <c r="J72" s="7" t="s">
        <v>159</v>
      </c>
      <c r="K72" s="48">
        <v>0</v>
      </c>
    </row>
    <row r="73" spans="2:11" ht="15" thickBot="1" x14ac:dyDescent="0.25">
      <c r="B73" s="533" t="s">
        <v>212</v>
      </c>
      <c r="C73" s="534"/>
      <c r="D73" s="534"/>
      <c r="E73" s="86">
        <f>SUM(E64:E72)</f>
        <v>15731.002500000001</v>
      </c>
      <c r="F73" s="87">
        <f>SUM(F64:F71)</f>
        <v>1963461.0024999999</v>
      </c>
      <c r="H73" s="77" t="s">
        <v>213</v>
      </c>
      <c r="I73" s="78"/>
      <c r="J73" s="79" t="e">
        <f>K73/F55</f>
        <v>#DIV/0!</v>
      </c>
      <c r="K73" s="76">
        <f>SUM(K62:K72)</f>
        <v>115593.1525</v>
      </c>
    </row>
    <row r="74" spans="2:11" ht="15" thickBot="1" x14ac:dyDescent="0.25"/>
    <row r="75" spans="2:11" x14ac:dyDescent="0.2">
      <c r="B75" s="523" t="s">
        <v>218</v>
      </c>
      <c r="C75" s="524"/>
      <c r="D75" s="524"/>
      <c r="E75" s="524"/>
      <c r="F75" s="525"/>
    </row>
    <row r="76" spans="2:11" ht="15" thickBot="1" x14ac:dyDescent="0.25">
      <c r="B76" s="535" t="s">
        <v>109</v>
      </c>
      <c r="C76" s="536"/>
      <c r="D76" s="129">
        <v>31500</v>
      </c>
      <c r="E76" s="51">
        <f>D76-D55</f>
        <v>1500</v>
      </c>
      <c r="F76" s="52">
        <f>E76*F56</f>
        <v>91500</v>
      </c>
    </row>
  </sheetData>
  <mergeCells count="444">
    <mergeCell ref="B73:D73"/>
    <mergeCell ref="B75:F75"/>
    <mergeCell ref="B76:C76"/>
    <mergeCell ref="H58:I58"/>
    <mergeCell ref="J59:K59"/>
    <mergeCell ref="H61:K61"/>
    <mergeCell ref="H70:I70"/>
    <mergeCell ref="B64:E64"/>
    <mergeCell ref="H64:I64"/>
    <mergeCell ref="B65:E65"/>
    <mergeCell ref="H65:I65"/>
    <mergeCell ref="F66:F72"/>
    <mergeCell ref="H66:I66"/>
    <mergeCell ref="H67:I67"/>
    <mergeCell ref="H68:I68"/>
    <mergeCell ref="H69:I69"/>
    <mergeCell ref="B72:C72"/>
    <mergeCell ref="B58:F58"/>
    <mergeCell ref="B59:F59"/>
    <mergeCell ref="B60:D60"/>
    <mergeCell ref="B61:F61"/>
    <mergeCell ref="F62:F63"/>
    <mergeCell ref="H62:I62"/>
    <mergeCell ref="H63:I63"/>
    <mergeCell ref="C48:F48"/>
    <mergeCell ref="B50:K50"/>
    <mergeCell ref="B53:F53"/>
    <mergeCell ref="H53:K53"/>
    <mergeCell ref="H54:I54"/>
    <mergeCell ref="H55:I55"/>
    <mergeCell ref="B56:E56"/>
    <mergeCell ref="H56:I56"/>
    <mergeCell ref="H57:I57"/>
    <mergeCell ref="B40:K40"/>
    <mergeCell ref="A41:L41"/>
    <mergeCell ref="B42:F42"/>
    <mergeCell ref="H42:K42"/>
    <mergeCell ref="C43:F43"/>
    <mergeCell ref="C44:F44"/>
    <mergeCell ref="C45:F45"/>
    <mergeCell ref="C46:D46"/>
    <mergeCell ref="C47:F47"/>
    <mergeCell ref="CN35:CP35"/>
    <mergeCell ref="CN37:CR37"/>
    <mergeCell ref="CN38:CO38"/>
    <mergeCell ref="CN27:CQ27"/>
    <mergeCell ref="CT27:CU27"/>
    <mergeCell ref="CR28:CR34"/>
    <mergeCell ref="CT28:CU28"/>
    <mergeCell ref="CT29:CU29"/>
    <mergeCell ref="CT30:CU30"/>
    <mergeCell ref="CT31:CU31"/>
    <mergeCell ref="CT32:CU32"/>
    <mergeCell ref="CN34:CO34"/>
    <mergeCell ref="CN21:CR21"/>
    <mergeCell ref="CV21:CW21"/>
    <mergeCell ref="CN22:CP22"/>
    <mergeCell ref="CN23:CR23"/>
    <mergeCell ref="CT23:CW23"/>
    <mergeCell ref="CR24:CR25"/>
    <mergeCell ref="CT24:CU24"/>
    <mergeCell ref="CT25:CU25"/>
    <mergeCell ref="CN26:CQ26"/>
    <mergeCell ref="CT26:CU26"/>
    <mergeCell ref="CN15:CR15"/>
    <mergeCell ref="CT15:CW15"/>
    <mergeCell ref="CT16:CU16"/>
    <mergeCell ref="CT17:CU17"/>
    <mergeCell ref="CN18:CQ18"/>
    <mergeCell ref="CT18:CU18"/>
    <mergeCell ref="CT19:CU19"/>
    <mergeCell ref="CN20:CR20"/>
    <mergeCell ref="CT20:CU20"/>
    <mergeCell ref="CN2:CW2"/>
    <mergeCell ref="CN4:CR4"/>
    <mergeCell ref="CT4:CW4"/>
    <mergeCell ref="CO5:CR5"/>
    <mergeCell ref="CO6:CR6"/>
    <mergeCell ref="CO7:CR7"/>
    <mergeCell ref="CO8:CP8"/>
    <mergeCell ref="CO9:CR9"/>
    <mergeCell ref="CN12:CW12"/>
    <mergeCell ref="BV24:BW24"/>
    <mergeCell ref="BT24:BT25"/>
    <mergeCell ref="BV25:BW25"/>
    <mergeCell ref="BV26:BW26"/>
    <mergeCell ref="BP26:BS26"/>
    <mergeCell ref="BV27:BW27"/>
    <mergeCell ref="BP37:BT37"/>
    <mergeCell ref="BP38:BQ38"/>
    <mergeCell ref="BP27:BS27"/>
    <mergeCell ref="BV28:BW28"/>
    <mergeCell ref="BT28:BT34"/>
    <mergeCell ref="BV29:BW29"/>
    <mergeCell ref="BV30:BW30"/>
    <mergeCell ref="BV31:BW31"/>
    <mergeCell ref="BV32:BW32"/>
    <mergeCell ref="BP34:BQ34"/>
    <mergeCell ref="BP35:BR35"/>
    <mergeCell ref="BP18:BS18"/>
    <mergeCell ref="BV19:BW19"/>
    <mergeCell ref="BV20:BW20"/>
    <mergeCell ref="BP20:BT20"/>
    <mergeCell ref="BX21:BY21"/>
    <mergeCell ref="BV17:BW17"/>
    <mergeCell ref="BP21:BT21"/>
    <mergeCell ref="BP22:BR22"/>
    <mergeCell ref="BV23:BY23"/>
    <mergeCell ref="BP23:BT23"/>
    <mergeCell ref="BP2:BY2"/>
    <mergeCell ref="BP4:BT4"/>
    <mergeCell ref="BV4:BY4"/>
    <mergeCell ref="BQ5:BT5"/>
    <mergeCell ref="BQ6:BT6"/>
    <mergeCell ref="BQ7:BT7"/>
    <mergeCell ref="BQ8:BR8"/>
    <mergeCell ref="BQ9:BT9"/>
    <mergeCell ref="BP12:BY12"/>
    <mergeCell ref="BK26:BL26"/>
    <mergeCell ref="BE26:BH26"/>
    <mergeCell ref="BK27:BL27"/>
    <mergeCell ref="BE37:BI37"/>
    <mergeCell ref="BE38:BF38"/>
    <mergeCell ref="BE27:BH27"/>
    <mergeCell ref="BK28:BL28"/>
    <mergeCell ref="BI28:BI34"/>
    <mergeCell ref="BK29:BL29"/>
    <mergeCell ref="BK30:BL30"/>
    <mergeCell ref="BK31:BL31"/>
    <mergeCell ref="BK32:BL32"/>
    <mergeCell ref="BE34:BF34"/>
    <mergeCell ref="BE35:BG35"/>
    <mergeCell ref="BM21:BN21"/>
    <mergeCell ref="BK17:BL17"/>
    <mergeCell ref="BE21:BI21"/>
    <mergeCell ref="BE22:BG22"/>
    <mergeCell ref="BK23:BN23"/>
    <mergeCell ref="BE23:BI23"/>
    <mergeCell ref="BK24:BL24"/>
    <mergeCell ref="BI24:BI25"/>
    <mergeCell ref="BK25:BL25"/>
    <mergeCell ref="BF5:BI5"/>
    <mergeCell ref="BF6:BI6"/>
    <mergeCell ref="BF7:BI7"/>
    <mergeCell ref="BF8:BG8"/>
    <mergeCell ref="BF9:BI9"/>
    <mergeCell ref="BE12:BN12"/>
    <mergeCell ref="BE15:BI15"/>
    <mergeCell ref="BK15:BN15"/>
    <mergeCell ref="BK16:BL16"/>
    <mergeCell ref="X35:Z35"/>
    <mergeCell ref="X37:AB37"/>
    <mergeCell ref="X38:Y38"/>
    <mergeCell ref="X26:AA26"/>
    <mergeCell ref="AD27:AE27"/>
    <mergeCell ref="X27:AA27"/>
    <mergeCell ref="AD28:AE28"/>
    <mergeCell ref="AB28:AB34"/>
    <mergeCell ref="AD29:AE29"/>
    <mergeCell ref="AD30:AE30"/>
    <mergeCell ref="AD31:AE31"/>
    <mergeCell ref="AD32:AE32"/>
    <mergeCell ref="X34:Y34"/>
    <mergeCell ref="X23:AB23"/>
    <mergeCell ref="AD24:AE24"/>
    <mergeCell ref="AB24:AB25"/>
    <mergeCell ref="AD25:AE25"/>
    <mergeCell ref="AD26:AE26"/>
    <mergeCell ref="AD20:AE20"/>
    <mergeCell ref="X20:AB20"/>
    <mergeCell ref="AF21:AG21"/>
    <mergeCell ref="X21:AB21"/>
    <mergeCell ref="X22:Z22"/>
    <mergeCell ref="AD23:AG23"/>
    <mergeCell ref="X15:AB15"/>
    <mergeCell ref="AD15:AG15"/>
    <mergeCell ref="AD16:AE16"/>
    <mergeCell ref="AD18:AE18"/>
    <mergeCell ref="X18:AA18"/>
    <mergeCell ref="AD19:AE19"/>
    <mergeCell ref="H16:I16"/>
    <mergeCell ref="H17:I17"/>
    <mergeCell ref="H18:I18"/>
    <mergeCell ref="H15:K15"/>
    <mergeCell ref="AD17:AE17"/>
    <mergeCell ref="S17:T17"/>
    <mergeCell ref="X2:AG2"/>
    <mergeCell ref="X4:AB4"/>
    <mergeCell ref="AD4:AG4"/>
    <mergeCell ref="Y5:AB5"/>
    <mergeCell ref="Y6:AB6"/>
    <mergeCell ref="Y7:AB7"/>
    <mergeCell ref="Y8:Z8"/>
    <mergeCell ref="Y9:AB9"/>
    <mergeCell ref="X12:AG12"/>
    <mergeCell ref="B38:C38"/>
    <mergeCell ref="B22:D22"/>
    <mergeCell ref="B26:E26"/>
    <mergeCell ref="B27:E27"/>
    <mergeCell ref="B23:F23"/>
    <mergeCell ref="B34:C34"/>
    <mergeCell ref="H24:I24"/>
    <mergeCell ref="H25:I25"/>
    <mergeCell ref="H26:I26"/>
    <mergeCell ref="H27:I27"/>
    <mergeCell ref="H28:I28"/>
    <mergeCell ref="H29:I29"/>
    <mergeCell ref="H30:I30"/>
    <mergeCell ref="H31:I31"/>
    <mergeCell ref="H22:K22"/>
    <mergeCell ref="H23:I23"/>
    <mergeCell ref="C5:F5"/>
    <mergeCell ref="C6:F6"/>
    <mergeCell ref="B20:F20"/>
    <mergeCell ref="H19:I19"/>
    <mergeCell ref="B18:E18"/>
    <mergeCell ref="Q28:Q34"/>
    <mergeCell ref="M34:N34"/>
    <mergeCell ref="B35:D35"/>
    <mergeCell ref="B21:F21"/>
    <mergeCell ref="C9:F9"/>
    <mergeCell ref="B12:K12"/>
    <mergeCell ref="B15:F15"/>
    <mergeCell ref="J20:K20"/>
    <mergeCell ref="B2:K2"/>
    <mergeCell ref="M2:V2"/>
    <mergeCell ref="B37:F37"/>
    <mergeCell ref="M37:Q37"/>
    <mergeCell ref="S18:T18"/>
    <mergeCell ref="S16:T16"/>
    <mergeCell ref="S15:V15"/>
    <mergeCell ref="M15:Q15"/>
    <mergeCell ref="M12:V12"/>
    <mergeCell ref="U21:V21"/>
    <mergeCell ref="M20:Q20"/>
    <mergeCell ref="S20:T20"/>
    <mergeCell ref="S19:T19"/>
    <mergeCell ref="M18:P18"/>
    <mergeCell ref="S24:T24"/>
    <mergeCell ref="M23:Q23"/>
    <mergeCell ref="C7:F7"/>
    <mergeCell ref="F28:F34"/>
    <mergeCell ref="F24:F25"/>
    <mergeCell ref="A3:L3"/>
    <mergeCell ref="M35:O35"/>
    <mergeCell ref="N9:Q9"/>
    <mergeCell ref="N7:Q7"/>
    <mergeCell ref="N6:Q6"/>
    <mergeCell ref="M38:N38"/>
    <mergeCell ref="N8:O8"/>
    <mergeCell ref="C8:D8"/>
    <mergeCell ref="S4:V4"/>
    <mergeCell ref="M4:Q4"/>
    <mergeCell ref="S23:V23"/>
    <mergeCell ref="M22:O22"/>
    <mergeCell ref="M21:Q21"/>
    <mergeCell ref="S28:T28"/>
    <mergeCell ref="M27:P27"/>
    <mergeCell ref="S27:T27"/>
    <mergeCell ref="M26:P26"/>
    <mergeCell ref="S26:T26"/>
    <mergeCell ref="Q24:Q25"/>
    <mergeCell ref="S25:T25"/>
    <mergeCell ref="C10:F10"/>
    <mergeCell ref="N10:Q10"/>
    <mergeCell ref="S32:T32"/>
    <mergeCell ref="S31:T31"/>
    <mergeCell ref="S30:T30"/>
    <mergeCell ref="S29:T29"/>
    <mergeCell ref="N5:Q5"/>
    <mergeCell ref="B4:F4"/>
    <mergeCell ref="H4:K4"/>
    <mergeCell ref="AI2:AR2"/>
    <mergeCell ref="AI4:AM4"/>
    <mergeCell ref="AO4:AR4"/>
    <mergeCell ref="AJ5:AM5"/>
    <mergeCell ref="AJ6:AM6"/>
    <mergeCell ref="AJ7:AM7"/>
    <mergeCell ref="AJ8:AK8"/>
    <mergeCell ref="AJ9:AM9"/>
    <mergeCell ref="AI12:AR12"/>
    <mergeCell ref="AI15:AM15"/>
    <mergeCell ref="AO15:AR15"/>
    <mergeCell ref="AO16:AP16"/>
    <mergeCell ref="AO18:AP18"/>
    <mergeCell ref="AI18:AL18"/>
    <mergeCell ref="AO19:AP19"/>
    <mergeCell ref="AO20:AP20"/>
    <mergeCell ref="AI20:AM20"/>
    <mergeCell ref="AQ21:AR21"/>
    <mergeCell ref="AI21:AM21"/>
    <mergeCell ref="AO17:AP17"/>
    <mergeCell ref="AT22:AV22"/>
    <mergeCell ref="AT21:AX21"/>
    <mergeCell ref="BB21:BC21"/>
    <mergeCell ref="AI37:AM37"/>
    <mergeCell ref="AI38:AJ38"/>
    <mergeCell ref="AI27:AL27"/>
    <mergeCell ref="AO28:AP28"/>
    <mergeCell ref="AM28:AM34"/>
    <mergeCell ref="AO29:AP29"/>
    <mergeCell ref="AO30:AP30"/>
    <mergeCell ref="AO31:AP31"/>
    <mergeCell ref="AO32:AP32"/>
    <mergeCell ref="AI34:AJ34"/>
    <mergeCell ref="AO27:AP27"/>
    <mergeCell ref="AI22:AK22"/>
    <mergeCell ref="AO23:AR23"/>
    <mergeCell ref="AI23:AM23"/>
    <mergeCell ref="AO24:AP24"/>
    <mergeCell ref="AM24:AM25"/>
    <mergeCell ref="AO25:AP25"/>
    <mergeCell ref="AO26:AP26"/>
    <mergeCell ref="AI26:AL26"/>
    <mergeCell ref="AI35:AK35"/>
    <mergeCell ref="AT27:AW27"/>
    <mergeCell ref="AZ27:BA27"/>
    <mergeCell ref="AT26:AW26"/>
    <mergeCell ref="AZ26:BA26"/>
    <mergeCell ref="AX24:AX25"/>
    <mergeCell ref="AZ25:BA25"/>
    <mergeCell ref="AZ24:BA24"/>
    <mergeCell ref="AT23:AX23"/>
    <mergeCell ref="AZ23:BC23"/>
    <mergeCell ref="AT38:AU38"/>
    <mergeCell ref="AT37:AX37"/>
    <mergeCell ref="AT35:AV35"/>
    <mergeCell ref="AX28:AX34"/>
    <mergeCell ref="AT34:AU34"/>
    <mergeCell ref="AZ32:BA32"/>
    <mergeCell ref="AZ31:BA31"/>
    <mergeCell ref="AZ30:BA30"/>
    <mergeCell ref="AZ29:BA29"/>
    <mergeCell ref="AZ28:BA28"/>
    <mergeCell ref="AT20:AX20"/>
    <mergeCell ref="AZ20:BA20"/>
    <mergeCell ref="AZ19:BA19"/>
    <mergeCell ref="AT18:AW18"/>
    <mergeCell ref="AZ18:BA18"/>
    <mergeCell ref="CB15:CF15"/>
    <mergeCell ref="CH15:CK15"/>
    <mergeCell ref="CH16:CI16"/>
    <mergeCell ref="CH17:CI17"/>
    <mergeCell ref="CB18:CE18"/>
    <mergeCell ref="CH18:CI18"/>
    <mergeCell ref="CH19:CI19"/>
    <mergeCell ref="CB20:CF20"/>
    <mergeCell ref="CH20:CI20"/>
    <mergeCell ref="AZ17:BA17"/>
    <mergeCell ref="BK18:BL18"/>
    <mergeCell ref="BE18:BH18"/>
    <mergeCell ref="BK19:BL19"/>
    <mergeCell ref="BK20:BL20"/>
    <mergeCell ref="BE20:BI20"/>
    <mergeCell ref="BP15:BT15"/>
    <mergeCell ref="BV15:BY15"/>
    <mergeCell ref="BV16:BW16"/>
    <mergeCell ref="BV18:BW18"/>
    <mergeCell ref="AZ4:BC4"/>
    <mergeCell ref="AT4:AX4"/>
    <mergeCell ref="AT2:BC2"/>
    <mergeCell ref="AZ16:BA16"/>
    <mergeCell ref="AZ15:BC15"/>
    <mergeCell ref="AT15:AX15"/>
    <mergeCell ref="AT12:BC12"/>
    <mergeCell ref="CB2:CK2"/>
    <mergeCell ref="CB4:CF4"/>
    <mergeCell ref="CH4:CK4"/>
    <mergeCell ref="CC5:CF5"/>
    <mergeCell ref="CC6:CF6"/>
    <mergeCell ref="CC7:CF7"/>
    <mergeCell ref="CC8:CD8"/>
    <mergeCell ref="CC9:CF9"/>
    <mergeCell ref="CB12:CK12"/>
    <mergeCell ref="AU8:AV8"/>
    <mergeCell ref="AU7:AX7"/>
    <mergeCell ref="AU6:AX6"/>
    <mergeCell ref="AU5:AX5"/>
    <mergeCell ref="AU9:AX9"/>
    <mergeCell ref="BE2:BN2"/>
    <mergeCell ref="BE4:BI4"/>
    <mergeCell ref="BK4:BN4"/>
    <mergeCell ref="CB21:CF21"/>
    <mergeCell ref="CJ21:CK21"/>
    <mergeCell ref="CB22:CD22"/>
    <mergeCell ref="CB23:CF23"/>
    <mergeCell ref="CH23:CK23"/>
    <mergeCell ref="CB35:CD35"/>
    <mergeCell ref="CB37:CF37"/>
    <mergeCell ref="CB38:CC38"/>
    <mergeCell ref="CF24:CF25"/>
    <mergeCell ref="CH24:CI24"/>
    <mergeCell ref="CH25:CI25"/>
    <mergeCell ref="CB26:CE26"/>
    <mergeCell ref="CH26:CI26"/>
    <mergeCell ref="CB27:CE27"/>
    <mergeCell ref="CH27:CI27"/>
    <mergeCell ref="CF28:CF34"/>
    <mergeCell ref="CH28:CI28"/>
    <mergeCell ref="CH29:CI29"/>
    <mergeCell ref="CH30:CI30"/>
    <mergeCell ref="CH31:CI31"/>
    <mergeCell ref="CH32:CI32"/>
    <mergeCell ref="CB34:CC34"/>
    <mergeCell ref="CY2:DH2"/>
    <mergeCell ref="CY4:DC4"/>
    <mergeCell ref="DE4:DH4"/>
    <mergeCell ref="CZ5:DC5"/>
    <mergeCell ref="CZ6:DC6"/>
    <mergeCell ref="CZ7:DC7"/>
    <mergeCell ref="CZ8:DA8"/>
    <mergeCell ref="CZ9:DC9"/>
    <mergeCell ref="CY12:DH12"/>
    <mergeCell ref="CY15:DC15"/>
    <mergeCell ref="DE15:DH15"/>
    <mergeCell ref="DE16:DF16"/>
    <mergeCell ref="DE17:DF17"/>
    <mergeCell ref="CY18:DB18"/>
    <mergeCell ref="DE18:DF18"/>
    <mergeCell ref="DE19:DF19"/>
    <mergeCell ref="CY20:DC20"/>
    <mergeCell ref="DE20:DF20"/>
    <mergeCell ref="CY21:DC21"/>
    <mergeCell ref="DG21:DH21"/>
    <mergeCell ref="CY22:DA22"/>
    <mergeCell ref="CY23:DC23"/>
    <mergeCell ref="DE23:DH23"/>
    <mergeCell ref="DC24:DC25"/>
    <mergeCell ref="DE24:DF24"/>
    <mergeCell ref="DE25:DF25"/>
    <mergeCell ref="CY26:DB26"/>
    <mergeCell ref="DE26:DF26"/>
    <mergeCell ref="CY35:DA35"/>
    <mergeCell ref="CY37:DC37"/>
    <mergeCell ref="CY38:CZ38"/>
    <mergeCell ref="CY27:DB27"/>
    <mergeCell ref="DE27:DF27"/>
    <mergeCell ref="DC28:DC34"/>
    <mergeCell ref="DE28:DF28"/>
    <mergeCell ref="DE29:DF29"/>
    <mergeCell ref="DE30:DF30"/>
    <mergeCell ref="DE31:DF31"/>
    <mergeCell ref="DE32:DF32"/>
    <mergeCell ref="CY34:CZ34"/>
  </mergeCells>
  <pageMargins left="0.7" right="0.7" top="0.75" bottom="0.75" header="0.3" footer="0.3"/>
  <pageSetup orientation="portrait" horizontalDpi="0" verticalDpi="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AR38"/>
  <sheetViews>
    <sheetView zoomScale="73" zoomScaleNormal="73" workbookViewId="0">
      <selection activeCell="P25" sqref="P25"/>
    </sheetView>
  </sheetViews>
  <sheetFormatPr defaultColWidth="3.59765625" defaultRowHeight="14.25" x14ac:dyDescent="0.2"/>
  <cols>
    <col min="1" max="1" width="3.5" style="4" bestFit="1" customWidth="1"/>
    <col min="2" max="2" width="11.8984375" style="4" customWidth="1"/>
    <col min="3" max="3" width="6.3984375" style="4" customWidth="1"/>
    <col min="4" max="4" width="11.5" style="4" customWidth="1"/>
    <col min="5" max="5" width="15.09765625" style="4" bestFit="1" customWidth="1"/>
    <col min="6" max="6" width="15" style="4" bestFit="1" customWidth="1"/>
    <col min="7" max="7" width="1.796875" style="4" customWidth="1"/>
    <col min="8" max="8" width="19.796875" style="4" customWidth="1"/>
    <col min="9" max="9" width="13.796875" style="4" bestFit="1" customWidth="1"/>
    <col min="10" max="11" width="12.8984375" style="4" customWidth="1"/>
    <col min="12" max="12" width="3.5" style="4" bestFit="1" customWidth="1"/>
    <col min="13" max="13" width="11.8984375" style="4" customWidth="1"/>
    <col min="14" max="14" width="6.3984375" style="4" customWidth="1"/>
    <col min="15" max="15" width="11.5" style="4" customWidth="1"/>
    <col min="16" max="16" width="15.09765625" style="4" bestFit="1" customWidth="1"/>
    <col min="17" max="17" width="20.09765625" style="4" customWidth="1"/>
    <col min="18" max="18" width="1.796875" style="4" customWidth="1"/>
    <col min="19" max="19" width="19.796875" style="4" customWidth="1"/>
    <col min="20" max="20" width="13.796875" style="4" bestFit="1" customWidth="1"/>
    <col min="21" max="22" width="12.8984375" style="4" customWidth="1"/>
    <col min="23" max="23" width="3.5" style="4" bestFit="1" customWidth="1"/>
    <col min="24" max="24" width="11.8984375" style="4" customWidth="1"/>
    <col min="25" max="25" width="6.3984375" style="4" customWidth="1"/>
    <col min="26" max="26" width="11.5" style="4" customWidth="1"/>
    <col min="27" max="27" width="15.09765625" style="4" bestFit="1" customWidth="1"/>
    <col min="28" max="28" width="18.8984375" style="4" customWidth="1"/>
    <col min="29" max="29" width="1.796875" style="4" customWidth="1"/>
    <col min="30" max="30" width="19.796875" style="4" customWidth="1"/>
    <col min="31" max="31" width="13.796875" style="4" bestFit="1" customWidth="1"/>
    <col min="32" max="33" width="12.8984375" style="4" customWidth="1"/>
    <col min="34" max="34" width="3.59765625" style="4"/>
    <col min="35" max="35" width="11.8984375" style="4" customWidth="1"/>
    <col min="36" max="36" width="6.3984375" style="4" customWidth="1"/>
    <col min="37" max="37" width="11.5" style="4" customWidth="1"/>
    <col min="38" max="38" width="15.09765625" style="4" bestFit="1" customWidth="1"/>
    <col min="39" max="39" width="19" style="4" customWidth="1"/>
    <col min="40" max="40" width="1.796875" style="4" customWidth="1"/>
    <col min="41" max="41" width="19.796875" style="4" customWidth="1"/>
    <col min="42" max="42" width="13.796875" style="4" bestFit="1" customWidth="1"/>
    <col min="43" max="44" width="12.8984375" style="4" customWidth="1"/>
    <col min="45" max="16384" width="3.59765625" style="2"/>
  </cols>
  <sheetData>
    <row r="1" spans="1:44" ht="15" thickBot="1" x14ac:dyDescent="0.25"/>
    <row r="2" spans="1:44" ht="15" thickBot="1" x14ac:dyDescent="0.25">
      <c r="B2" s="419" t="s">
        <v>270</v>
      </c>
      <c r="C2" s="420"/>
      <c r="D2" s="420"/>
      <c r="E2" s="420"/>
      <c r="F2" s="420"/>
      <c r="G2" s="420"/>
      <c r="H2" s="420"/>
      <c r="I2" s="420"/>
      <c r="J2" s="420"/>
      <c r="K2" s="421"/>
      <c r="M2" s="419" t="s">
        <v>271</v>
      </c>
      <c r="N2" s="420"/>
      <c r="O2" s="420"/>
      <c r="P2" s="420"/>
      <c r="Q2" s="420"/>
      <c r="R2" s="420"/>
      <c r="S2" s="420"/>
      <c r="T2" s="420"/>
      <c r="U2" s="420"/>
      <c r="V2" s="421"/>
      <c r="X2" s="419" t="s">
        <v>427</v>
      </c>
      <c r="Y2" s="420"/>
      <c r="Z2" s="420"/>
      <c r="AA2" s="420"/>
      <c r="AB2" s="420"/>
      <c r="AC2" s="420"/>
      <c r="AD2" s="420"/>
      <c r="AE2" s="420"/>
      <c r="AF2" s="420"/>
      <c r="AG2" s="421"/>
      <c r="AI2" s="419" t="s">
        <v>279</v>
      </c>
      <c r="AJ2" s="420"/>
      <c r="AK2" s="420"/>
      <c r="AL2" s="420"/>
      <c r="AM2" s="420"/>
      <c r="AN2" s="420"/>
      <c r="AO2" s="420"/>
      <c r="AP2" s="420"/>
      <c r="AQ2" s="420"/>
      <c r="AR2" s="421"/>
    </row>
    <row r="3" spans="1:44" ht="8.25" customHeight="1" thickBot="1" x14ac:dyDescent="0.25">
      <c r="A3" s="529"/>
      <c r="B3" s="529"/>
      <c r="C3" s="529"/>
      <c r="D3" s="529"/>
      <c r="E3" s="529"/>
      <c r="F3" s="529"/>
      <c r="G3" s="529"/>
      <c r="H3" s="529"/>
      <c r="I3" s="529"/>
      <c r="J3" s="529"/>
      <c r="K3" s="529"/>
      <c r="L3" s="529"/>
    </row>
    <row r="4" spans="1:44" ht="15" thickBot="1" x14ac:dyDescent="0.25">
      <c r="A4" s="382"/>
      <c r="B4" s="488" t="s">
        <v>281</v>
      </c>
      <c r="C4" s="489"/>
      <c r="D4" s="489"/>
      <c r="E4" s="489"/>
      <c r="F4" s="490"/>
      <c r="G4" s="382"/>
      <c r="H4" s="491" t="s">
        <v>21</v>
      </c>
      <c r="I4" s="492"/>
      <c r="J4" s="493"/>
      <c r="K4" s="494"/>
      <c r="L4" s="382"/>
      <c r="M4" s="488" t="s">
        <v>281</v>
      </c>
      <c r="N4" s="489"/>
      <c r="O4" s="489"/>
      <c r="P4" s="489"/>
      <c r="Q4" s="490"/>
      <c r="R4" s="382"/>
      <c r="S4" s="491" t="s">
        <v>21</v>
      </c>
      <c r="T4" s="492"/>
      <c r="U4" s="493"/>
      <c r="V4" s="494"/>
      <c r="W4" s="382"/>
      <c r="X4" s="488" t="s">
        <v>281</v>
      </c>
      <c r="Y4" s="489"/>
      <c r="Z4" s="489"/>
      <c r="AA4" s="489"/>
      <c r="AB4" s="490"/>
      <c r="AC4" s="382"/>
      <c r="AD4" s="491" t="s">
        <v>21</v>
      </c>
      <c r="AE4" s="492"/>
      <c r="AF4" s="493"/>
      <c r="AG4" s="494"/>
      <c r="AI4" s="488" t="s">
        <v>281</v>
      </c>
      <c r="AJ4" s="489"/>
      <c r="AK4" s="489"/>
      <c r="AL4" s="489"/>
      <c r="AM4" s="490"/>
      <c r="AN4" s="382"/>
      <c r="AO4" s="491" t="s">
        <v>21</v>
      </c>
      <c r="AP4" s="492"/>
      <c r="AQ4" s="493"/>
      <c r="AR4" s="494"/>
    </row>
    <row r="5" spans="1:44" ht="15" customHeight="1" thickBot="1" x14ac:dyDescent="0.25">
      <c r="A5" s="382"/>
      <c r="B5" s="15" t="s">
        <v>282</v>
      </c>
      <c r="C5" s="403" t="s">
        <v>283</v>
      </c>
      <c r="D5" s="404"/>
      <c r="E5" s="404"/>
      <c r="F5" s="405"/>
      <c r="G5" s="382"/>
      <c r="H5" s="66" t="s">
        <v>22</v>
      </c>
      <c r="I5" s="67" t="s">
        <v>23</v>
      </c>
      <c r="J5" s="68" t="s">
        <v>24</v>
      </c>
      <c r="K5" s="69" t="s">
        <v>25</v>
      </c>
      <c r="L5" s="382"/>
      <c r="M5" s="15" t="s">
        <v>282</v>
      </c>
      <c r="N5" s="403" t="s">
        <v>285</v>
      </c>
      <c r="O5" s="404"/>
      <c r="P5" s="404"/>
      <c r="Q5" s="405"/>
      <c r="R5" s="382"/>
      <c r="S5" s="66" t="s">
        <v>22</v>
      </c>
      <c r="T5" s="67" t="s">
        <v>23</v>
      </c>
      <c r="U5" s="68" t="s">
        <v>24</v>
      </c>
      <c r="V5" s="69" t="s">
        <v>25</v>
      </c>
      <c r="W5" s="382"/>
      <c r="X5" s="15" t="s">
        <v>282</v>
      </c>
      <c r="Y5" s="403" t="s">
        <v>285</v>
      </c>
      <c r="Z5" s="404"/>
      <c r="AA5" s="404"/>
      <c r="AB5" s="405"/>
      <c r="AC5" s="382"/>
      <c r="AD5" s="66" t="s">
        <v>22</v>
      </c>
      <c r="AE5" s="67" t="s">
        <v>23</v>
      </c>
      <c r="AF5" s="68" t="s">
        <v>24</v>
      </c>
      <c r="AG5" s="69" t="s">
        <v>25</v>
      </c>
      <c r="AI5" s="15" t="s">
        <v>282</v>
      </c>
      <c r="AJ5" s="403" t="s">
        <v>285</v>
      </c>
      <c r="AK5" s="404"/>
      <c r="AL5" s="404"/>
      <c r="AM5" s="405"/>
      <c r="AN5" s="382"/>
      <c r="AO5" s="66" t="s">
        <v>22</v>
      </c>
      <c r="AP5" s="67" t="s">
        <v>23</v>
      </c>
      <c r="AQ5" s="68" t="s">
        <v>24</v>
      </c>
      <c r="AR5" s="69" t="s">
        <v>25</v>
      </c>
    </row>
    <row r="6" spans="1:44" ht="15" thickBot="1" x14ac:dyDescent="0.25">
      <c r="A6" s="382"/>
      <c r="B6" s="16" t="s">
        <v>286</v>
      </c>
      <c r="C6" s="403" t="s">
        <v>287</v>
      </c>
      <c r="D6" s="404"/>
      <c r="E6" s="404"/>
      <c r="F6" s="405"/>
      <c r="G6" s="382"/>
      <c r="H6" s="62" t="s">
        <v>31</v>
      </c>
      <c r="I6" s="123">
        <f>F22+F38</f>
        <v>1714566.6762000001</v>
      </c>
      <c r="J6" s="64">
        <f>I6/D16</f>
        <v>81.105330000000009</v>
      </c>
      <c r="K6" s="65">
        <f>I6/F17</f>
        <v>71.370406546990495</v>
      </c>
      <c r="L6" s="382"/>
      <c r="M6" s="16" t="s">
        <v>286</v>
      </c>
      <c r="N6" s="403" t="s">
        <v>288</v>
      </c>
      <c r="O6" s="404"/>
      <c r="P6" s="404"/>
      <c r="Q6" s="405"/>
      <c r="R6" s="382"/>
      <c r="S6" s="62" t="s">
        <v>31</v>
      </c>
      <c r="T6" s="123">
        <f>Q22+Q38</f>
        <v>1568671.3900000001</v>
      </c>
      <c r="U6" s="64">
        <f>T6/O16</f>
        <v>72.961460000000002</v>
      </c>
      <c r="V6" s="65">
        <f>T6/Q17</f>
        <v>64.204030271031328</v>
      </c>
      <c r="W6" s="382"/>
      <c r="X6" s="16" t="s">
        <v>286</v>
      </c>
      <c r="Y6" s="403" t="s">
        <v>288</v>
      </c>
      <c r="Z6" s="404"/>
      <c r="AA6" s="404"/>
      <c r="AB6" s="405"/>
      <c r="AC6" s="382"/>
      <c r="AD6" s="62" t="s">
        <v>31</v>
      </c>
      <c r="AE6" s="123">
        <f>AB22+AB38</f>
        <v>1813955</v>
      </c>
      <c r="AF6" s="64">
        <f>AE6/Z16</f>
        <v>84.37</v>
      </c>
      <c r="AG6" s="65">
        <f>AE6/AB17</f>
        <v>74.243224216825055</v>
      </c>
      <c r="AI6" s="16" t="s">
        <v>286</v>
      </c>
      <c r="AJ6" s="403" t="s">
        <v>288</v>
      </c>
      <c r="AK6" s="404"/>
      <c r="AL6" s="404"/>
      <c r="AM6" s="405"/>
      <c r="AN6" s="382"/>
      <c r="AO6" s="62" t="s">
        <v>31</v>
      </c>
      <c r="AP6" s="123">
        <f>AM22+AM38</f>
        <v>1838250</v>
      </c>
      <c r="AQ6" s="64">
        <f>AP6/AK16</f>
        <v>85.5</v>
      </c>
      <c r="AR6" s="65">
        <f>AP6/AM17</f>
        <v>75.237592397043286</v>
      </c>
    </row>
    <row r="7" spans="1:44" ht="15" thickBot="1" x14ac:dyDescent="0.25">
      <c r="B7" s="16" t="s">
        <v>289</v>
      </c>
      <c r="C7" s="403" t="s">
        <v>290</v>
      </c>
      <c r="D7" s="404"/>
      <c r="E7" s="404"/>
      <c r="F7" s="405"/>
      <c r="H7" s="27" t="s">
        <v>44</v>
      </c>
      <c r="I7" s="56">
        <f>K35+J21</f>
        <v>316567.77</v>
      </c>
      <c r="J7" s="10">
        <f>I7/D16</f>
        <v>14.974823557237466</v>
      </c>
      <c r="K7" s="11">
        <f>I7/F17</f>
        <v>13.177423052831278</v>
      </c>
      <c r="M7" s="16" t="s">
        <v>289</v>
      </c>
      <c r="N7" s="403" t="s">
        <v>290</v>
      </c>
      <c r="O7" s="404"/>
      <c r="P7" s="404"/>
      <c r="Q7" s="405"/>
      <c r="S7" s="27" t="s">
        <v>44</v>
      </c>
      <c r="T7" s="56">
        <f>V35+U21</f>
        <v>347742.77</v>
      </c>
      <c r="U7" s="10">
        <f>T7/O16</f>
        <v>16.174082325581395</v>
      </c>
      <c r="V7" s="11">
        <f>T7/Q17</f>
        <v>14.232736998927662</v>
      </c>
      <c r="X7" s="16" t="s">
        <v>289</v>
      </c>
      <c r="Y7" s="403" t="s">
        <v>290</v>
      </c>
      <c r="Z7" s="404"/>
      <c r="AA7" s="404"/>
      <c r="AB7" s="405"/>
      <c r="AD7" s="27" t="s">
        <v>44</v>
      </c>
      <c r="AE7" s="56">
        <f>AG35+AF21</f>
        <v>347742.77</v>
      </c>
      <c r="AF7" s="10">
        <f>AE7/Z16</f>
        <v>16.174082325581395</v>
      </c>
      <c r="AG7" s="11">
        <f>AE7/AB17</f>
        <v>14.232736998927662</v>
      </c>
      <c r="AI7" s="16" t="s">
        <v>289</v>
      </c>
      <c r="AJ7" s="403" t="s">
        <v>290</v>
      </c>
      <c r="AK7" s="404"/>
      <c r="AL7" s="404"/>
      <c r="AM7" s="405"/>
      <c r="AO7" s="27" t="s">
        <v>44</v>
      </c>
      <c r="AP7" s="56">
        <f>AR35+AQ21</f>
        <v>347742.77</v>
      </c>
      <c r="AQ7" s="10">
        <f>AP7/AK16</f>
        <v>16.174082325581395</v>
      </c>
      <c r="AR7" s="11">
        <f>AP7/AM17</f>
        <v>14.232736998927662</v>
      </c>
    </row>
    <row r="8" spans="1:44" ht="15" thickBot="1" x14ac:dyDescent="0.25">
      <c r="B8" s="16" t="s">
        <v>291</v>
      </c>
      <c r="C8" s="459">
        <v>45088</v>
      </c>
      <c r="D8" s="495"/>
      <c r="E8" s="16" t="s">
        <v>292</v>
      </c>
      <c r="F8" s="50">
        <v>45115</v>
      </c>
      <c r="H8" s="22" t="s">
        <v>53</v>
      </c>
      <c r="I8" s="124">
        <f>I6+I7</f>
        <v>2031134.4462000001</v>
      </c>
      <c r="J8" s="12">
        <f>I8/D16</f>
        <v>96.080153557237466</v>
      </c>
      <c r="K8" s="13">
        <f>I8/F17</f>
        <v>84.547829599821767</v>
      </c>
      <c r="M8" s="16" t="s">
        <v>291</v>
      </c>
      <c r="N8" s="459">
        <v>45208</v>
      </c>
      <c r="O8" s="495"/>
      <c r="P8" s="16" t="s">
        <v>292</v>
      </c>
      <c r="Q8" s="50">
        <v>45269</v>
      </c>
      <c r="S8" s="22" t="s">
        <v>53</v>
      </c>
      <c r="T8" s="124">
        <f>T6+T7</f>
        <v>1916414.1600000001</v>
      </c>
      <c r="U8" s="12">
        <f>T8/O16</f>
        <v>89.135542325581397</v>
      </c>
      <c r="V8" s="13">
        <f>T8/Q17</f>
        <v>78.436767269958992</v>
      </c>
      <c r="X8" s="16" t="s">
        <v>291</v>
      </c>
      <c r="Y8" s="459">
        <v>45574</v>
      </c>
      <c r="Z8" s="495"/>
      <c r="AA8" s="16" t="s">
        <v>292</v>
      </c>
      <c r="AB8" s="50">
        <v>45269</v>
      </c>
      <c r="AD8" s="22" t="s">
        <v>53</v>
      </c>
      <c r="AE8" s="124">
        <f>AE6+AE7</f>
        <v>2161697.77</v>
      </c>
      <c r="AF8" s="12">
        <f>AE8/Z16</f>
        <v>100.5440823255814</v>
      </c>
      <c r="AG8" s="13">
        <f>AE8/AB17</f>
        <v>88.475961215752719</v>
      </c>
      <c r="AI8" s="16" t="s">
        <v>291</v>
      </c>
      <c r="AJ8" s="459">
        <v>45208</v>
      </c>
      <c r="AK8" s="495"/>
      <c r="AL8" s="16" t="s">
        <v>292</v>
      </c>
      <c r="AM8" s="50">
        <v>45269</v>
      </c>
      <c r="AO8" s="22" t="s">
        <v>53</v>
      </c>
      <c r="AP8" s="124">
        <f>AP6+AP7</f>
        <v>2185992.77</v>
      </c>
      <c r="AQ8" s="12">
        <f>AP8/AK16</f>
        <v>101.6740823255814</v>
      </c>
      <c r="AR8" s="13">
        <f>AP8/AM17</f>
        <v>89.47032939597095</v>
      </c>
    </row>
    <row r="9" spans="1:44" ht="15" thickBot="1" x14ac:dyDescent="0.25">
      <c r="B9" s="17" t="s">
        <v>293</v>
      </c>
      <c r="C9" s="403" t="s">
        <v>62</v>
      </c>
      <c r="D9" s="404"/>
      <c r="E9" s="404"/>
      <c r="F9" s="405"/>
      <c r="H9" s="60" t="s">
        <v>57</v>
      </c>
      <c r="I9" s="58">
        <f>I8-J21</f>
        <v>1812679.8062</v>
      </c>
      <c r="J9" s="59">
        <f>I9/D16</f>
        <v>85.746443055818347</v>
      </c>
      <c r="K9" s="61">
        <f>I9/F17</f>
        <v>75.454455346549054</v>
      </c>
      <c r="M9" s="17" t="s">
        <v>293</v>
      </c>
      <c r="N9" s="403" t="s">
        <v>62</v>
      </c>
      <c r="O9" s="404"/>
      <c r="P9" s="404"/>
      <c r="Q9" s="405"/>
      <c r="S9" s="60" t="s">
        <v>57</v>
      </c>
      <c r="T9" s="58">
        <f>T8-U21</f>
        <v>1697087.1800000002</v>
      </c>
      <c r="U9" s="59">
        <f>T9/O16</f>
        <v>78.934287441860477</v>
      </c>
      <c r="V9" s="61">
        <f>T9/Q17</f>
        <v>69.45995023042984</v>
      </c>
      <c r="X9" s="17" t="s">
        <v>293</v>
      </c>
      <c r="Y9" s="403" t="s">
        <v>62</v>
      </c>
      <c r="Z9" s="404"/>
      <c r="AA9" s="404"/>
      <c r="AB9" s="405"/>
      <c r="AD9" s="60" t="s">
        <v>57</v>
      </c>
      <c r="AE9" s="58">
        <f>AE8-AF21</f>
        <v>1942370.79</v>
      </c>
      <c r="AF9" s="59">
        <f>AE9/Z16</f>
        <v>90.342827441860464</v>
      </c>
      <c r="AG9" s="61">
        <f>AE9/AB17</f>
        <v>79.499144176223567</v>
      </c>
      <c r="AI9" s="17" t="s">
        <v>293</v>
      </c>
      <c r="AJ9" s="403" t="s">
        <v>62</v>
      </c>
      <c r="AK9" s="404"/>
      <c r="AL9" s="404"/>
      <c r="AM9" s="405"/>
      <c r="AO9" s="60" t="s">
        <v>57</v>
      </c>
      <c r="AP9" s="58">
        <f>AP8-AQ21</f>
        <v>1966665.79</v>
      </c>
      <c r="AQ9" s="59">
        <f>AP9/AK16</f>
        <v>91.47282744186046</v>
      </c>
      <c r="AR9" s="61">
        <f>AP9/AM17</f>
        <v>80.493512356441798</v>
      </c>
    </row>
    <row r="10" spans="1:44" ht="15" thickBot="1" x14ac:dyDescent="0.25">
      <c r="B10" s="17"/>
      <c r="C10" s="403"/>
      <c r="D10" s="404"/>
      <c r="E10" s="404"/>
      <c r="F10" s="405"/>
      <c r="H10" s="70" t="s">
        <v>61</v>
      </c>
      <c r="I10" s="89">
        <f>F22+J21+F38</f>
        <v>1933021.3162000002</v>
      </c>
      <c r="J10" s="71">
        <f>I10/D16</f>
        <v>91.439040501419129</v>
      </c>
      <c r="K10" s="239">
        <f>I10/F17</f>
        <v>80.463780800263208</v>
      </c>
      <c r="M10" s="17"/>
      <c r="N10" s="403"/>
      <c r="O10" s="404"/>
      <c r="P10" s="404"/>
      <c r="Q10" s="405"/>
      <c r="S10" s="70" t="s">
        <v>61</v>
      </c>
      <c r="T10" s="89">
        <f>Q22+U21+Q38</f>
        <v>1787998.37</v>
      </c>
      <c r="U10" s="71">
        <f>T10/O16</f>
        <v>83.162714883720938</v>
      </c>
      <c r="V10" s="239">
        <f>T10/Q17</f>
        <v>73.18084731056048</v>
      </c>
      <c r="X10" s="17"/>
      <c r="Y10" s="403"/>
      <c r="Z10" s="404"/>
      <c r="AA10" s="404"/>
      <c r="AB10" s="405"/>
      <c r="AD10" s="70" t="s">
        <v>61</v>
      </c>
      <c r="AE10" s="89">
        <f>AB22+AF21+AB38</f>
        <v>2033281.98</v>
      </c>
      <c r="AF10" s="71">
        <f>AE10/Z16</f>
        <v>94.571254883720925</v>
      </c>
      <c r="AG10" s="239">
        <f>AE10/AB17</f>
        <v>83.220041256354207</v>
      </c>
      <c r="AI10" s="17"/>
      <c r="AJ10" s="403"/>
      <c r="AK10" s="404"/>
      <c r="AL10" s="404"/>
      <c r="AM10" s="405"/>
      <c r="AO10" s="70" t="s">
        <v>61</v>
      </c>
      <c r="AP10" s="89">
        <f>AM22+AQ21+AM38</f>
        <v>2057576.98</v>
      </c>
      <c r="AQ10" s="71">
        <f>AP10/AK16</f>
        <v>95.701254883720935</v>
      </c>
      <c r="AR10" s="239">
        <f>AP10/AM17</f>
        <v>84.214409436572438</v>
      </c>
    </row>
    <row r="11" spans="1:44" ht="8.25" customHeight="1" thickBot="1" x14ac:dyDescent="0.25">
      <c r="H11" s="5"/>
      <c r="I11" s="5"/>
      <c r="J11" s="5"/>
      <c r="K11" s="5"/>
      <c r="S11" s="5"/>
      <c r="T11" s="5"/>
      <c r="U11" s="5"/>
      <c r="V11" s="5"/>
      <c r="AD11" s="5"/>
      <c r="AE11" s="5"/>
      <c r="AF11" s="5"/>
      <c r="AG11" s="5"/>
      <c r="AO11" s="5"/>
      <c r="AP11" s="5"/>
      <c r="AQ11" s="5"/>
      <c r="AR11" s="5"/>
    </row>
    <row r="12" spans="1:44" ht="18.75" thickBot="1" x14ac:dyDescent="0.25">
      <c r="B12" s="416" t="s">
        <v>72</v>
      </c>
      <c r="C12" s="417"/>
      <c r="D12" s="417"/>
      <c r="E12" s="417"/>
      <c r="F12" s="417"/>
      <c r="G12" s="417"/>
      <c r="H12" s="417"/>
      <c r="I12" s="417"/>
      <c r="J12" s="417"/>
      <c r="K12" s="418"/>
      <c r="M12" s="416" t="s">
        <v>72</v>
      </c>
      <c r="N12" s="417"/>
      <c r="O12" s="417"/>
      <c r="P12" s="417"/>
      <c r="Q12" s="417"/>
      <c r="R12" s="417"/>
      <c r="S12" s="417"/>
      <c r="T12" s="417"/>
      <c r="U12" s="417"/>
      <c r="V12" s="418"/>
      <c r="X12" s="416" t="s">
        <v>72</v>
      </c>
      <c r="Y12" s="417"/>
      <c r="Z12" s="417"/>
      <c r="AA12" s="417"/>
      <c r="AB12" s="417"/>
      <c r="AC12" s="417"/>
      <c r="AD12" s="417"/>
      <c r="AE12" s="417"/>
      <c r="AF12" s="417"/>
      <c r="AG12" s="418"/>
      <c r="AI12" s="416" t="s">
        <v>72</v>
      </c>
      <c r="AJ12" s="417"/>
      <c r="AK12" s="417"/>
      <c r="AL12" s="417"/>
      <c r="AM12" s="417"/>
      <c r="AN12" s="417"/>
      <c r="AO12" s="417"/>
      <c r="AP12" s="417"/>
      <c r="AQ12" s="417"/>
      <c r="AR12" s="418"/>
    </row>
    <row r="13" spans="1:44" ht="6.75" customHeight="1" x14ac:dyDescent="0.2">
      <c r="H13" s="5"/>
      <c r="I13" s="5"/>
      <c r="J13" s="5"/>
      <c r="K13" s="5"/>
      <c r="S13" s="5"/>
      <c r="T13" s="5"/>
      <c r="U13" s="5"/>
      <c r="V13" s="5"/>
      <c r="AD13" s="5"/>
      <c r="AE13" s="5"/>
      <c r="AF13" s="5"/>
      <c r="AG13" s="5"/>
      <c r="AO13" s="5"/>
      <c r="AP13" s="5"/>
      <c r="AQ13" s="5"/>
      <c r="AR13" s="5"/>
    </row>
    <row r="14" spans="1:44" s="4" customFormat="1" ht="6.75" customHeight="1" thickBot="1" x14ac:dyDescent="0.25">
      <c r="H14" s="5"/>
      <c r="I14" s="5"/>
      <c r="J14" s="5"/>
      <c r="K14" s="5"/>
      <c r="S14" s="5"/>
      <c r="T14" s="5"/>
      <c r="U14" s="5"/>
      <c r="V14" s="5"/>
      <c r="AD14" s="5"/>
      <c r="AE14" s="5"/>
      <c r="AF14" s="5"/>
      <c r="AG14" s="5"/>
      <c r="AO14" s="5"/>
      <c r="AP14" s="5"/>
      <c r="AQ14" s="5"/>
      <c r="AR14" s="5"/>
    </row>
    <row r="15" spans="1:44" s="4" customFormat="1" x14ac:dyDescent="0.2">
      <c r="B15" s="449" t="s">
        <v>85</v>
      </c>
      <c r="C15" s="450"/>
      <c r="D15" s="450"/>
      <c r="E15" s="450"/>
      <c r="F15" s="451"/>
      <c r="H15" s="425" t="s">
        <v>86</v>
      </c>
      <c r="I15" s="426"/>
      <c r="J15" s="426"/>
      <c r="K15" s="427"/>
      <c r="M15" s="449" t="s">
        <v>85</v>
      </c>
      <c r="N15" s="450"/>
      <c r="O15" s="450"/>
      <c r="P15" s="450"/>
      <c r="Q15" s="451"/>
      <c r="S15" s="425" t="s">
        <v>86</v>
      </c>
      <c r="T15" s="426"/>
      <c r="U15" s="426"/>
      <c r="V15" s="427"/>
      <c r="X15" s="449" t="s">
        <v>85</v>
      </c>
      <c r="Y15" s="450"/>
      <c r="Z15" s="450"/>
      <c r="AA15" s="450"/>
      <c r="AB15" s="451"/>
      <c r="AD15" s="425" t="s">
        <v>86</v>
      </c>
      <c r="AE15" s="426"/>
      <c r="AF15" s="426"/>
      <c r="AG15" s="427"/>
      <c r="AI15" s="449" t="s">
        <v>85</v>
      </c>
      <c r="AJ15" s="450"/>
      <c r="AK15" s="450"/>
      <c r="AL15" s="450"/>
      <c r="AM15" s="451"/>
      <c r="AO15" s="425" t="s">
        <v>86</v>
      </c>
      <c r="AP15" s="426"/>
      <c r="AQ15" s="426"/>
      <c r="AR15" s="427"/>
    </row>
    <row r="16" spans="1:44" s="4" customFormat="1" x14ac:dyDescent="0.2">
      <c r="B16" s="31" t="s">
        <v>99</v>
      </c>
      <c r="C16" s="30"/>
      <c r="D16" s="33">
        <v>21140</v>
      </c>
      <c r="E16" s="6" t="s">
        <v>100</v>
      </c>
      <c r="F16" s="32">
        <v>1.4650000000000001</v>
      </c>
      <c r="H16" s="428" t="s">
        <v>101</v>
      </c>
      <c r="I16" s="429"/>
      <c r="J16" s="3" t="s">
        <v>102</v>
      </c>
      <c r="K16" s="8">
        <f>F35*0.12</f>
        <v>216874.3008</v>
      </c>
      <c r="M16" s="31" t="s">
        <v>99</v>
      </c>
      <c r="N16" s="30"/>
      <c r="O16" s="33">
        <v>21500</v>
      </c>
      <c r="P16" s="6" t="s">
        <v>100</v>
      </c>
      <c r="Q16" s="32">
        <v>1.3149999999999999</v>
      </c>
      <c r="S16" s="428" t="s">
        <v>101</v>
      </c>
      <c r="T16" s="429"/>
      <c r="U16" s="3" t="s">
        <v>102</v>
      </c>
      <c r="V16" s="8">
        <f>Q35*0.12</f>
        <v>216874.3008</v>
      </c>
      <c r="X16" s="31" t="s">
        <v>99</v>
      </c>
      <c r="Y16" s="30"/>
      <c r="Z16" s="33">
        <v>21500</v>
      </c>
      <c r="AA16" s="6" t="s">
        <v>100</v>
      </c>
      <c r="AB16" s="32">
        <v>1.43</v>
      </c>
      <c r="AD16" s="428" t="s">
        <v>101</v>
      </c>
      <c r="AE16" s="429"/>
      <c r="AF16" s="3" t="s">
        <v>102</v>
      </c>
      <c r="AG16" s="8">
        <f>AB35*0.12</f>
        <v>216874.3008</v>
      </c>
      <c r="AI16" s="31" t="s">
        <v>99</v>
      </c>
      <c r="AJ16" s="30"/>
      <c r="AK16" s="33">
        <v>21500</v>
      </c>
      <c r="AL16" s="6" t="s">
        <v>100</v>
      </c>
      <c r="AM16" s="32">
        <v>1.5</v>
      </c>
      <c r="AO16" s="428" t="s">
        <v>101</v>
      </c>
      <c r="AP16" s="429"/>
      <c r="AQ16" s="3" t="s">
        <v>102</v>
      </c>
      <c r="AR16" s="8">
        <f>AM35*0.12</f>
        <v>216874.3008</v>
      </c>
    </row>
    <row r="17" spans="1:44" s="4" customFormat="1" x14ac:dyDescent="0.2">
      <c r="B17" s="31" t="s">
        <v>109</v>
      </c>
      <c r="C17" s="30"/>
      <c r="D17" s="34">
        <f>D16*F16</f>
        <v>30970.100000000002</v>
      </c>
      <c r="E17" s="6" t="s">
        <v>110</v>
      </c>
      <c r="F17" s="35">
        <f>D16*1.1364</f>
        <v>24023.496000000003</v>
      </c>
      <c r="H17" s="428" t="s">
        <v>111</v>
      </c>
      <c r="I17" s="429"/>
      <c r="J17" s="241">
        <v>216898.64</v>
      </c>
      <c r="K17" s="8">
        <f>J17-K16</f>
        <v>24.339200000016717</v>
      </c>
      <c r="M17" s="31" t="s">
        <v>109</v>
      </c>
      <c r="N17" s="30"/>
      <c r="O17" s="34">
        <f>O16*Q16</f>
        <v>28272.5</v>
      </c>
      <c r="P17" s="6" t="s">
        <v>110</v>
      </c>
      <c r="Q17" s="35">
        <f>O16*1.1364</f>
        <v>24432.600000000002</v>
      </c>
      <c r="S17" s="428" t="s">
        <v>111</v>
      </c>
      <c r="T17" s="429"/>
      <c r="U17" s="241">
        <v>217769.98</v>
      </c>
      <c r="V17" s="8">
        <f>U17-V16</f>
        <v>895.67920000001322</v>
      </c>
      <c r="X17" s="31" t="s">
        <v>109</v>
      </c>
      <c r="Y17" s="30"/>
      <c r="Z17" s="34">
        <f>Z16*AB16</f>
        <v>30745</v>
      </c>
      <c r="AA17" s="6" t="s">
        <v>110</v>
      </c>
      <c r="AB17" s="35">
        <f>Z16*1.1364</f>
        <v>24432.600000000002</v>
      </c>
      <c r="AD17" s="428" t="s">
        <v>111</v>
      </c>
      <c r="AE17" s="429"/>
      <c r="AF17" s="241">
        <v>217769.98</v>
      </c>
      <c r="AG17" s="8">
        <f>AF17-AG16</f>
        <v>895.67920000001322</v>
      </c>
      <c r="AI17" s="31" t="s">
        <v>109</v>
      </c>
      <c r="AJ17" s="30"/>
      <c r="AK17" s="34">
        <f>AK16*AM16</f>
        <v>32250</v>
      </c>
      <c r="AL17" s="6" t="s">
        <v>110</v>
      </c>
      <c r="AM17" s="35">
        <f>AK16*1.1364</f>
        <v>24432.600000000002</v>
      </c>
      <c r="AO17" s="428" t="s">
        <v>111</v>
      </c>
      <c r="AP17" s="429"/>
      <c r="AQ17" s="241">
        <v>217769.98</v>
      </c>
      <c r="AR17" s="8">
        <f>AQ17-AR16</f>
        <v>895.67920000001322</v>
      </c>
    </row>
    <row r="18" spans="1:44" s="4" customFormat="1" ht="15" thickBot="1" x14ac:dyDescent="0.25">
      <c r="B18" s="485" t="s">
        <v>117</v>
      </c>
      <c r="C18" s="486"/>
      <c r="D18" s="486"/>
      <c r="E18" s="487"/>
      <c r="F18" s="29">
        <v>55.362000000000002</v>
      </c>
      <c r="H18" s="428" t="s">
        <v>118</v>
      </c>
      <c r="I18" s="429"/>
      <c r="J18" s="3" t="s">
        <v>102</v>
      </c>
      <c r="K18" s="8">
        <f>IF(E24+F22+E25&gt;750000,1000,IF(E24+F22+E25&gt;750000,750,IF(E24+F22+E25&gt;P31500000,750,IF(E24+F22+E25&gt;500000,750,IF(E24+F22+E25&gt;250000,500,IF(E24+F22+E25&gt;250000,500,250))))))</f>
        <v>1000</v>
      </c>
      <c r="M18" s="485" t="s">
        <v>117</v>
      </c>
      <c r="N18" s="486"/>
      <c r="O18" s="486"/>
      <c r="P18" s="487"/>
      <c r="Q18" s="29">
        <v>55.484000000000002</v>
      </c>
      <c r="S18" s="428" t="s">
        <v>118</v>
      </c>
      <c r="T18" s="429"/>
      <c r="U18" s="3" t="s">
        <v>102</v>
      </c>
      <c r="V18" s="8">
        <f>IF(P24+Q22+P25&gt;750000,1000,IF(P24+Q22+P25&gt;750000,750,IF(P24+Q22+P25&gt;P31500000,750,IF(P24+Q22+P25&gt;500000,750,IF(P24+Q22+P25&gt;250000,500,IF(P24+Q22+P25&gt;250000,500,250))))))</f>
        <v>1000</v>
      </c>
      <c r="X18" s="485" t="s">
        <v>117</v>
      </c>
      <c r="Y18" s="486"/>
      <c r="Z18" s="486"/>
      <c r="AA18" s="487"/>
      <c r="AB18" s="29">
        <v>59</v>
      </c>
      <c r="AD18" s="428" t="s">
        <v>118</v>
      </c>
      <c r="AE18" s="429"/>
      <c r="AF18" s="3" t="s">
        <v>102</v>
      </c>
      <c r="AG18" s="8">
        <f>IF(AA24+AB22+AA25&gt;750000,1000,IF(AA24+AB22+AA25&gt;750000,750,IF(AA24+AB22+AA25&gt;P31500000,750,IF(AA24+AB22+AA25&gt;500000,750,IF(AA24+AB22+AA25&gt;250000,500,IF(AA24+AB22+AA25&gt;250000,500,250))))))</f>
        <v>1000</v>
      </c>
      <c r="AI18" s="485" t="s">
        <v>117</v>
      </c>
      <c r="AJ18" s="486"/>
      <c r="AK18" s="486"/>
      <c r="AL18" s="487"/>
      <c r="AM18" s="29">
        <v>57</v>
      </c>
      <c r="AO18" s="428" t="s">
        <v>118</v>
      </c>
      <c r="AP18" s="429"/>
      <c r="AQ18" s="3" t="s">
        <v>102</v>
      </c>
      <c r="AR18" s="8">
        <f>IF(AL24+AM22+AL25&gt;750000,1000,IF(AL24+AM22+AL25&gt;750000,750,IF(AL24+AM22+AL25&gt;P31500000,750,IF(AL24+AM22+AL25&gt;500000,750,IF(AL24+AM22+AL25&gt;250000,500,IF(AL24+AM22+AL25&gt;250000,500,250))))))</f>
        <v>1000</v>
      </c>
    </row>
    <row r="19" spans="1:44" s="4" customFormat="1" ht="15" thickBot="1" x14ac:dyDescent="0.25">
      <c r="H19" s="428" t="s">
        <v>123</v>
      </c>
      <c r="I19" s="429"/>
      <c r="J19" s="3" t="s">
        <v>124</v>
      </c>
      <c r="K19" s="8">
        <v>280</v>
      </c>
      <c r="S19" s="428" t="s">
        <v>123</v>
      </c>
      <c r="T19" s="429"/>
      <c r="U19" s="3" t="s">
        <v>124</v>
      </c>
      <c r="V19" s="8">
        <v>280</v>
      </c>
      <c r="AD19" s="428" t="s">
        <v>123</v>
      </c>
      <c r="AE19" s="429"/>
      <c r="AF19" s="3" t="s">
        <v>124</v>
      </c>
      <c r="AG19" s="8">
        <v>280</v>
      </c>
      <c r="AO19" s="428" t="s">
        <v>123</v>
      </c>
      <c r="AP19" s="429"/>
      <c r="AQ19" s="3" t="s">
        <v>124</v>
      </c>
      <c r="AR19" s="8">
        <v>280</v>
      </c>
    </row>
    <row r="20" spans="1:44" s="4" customFormat="1" ht="15" thickBot="1" x14ac:dyDescent="0.25">
      <c r="B20" s="433" t="s">
        <v>128</v>
      </c>
      <c r="C20" s="434"/>
      <c r="D20" s="434"/>
      <c r="E20" s="434"/>
      <c r="F20" s="435"/>
      <c r="H20" s="428" t="s">
        <v>129</v>
      </c>
      <c r="I20" s="429"/>
      <c r="J20" s="3" t="s">
        <v>124</v>
      </c>
      <c r="K20" s="8">
        <v>276</v>
      </c>
      <c r="M20" s="433" t="s">
        <v>128</v>
      </c>
      <c r="N20" s="434"/>
      <c r="O20" s="434"/>
      <c r="P20" s="434"/>
      <c r="Q20" s="435"/>
      <c r="S20" s="428" t="s">
        <v>129</v>
      </c>
      <c r="T20" s="429"/>
      <c r="U20" s="3" t="s">
        <v>124</v>
      </c>
      <c r="V20" s="8">
        <v>277</v>
      </c>
      <c r="X20" s="433" t="s">
        <v>128</v>
      </c>
      <c r="Y20" s="434"/>
      <c r="Z20" s="434"/>
      <c r="AA20" s="434"/>
      <c r="AB20" s="435"/>
      <c r="AD20" s="428" t="s">
        <v>129</v>
      </c>
      <c r="AE20" s="429"/>
      <c r="AF20" s="3" t="s">
        <v>124</v>
      </c>
      <c r="AG20" s="8">
        <v>277</v>
      </c>
      <c r="AI20" s="433" t="s">
        <v>128</v>
      </c>
      <c r="AJ20" s="434"/>
      <c r="AK20" s="434"/>
      <c r="AL20" s="434"/>
      <c r="AM20" s="435"/>
      <c r="AO20" s="428" t="s">
        <v>129</v>
      </c>
      <c r="AP20" s="429"/>
      <c r="AQ20" s="3" t="s">
        <v>124</v>
      </c>
      <c r="AR20" s="8">
        <v>277</v>
      </c>
    </row>
    <row r="21" spans="1:44" s="4" customFormat="1" ht="14.25" customHeight="1" thickBot="1" x14ac:dyDescent="0.25">
      <c r="B21" s="436" t="s">
        <v>136</v>
      </c>
      <c r="C21" s="437"/>
      <c r="D21" s="437"/>
      <c r="E21" s="437"/>
      <c r="F21" s="438"/>
      <c r="H21" s="9" t="s">
        <v>137</v>
      </c>
      <c r="I21" s="23"/>
      <c r="J21" s="439">
        <f>SUM(K16:K20)</f>
        <v>218454.64</v>
      </c>
      <c r="K21" s="440"/>
      <c r="M21" s="436" t="s">
        <v>136</v>
      </c>
      <c r="N21" s="437"/>
      <c r="O21" s="437"/>
      <c r="P21" s="437"/>
      <c r="Q21" s="438"/>
      <c r="S21" s="9" t="s">
        <v>137</v>
      </c>
      <c r="T21" s="23"/>
      <c r="U21" s="439">
        <f>SUM(V16:V20)</f>
        <v>219326.98</v>
      </c>
      <c r="V21" s="440"/>
      <c r="X21" s="436" t="s">
        <v>136</v>
      </c>
      <c r="Y21" s="437"/>
      <c r="Z21" s="437"/>
      <c r="AA21" s="437"/>
      <c r="AB21" s="438"/>
      <c r="AD21" s="9" t="s">
        <v>137</v>
      </c>
      <c r="AE21" s="23"/>
      <c r="AF21" s="439">
        <f>SUM(AG16:AG20)</f>
        <v>219326.98</v>
      </c>
      <c r="AG21" s="440"/>
      <c r="AI21" s="436" t="s">
        <v>136</v>
      </c>
      <c r="AJ21" s="437"/>
      <c r="AK21" s="437"/>
      <c r="AL21" s="437"/>
      <c r="AM21" s="438"/>
      <c r="AO21" s="9" t="s">
        <v>137</v>
      </c>
      <c r="AP21" s="23"/>
      <c r="AQ21" s="439">
        <f>SUM(AR16:AR20)</f>
        <v>219326.98</v>
      </c>
      <c r="AR21" s="440"/>
    </row>
    <row r="22" spans="1:44" s="4" customFormat="1" ht="15" thickBot="1" x14ac:dyDescent="0.25">
      <c r="B22" s="457" t="s">
        <v>142</v>
      </c>
      <c r="C22" s="458"/>
      <c r="D22" s="458"/>
      <c r="E22" s="39" t="s">
        <v>102</v>
      </c>
      <c r="F22" s="49">
        <f>D17*F18</f>
        <v>1714566.6762000001</v>
      </c>
      <c r="M22" s="457" t="s">
        <v>142</v>
      </c>
      <c r="N22" s="458"/>
      <c r="O22" s="458"/>
      <c r="P22" s="39" t="s">
        <v>102</v>
      </c>
      <c r="Q22" s="49">
        <f>O17*Q18</f>
        <v>1568671.3900000001</v>
      </c>
      <c r="X22" s="457" t="s">
        <v>142</v>
      </c>
      <c r="Y22" s="458"/>
      <c r="Z22" s="458"/>
      <c r="AA22" s="39" t="s">
        <v>102</v>
      </c>
      <c r="AB22" s="49">
        <f>Z17*AB18</f>
        <v>1813955</v>
      </c>
      <c r="AI22" s="457" t="s">
        <v>142</v>
      </c>
      <c r="AJ22" s="458"/>
      <c r="AK22" s="458"/>
      <c r="AL22" s="39" t="s">
        <v>102</v>
      </c>
      <c r="AM22" s="49">
        <f>AK17*AM18</f>
        <v>1838250</v>
      </c>
    </row>
    <row r="23" spans="1:44" s="4" customFormat="1" ht="15" customHeight="1" thickBot="1" x14ac:dyDescent="0.25">
      <c r="B23" s="436" t="s">
        <v>148</v>
      </c>
      <c r="C23" s="437"/>
      <c r="D23" s="437"/>
      <c r="E23" s="437"/>
      <c r="F23" s="438"/>
      <c r="H23" s="425" t="s">
        <v>149</v>
      </c>
      <c r="I23" s="426"/>
      <c r="J23" s="426"/>
      <c r="K23" s="427"/>
      <c r="M23" s="436" t="s">
        <v>148</v>
      </c>
      <c r="N23" s="437"/>
      <c r="O23" s="437"/>
      <c r="P23" s="437"/>
      <c r="Q23" s="438"/>
      <c r="S23" s="425" t="s">
        <v>149</v>
      </c>
      <c r="T23" s="426"/>
      <c r="U23" s="426"/>
      <c r="V23" s="427"/>
      <c r="X23" s="436" t="s">
        <v>148</v>
      </c>
      <c r="Y23" s="437"/>
      <c r="Z23" s="437"/>
      <c r="AA23" s="437"/>
      <c r="AB23" s="438"/>
      <c r="AD23" s="425" t="s">
        <v>149</v>
      </c>
      <c r="AE23" s="426"/>
      <c r="AF23" s="426"/>
      <c r="AG23" s="427"/>
      <c r="AI23" s="436" t="s">
        <v>148</v>
      </c>
      <c r="AJ23" s="437"/>
      <c r="AK23" s="437"/>
      <c r="AL23" s="437"/>
      <c r="AM23" s="438"/>
      <c r="AO23" s="425" t="s">
        <v>149</v>
      </c>
      <c r="AP23" s="426"/>
      <c r="AQ23" s="426"/>
      <c r="AR23" s="427"/>
    </row>
    <row r="24" spans="1:44" s="4" customFormat="1" ht="14.25" customHeight="1" x14ac:dyDescent="0.2">
      <c r="A24" s="286">
        <f>F24/F22</f>
        <v>2.1077045589205531E-2</v>
      </c>
      <c r="B24" s="40" t="s">
        <v>157</v>
      </c>
      <c r="C24" s="41"/>
      <c r="D24" s="41" t="s">
        <v>102</v>
      </c>
      <c r="E24" s="42">
        <v>36138</v>
      </c>
      <c r="F24" s="513">
        <f>SUM(E24:E25)</f>
        <v>36138</v>
      </c>
      <c r="H24" s="428" t="s">
        <v>158</v>
      </c>
      <c r="I24" s="429"/>
      <c r="J24" s="7" t="s">
        <v>159</v>
      </c>
      <c r="K24" s="14">
        <v>15233.7</v>
      </c>
      <c r="L24" s="286">
        <f>Q24/Q22</f>
        <v>3.5776772852343534E-2</v>
      </c>
      <c r="M24" s="40" t="s">
        <v>157</v>
      </c>
      <c r="N24" s="41"/>
      <c r="O24" s="41" t="s">
        <v>102</v>
      </c>
      <c r="P24" s="42">
        <v>24968</v>
      </c>
      <c r="Q24" s="513">
        <f>SUM(P24:P25)</f>
        <v>56122</v>
      </c>
      <c r="S24" s="428" t="s">
        <v>158</v>
      </c>
      <c r="T24" s="429"/>
      <c r="U24" s="7" t="s">
        <v>159</v>
      </c>
      <c r="V24" s="14">
        <v>40527.300000000003</v>
      </c>
      <c r="W24" s="286">
        <f>AB24/AB22</f>
        <v>3.0939025499530034E-2</v>
      </c>
      <c r="X24" s="40" t="s">
        <v>157</v>
      </c>
      <c r="Y24" s="41"/>
      <c r="Z24" s="41" t="s">
        <v>102</v>
      </c>
      <c r="AA24" s="42">
        <v>24968</v>
      </c>
      <c r="AB24" s="513">
        <f>SUM(AA24:AA25)</f>
        <v>56122</v>
      </c>
      <c r="AD24" s="428" t="s">
        <v>158</v>
      </c>
      <c r="AE24" s="429"/>
      <c r="AF24" s="7" t="s">
        <v>159</v>
      </c>
      <c r="AG24" s="14">
        <v>40527.300000000003</v>
      </c>
      <c r="AI24" s="40" t="s">
        <v>157</v>
      </c>
      <c r="AJ24" s="41"/>
      <c r="AK24" s="41" t="s">
        <v>102</v>
      </c>
      <c r="AL24" s="42">
        <v>24968</v>
      </c>
      <c r="AM24" s="513">
        <f>SUM(AL24:AL25)</f>
        <v>56122</v>
      </c>
      <c r="AO24" s="428" t="s">
        <v>158</v>
      </c>
      <c r="AP24" s="429"/>
      <c r="AQ24" s="7" t="s">
        <v>159</v>
      </c>
      <c r="AR24" s="14">
        <v>40527.300000000003</v>
      </c>
    </row>
    <row r="25" spans="1:44" s="4" customFormat="1" ht="14.25" customHeight="1" x14ac:dyDescent="0.2">
      <c r="B25" s="43" t="s">
        <v>162</v>
      </c>
      <c r="C25" s="36"/>
      <c r="D25" s="41" t="s">
        <v>102</v>
      </c>
      <c r="E25" s="44">
        <v>0</v>
      </c>
      <c r="F25" s="514"/>
      <c r="H25" s="428" t="s">
        <v>163</v>
      </c>
      <c r="I25" s="429"/>
      <c r="J25" s="7" t="s">
        <v>159</v>
      </c>
      <c r="K25" s="14">
        <v>1617.17</v>
      </c>
      <c r="M25" s="43" t="s">
        <v>162</v>
      </c>
      <c r="N25" s="36"/>
      <c r="O25" s="41" t="s">
        <v>102</v>
      </c>
      <c r="P25" s="44">
        <v>31154</v>
      </c>
      <c r="Q25" s="514"/>
      <c r="S25" s="428" t="s">
        <v>163</v>
      </c>
      <c r="T25" s="429"/>
      <c r="U25" s="7" t="s">
        <v>159</v>
      </c>
      <c r="V25" s="14">
        <v>1617.17</v>
      </c>
      <c r="X25" s="43" t="s">
        <v>162</v>
      </c>
      <c r="Y25" s="36"/>
      <c r="Z25" s="41" t="s">
        <v>102</v>
      </c>
      <c r="AA25" s="44">
        <v>31154</v>
      </c>
      <c r="AB25" s="514"/>
      <c r="AD25" s="428" t="s">
        <v>163</v>
      </c>
      <c r="AE25" s="429"/>
      <c r="AF25" s="7" t="s">
        <v>159</v>
      </c>
      <c r="AG25" s="14">
        <v>1617.17</v>
      </c>
      <c r="AI25" s="43" t="s">
        <v>162</v>
      </c>
      <c r="AJ25" s="36"/>
      <c r="AK25" s="41" t="s">
        <v>102</v>
      </c>
      <c r="AL25" s="44">
        <v>31154</v>
      </c>
      <c r="AM25" s="514"/>
      <c r="AO25" s="428" t="s">
        <v>163</v>
      </c>
      <c r="AP25" s="429"/>
      <c r="AQ25" s="7" t="s">
        <v>159</v>
      </c>
      <c r="AR25" s="14">
        <v>1617.17</v>
      </c>
    </row>
    <row r="26" spans="1:44" s="4" customFormat="1" ht="14.25" customHeight="1" thickBot="1" x14ac:dyDescent="0.25">
      <c r="B26" s="446" t="s">
        <v>171</v>
      </c>
      <c r="C26" s="447"/>
      <c r="D26" s="447"/>
      <c r="E26" s="448"/>
      <c r="F26" s="26">
        <f>SUM(F22:F24)</f>
        <v>1750704.6762000001</v>
      </c>
      <c r="H26" s="428" t="s">
        <v>172</v>
      </c>
      <c r="I26" s="429"/>
      <c r="J26" s="7" t="s">
        <v>159</v>
      </c>
      <c r="K26" s="8">
        <v>15000</v>
      </c>
      <c r="M26" s="446" t="s">
        <v>171</v>
      </c>
      <c r="N26" s="447"/>
      <c r="O26" s="447"/>
      <c r="P26" s="448"/>
      <c r="Q26" s="26">
        <f>SUM(Q22:Q24)</f>
        <v>1624793.3900000001</v>
      </c>
      <c r="S26" s="428" t="s">
        <v>172</v>
      </c>
      <c r="T26" s="429"/>
      <c r="U26" s="7" t="s">
        <v>159</v>
      </c>
      <c r="V26" s="8">
        <v>18000</v>
      </c>
      <c r="X26" s="446" t="s">
        <v>171</v>
      </c>
      <c r="Y26" s="447"/>
      <c r="Z26" s="447"/>
      <c r="AA26" s="448"/>
      <c r="AB26" s="26">
        <f>SUM(AB22:AB24)</f>
        <v>1870077</v>
      </c>
      <c r="AD26" s="428" t="s">
        <v>172</v>
      </c>
      <c r="AE26" s="429"/>
      <c r="AF26" s="7" t="s">
        <v>159</v>
      </c>
      <c r="AG26" s="8">
        <v>18000</v>
      </c>
      <c r="AI26" s="446" t="s">
        <v>171</v>
      </c>
      <c r="AJ26" s="447"/>
      <c r="AK26" s="447"/>
      <c r="AL26" s="448"/>
      <c r="AM26" s="26">
        <f>SUM(AM22:AM24)</f>
        <v>1894372</v>
      </c>
      <c r="AO26" s="428" t="s">
        <v>172</v>
      </c>
      <c r="AP26" s="429"/>
      <c r="AQ26" s="7" t="s">
        <v>159</v>
      </c>
      <c r="AR26" s="8">
        <v>18000</v>
      </c>
    </row>
    <row r="27" spans="1:44" s="4" customFormat="1" ht="15" thickBot="1" x14ac:dyDescent="0.25">
      <c r="B27" s="436" t="s">
        <v>174</v>
      </c>
      <c r="C27" s="437"/>
      <c r="D27" s="437"/>
      <c r="E27" s="441"/>
      <c r="F27" s="38"/>
      <c r="H27" s="428" t="s">
        <v>175</v>
      </c>
      <c r="I27" s="429"/>
      <c r="J27" s="3" t="s">
        <v>124</v>
      </c>
      <c r="K27" s="8">
        <v>6000</v>
      </c>
      <c r="M27" s="436" t="s">
        <v>174</v>
      </c>
      <c r="N27" s="437"/>
      <c r="O27" s="437"/>
      <c r="P27" s="441"/>
      <c r="Q27" s="38"/>
      <c r="S27" s="428" t="s">
        <v>175</v>
      </c>
      <c r="T27" s="429"/>
      <c r="U27" s="3" t="s">
        <v>124</v>
      </c>
      <c r="V27" s="8">
        <v>6000</v>
      </c>
      <c r="X27" s="436" t="s">
        <v>174</v>
      </c>
      <c r="Y27" s="437"/>
      <c r="Z27" s="437"/>
      <c r="AA27" s="441"/>
      <c r="AB27" s="38"/>
      <c r="AD27" s="428" t="s">
        <v>175</v>
      </c>
      <c r="AE27" s="429"/>
      <c r="AF27" s="3" t="s">
        <v>124</v>
      </c>
      <c r="AG27" s="8">
        <v>6000</v>
      </c>
      <c r="AI27" s="436" t="s">
        <v>174</v>
      </c>
      <c r="AJ27" s="437"/>
      <c r="AK27" s="437"/>
      <c r="AL27" s="441"/>
      <c r="AM27" s="38"/>
      <c r="AO27" s="428" t="s">
        <v>175</v>
      </c>
      <c r="AP27" s="429"/>
      <c r="AQ27" s="3" t="s">
        <v>124</v>
      </c>
      <c r="AR27" s="8">
        <v>6000</v>
      </c>
    </row>
    <row r="28" spans="1:44" s="4" customFormat="1" ht="14.25" customHeight="1" x14ac:dyDescent="0.2">
      <c r="B28" s="45" t="s">
        <v>180</v>
      </c>
      <c r="C28" s="46"/>
      <c r="D28" s="21" t="s">
        <v>159</v>
      </c>
      <c r="E28" s="37">
        <v>0</v>
      </c>
      <c r="F28" s="510">
        <f>SUM(E28:E34)</f>
        <v>15042.259999999998</v>
      </c>
      <c r="H28" s="428" t="s">
        <v>181</v>
      </c>
      <c r="I28" s="429"/>
      <c r="J28" s="3" t="s">
        <v>124</v>
      </c>
      <c r="K28" s="8">
        <v>2000</v>
      </c>
      <c r="M28" s="45" t="s">
        <v>180</v>
      </c>
      <c r="N28" s="46"/>
      <c r="O28" s="21" t="s">
        <v>159</v>
      </c>
      <c r="P28" s="37">
        <v>0</v>
      </c>
      <c r="Q28" s="510">
        <f>SUM(P28:P34)</f>
        <v>15051.32</v>
      </c>
      <c r="S28" s="428" t="s">
        <v>181</v>
      </c>
      <c r="T28" s="429"/>
      <c r="U28" s="3" t="s">
        <v>124</v>
      </c>
      <c r="V28" s="8">
        <v>2000</v>
      </c>
      <c r="X28" s="45" t="s">
        <v>180</v>
      </c>
      <c r="Y28" s="46"/>
      <c r="Z28" s="21" t="s">
        <v>159</v>
      </c>
      <c r="AA28" s="37">
        <v>0</v>
      </c>
      <c r="AB28" s="510">
        <f>SUM(AA28:AA34)</f>
        <v>15051.32</v>
      </c>
      <c r="AD28" s="428" t="s">
        <v>181</v>
      </c>
      <c r="AE28" s="429"/>
      <c r="AF28" s="3" t="s">
        <v>124</v>
      </c>
      <c r="AG28" s="8">
        <v>2000</v>
      </c>
      <c r="AI28" s="45" t="s">
        <v>180</v>
      </c>
      <c r="AJ28" s="46"/>
      <c r="AK28" s="21" t="s">
        <v>159</v>
      </c>
      <c r="AL28" s="37">
        <v>0</v>
      </c>
      <c r="AM28" s="510">
        <f>SUM(AL28:AL34)</f>
        <v>15051.32</v>
      </c>
      <c r="AO28" s="428" t="s">
        <v>181</v>
      </c>
      <c r="AP28" s="429"/>
      <c r="AQ28" s="3" t="s">
        <v>124</v>
      </c>
      <c r="AR28" s="8">
        <v>2000</v>
      </c>
    </row>
    <row r="29" spans="1:44" s="4" customFormat="1" x14ac:dyDescent="0.2">
      <c r="B29" s="45" t="s">
        <v>185</v>
      </c>
      <c r="C29" s="46"/>
      <c r="D29" s="21" t="s">
        <v>159</v>
      </c>
      <c r="E29" s="37">
        <v>0</v>
      </c>
      <c r="F29" s="511"/>
      <c r="H29" s="428" t="s">
        <v>186</v>
      </c>
      <c r="I29" s="429"/>
      <c r="J29" s="3" t="s">
        <v>124</v>
      </c>
      <c r="K29" s="8">
        <v>40000</v>
      </c>
      <c r="M29" s="45" t="s">
        <v>185</v>
      </c>
      <c r="N29" s="46"/>
      <c r="O29" s="21" t="s">
        <v>159</v>
      </c>
      <c r="P29" s="37">
        <v>0</v>
      </c>
      <c r="Q29" s="511"/>
      <c r="S29" s="428" t="s">
        <v>186</v>
      </c>
      <c r="T29" s="429"/>
      <c r="U29" s="3" t="s">
        <v>124</v>
      </c>
      <c r="V29" s="8">
        <v>42000</v>
      </c>
      <c r="X29" s="45" t="s">
        <v>185</v>
      </c>
      <c r="Y29" s="46"/>
      <c r="Z29" s="21" t="s">
        <v>159</v>
      </c>
      <c r="AA29" s="37">
        <v>0</v>
      </c>
      <c r="AB29" s="511"/>
      <c r="AD29" s="428" t="s">
        <v>186</v>
      </c>
      <c r="AE29" s="429"/>
      <c r="AF29" s="3" t="s">
        <v>124</v>
      </c>
      <c r="AG29" s="8">
        <v>42000</v>
      </c>
      <c r="AI29" s="45" t="s">
        <v>185</v>
      </c>
      <c r="AJ29" s="46"/>
      <c r="AK29" s="21" t="s">
        <v>159</v>
      </c>
      <c r="AL29" s="37">
        <v>0</v>
      </c>
      <c r="AM29" s="511"/>
      <c r="AO29" s="428" t="s">
        <v>186</v>
      </c>
      <c r="AP29" s="429"/>
      <c r="AQ29" s="3" t="s">
        <v>124</v>
      </c>
      <c r="AR29" s="8">
        <v>42000</v>
      </c>
    </row>
    <row r="30" spans="1:44" s="4" customFormat="1" x14ac:dyDescent="0.2">
      <c r="B30" s="45" t="s">
        <v>189</v>
      </c>
      <c r="C30" s="46"/>
      <c r="D30" s="21" t="s">
        <v>102</v>
      </c>
      <c r="E30" s="37">
        <v>7292.36</v>
      </c>
      <c r="F30" s="511"/>
      <c r="H30" s="428" t="s">
        <v>190</v>
      </c>
      <c r="I30" s="429"/>
      <c r="J30" s="3" t="s">
        <v>124</v>
      </c>
      <c r="K30" s="8">
        <v>1500</v>
      </c>
      <c r="M30" s="45" t="s">
        <v>189</v>
      </c>
      <c r="N30" s="46"/>
      <c r="O30" s="21" t="s">
        <v>102</v>
      </c>
      <c r="P30" s="37">
        <v>7301.42</v>
      </c>
      <c r="Q30" s="511"/>
      <c r="S30" s="428" t="s">
        <v>190</v>
      </c>
      <c r="T30" s="429"/>
      <c r="U30" s="3" t="s">
        <v>124</v>
      </c>
      <c r="V30" s="8">
        <v>1500</v>
      </c>
      <c r="X30" s="45" t="s">
        <v>189</v>
      </c>
      <c r="Y30" s="46"/>
      <c r="Z30" s="21" t="s">
        <v>102</v>
      </c>
      <c r="AA30" s="37">
        <v>7301.42</v>
      </c>
      <c r="AB30" s="511"/>
      <c r="AD30" s="428" t="s">
        <v>190</v>
      </c>
      <c r="AE30" s="429"/>
      <c r="AF30" s="3" t="s">
        <v>124</v>
      </c>
      <c r="AG30" s="8">
        <v>1500</v>
      </c>
      <c r="AI30" s="45" t="s">
        <v>189</v>
      </c>
      <c r="AJ30" s="46"/>
      <c r="AK30" s="21" t="s">
        <v>102</v>
      </c>
      <c r="AL30" s="37">
        <v>7301.42</v>
      </c>
      <c r="AM30" s="511"/>
      <c r="AO30" s="428" t="s">
        <v>190</v>
      </c>
      <c r="AP30" s="429"/>
      <c r="AQ30" s="3" t="s">
        <v>124</v>
      </c>
      <c r="AR30" s="8">
        <v>1500</v>
      </c>
    </row>
    <row r="31" spans="1:44" s="4" customFormat="1" x14ac:dyDescent="0.2">
      <c r="B31" s="45" t="s">
        <v>194</v>
      </c>
      <c r="C31" s="46"/>
      <c r="D31" s="21" t="s">
        <v>159</v>
      </c>
      <c r="E31" s="37">
        <v>581.66999999999996</v>
      </c>
      <c r="F31" s="511"/>
      <c r="H31" s="428" t="s">
        <v>195</v>
      </c>
      <c r="I31" s="429"/>
      <c r="J31" s="3" t="s">
        <v>124</v>
      </c>
      <c r="K31" s="8">
        <v>2000</v>
      </c>
      <c r="M31" s="45" t="s">
        <v>194</v>
      </c>
      <c r="N31" s="46"/>
      <c r="O31" s="21" t="s">
        <v>159</v>
      </c>
      <c r="P31" s="37">
        <v>581.66999999999996</v>
      </c>
      <c r="Q31" s="511"/>
      <c r="S31" s="428" t="s">
        <v>195</v>
      </c>
      <c r="T31" s="429"/>
      <c r="U31" s="3" t="s">
        <v>124</v>
      </c>
      <c r="V31" s="8">
        <v>2000</v>
      </c>
      <c r="X31" s="45" t="s">
        <v>194</v>
      </c>
      <c r="Y31" s="46"/>
      <c r="Z31" s="21" t="s">
        <v>159</v>
      </c>
      <c r="AA31" s="37">
        <v>581.66999999999996</v>
      </c>
      <c r="AB31" s="511"/>
      <c r="AD31" s="428" t="s">
        <v>195</v>
      </c>
      <c r="AE31" s="429"/>
      <c r="AF31" s="3" t="s">
        <v>124</v>
      </c>
      <c r="AG31" s="8">
        <v>2000</v>
      </c>
      <c r="AI31" s="45" t="s">
        <v>194</v>
      </c>
      <c r="AJ31" s="46"/>
      <c r="AK31" s="21" t="s">
        <v>159</v>
      </c>
      <c r="AL31" s="37">
        <v>581.66999999999996</v>
      </c>
      <c r="AM31" s="511"/>
      <c r="AO31" s="428" t="s">
        <v>195</v>
      </c>
      <c r="AP31" s="429"/>
      <c r="AQ31" s="3" t="s">
        <v>124</v>
      </c>
      <c r="AR31" s="8">
        <v>2000</v>
      </c>
    </row>
    <row r="32" spans="1:44" s="4" customFormat="1" ht="14.25" customHeight="1" x14ac:dyDescent="0.2">
      <c r="B32" s="45" t="s">
        <v>198</v>
      </c>
      <c r="C32" s="46"/>
      <c r="D32" s="21" t="s">
        <v>159</v>
      </c>
      <c r="E32" s="37">
        <v>5888.23</v>
      </c>
      <c r="F32" s="511"/>
      <c r="H32" s="428" t="s">
        <v>199</v>
      </c>
      <c r="I32" s="429"/>
      <c r="J32" s="3" t="s">
        <v>124</v>
      </c>
      <c r="K32" s="8">
        <v>1000</v>
      </c>
      <c r="M32" s="45" t="s">
        <v>198</v>
      </c>
      <c r="N32" s="46"/>
      <c r="O32" s="21" t="s">
        <v>159</v>
      </c>
      <c r="P32" s="37">
        <v>5888.23</v>
      </c>
      <c r="Q32" s="511"/>
      <c r="S32" s="428" t="s">
        <v>199</v>
      </c>
      <c r="T32" s="429"/>
      <c r="U32" s="3" t="s">
        <v>124</v>
      </c>
      <c r="V32" s="8">
        <v>1000</v>
      </c>
      <c r="X32" s="45" t="s">
        <v>198</v>
      </c>
      <c r="Y32" s="46"/>
      <c r="Z32" s="21" t="s">
        <v>159</v>
      </c>
      <c r="AA32" s="37">
        <v>5888.23</v>
      </c>
      <c r="AB32" s="511"/>
      <c r="AD32" s="428" t="s">
        <v>199</v>
      </c>
      <c r="AE32" s="429"/>
      <c r="AF32" s="3" t="s">
        <v>124</v>
      </c>
      <c r="AG32" s="8">
        <v>1000</v>
      </c>
      <c r="AI32" s="45" t="s">
        <v>198</v>
      </c>
      <c r="AJ32" s="46"/>
      <c r="AK32" s="21" t="s">
        <v>159</v>
      </c>
      <c r="AL32" s="37">
        <v>5888.23</v>
      </c>
      <c r="AM32" s="511"/>
      <c r="AO32" s="428" t="s">
        <v>199</v>
      </c>
      <c r="AP32" s="429"/>
      <c r="AQ32" s="3" t="s">
        <v>124</v>
      </c>
      <c r="AR32" s="8">
        <v>1000</v>
      </c>
    </row>
    <row r="33" spans="2:44" s="4" customFormat="1" ht="14.25" customHeight="1" x14ac:dyDescent="0.2">
      <c r="B33" s="45" t="s">
        <v>202</v>
      </c>
      <c r="C33" s="46"/>
      <c r="D33" s="21" t="s">
        <v>124</v>
      </c>
      <c r="E33" s="37">
        <v>280</v>
      </c>
      <c r="F33" s="511"/>
      <c r="H33" s="380" t="s">
        <v>203</v>
      </c>
      <c r="I33" s="28"/>
      <c r="J33" s="3" t="s">
        <v>102</v>
      </c>
      <c r="K33" s="8">
        <f>SUM(E30:E32)</f>
        <v>13762.259999999998</v>
      </c>
      <c r="M33" s="45" t="s">
        <v>202</v>
      </c>
      <c r="N33" s="46"/>
      <c r="O33" s="21" t="s">
        <v>124</v>
      </c>
      <c r="P33" s="37">
        <v>280</v>
      </c>
      <c r="Q33" s="511"/>
      <c r="S33" s="380" t="s">
        <v>203</v>
      </c>
      <c r="T33" s="28"/>
      <c r="U33" s="3" t="s">
        <v>102</v>
      </c>
      <c r="V33" s="8">
        <f>SUM(P30:P32)</f>
        <v>13771.32</v>
      </c>
      <c r="X33" s="45" t="s">
        <v>202</v>
      </c>
      <c r="Y33" s="46"/>
      <c r="Z33" s="21" t="s">
        <v>124</v>
      </c>
      <c r="AA33" s="37">
        <v>280</v>
      </c>
      <c r="AB33" s="511"/>
      <c r="AD33" s="380" t="s">
        <v>203</v>
      </c>
      <c r="AE33" s="28"/>
      <c r="AF33" s="3" t="s">
        <v>102</v>
      </c>
      <c r="AG33" s="8">
        <f>SUM(AA30:AA32)</f>
        <v>13771.32</v>
      </c>
      <c r="AI33" s="45" t="s">
        <v>202</v>
      </c>
      <c r="AJ33" s="46"/>
      <c r="AK33" s="21" t="s">
        <v>124</v>
      </c>
      <c r="AL33" s="37">
        <v>280</v>
      </c>
      <c r="AM33" s="511"/>
      <c r="AO33" s="380" t="s">
        <v>203</v>
      </c>
      <c r="AP33" s="28"/>
      <c r="AQ33" s="3" t="s">
        <v>102</v>
      </c>
      <c r="AR33" s="8">
        <f>SUM(AL30:AL32)</f>
        <v>13771.32</v>
      </c>
    </row>
    <row r="34" spans="2:44" s="4" customFormat="1" x14ac:dyDescent="0.2">
      <c r="B34" s="444" t="s">
        <v>209</v>
      </c>
      <c r="C34" s="445"/>
      <c r="D34" s="21" t="s">
        <v>124</v>
      </c>
      <c r="E34" s="37">
        <v>1000</v>
      </c>
      <c r="F34" s="512"/>
      <c r="H34" s="47" t="s">
        <v>210</v>
      </c>
      <c r="I34" s="1"/>
      <c r="J34" s="7" t="s">
        <v>159</v>
      </c>
      <c r="K34" s="48">
        <v>0</v>
      </c>
      <c r="M34" s="444" t="s">
        <v>209</v>
      </c>
      <c r="N34" s="445"/>
      <c r="O34" s="21" t="s">
        <v>124</v>
      </c>
      <c r="P34" s="37">
        <v>1000</v>
      </c>
      <c r="Q34" s="512"/>
      <c r="S34" s="47" t="s">
        <v>210</v>
      </c>
      <c r="T34" s="1"/>
      <c r="U34" s="7" t="s">
        <v>159</v>
      </c>
      <c r="V34" s="48">
        <v>0</v>
      </c>
      <c r="X34" s="444" t="s">
        <v>209</v>
      </c>
      <c r="Y34" s="445"/>
      <c r="Z34" s="21" t="s">
        <v>124</v>
      </c>
      <c r="AA34" s="37">
        <v>1000</v>
      </c>
      <c r="AB34" s="512"/>
      <c r="AD34" s="47" t="s">
        <v>210</v>
      </c>
      <c r="AE34" s="1"/>
      <c r="AF34" s="7" t="s">
        <v>159</v>
      </c>
      <c r="AG34" s="48">
        <v>0</v>
      </c>
      <c r="AI34" s="444" t="s">
        <v>209</v>
      </c>
      <c r="AJ34" s="445"/>
      <c r="AK34" s="21" t="s">
        <v>124</v>
      </c>
      <c r="AL34" s="37">
        <v>1000</v>
      </c>
      <c r="AM34" s="512"/>
      <c r="AO34" s="47" t="s">
        <v>210</v>
      </c>
      <c r="AP34" s="1"/>
      <c r="AQ34" s="7" t="s">
        <v>159</v>
      </c>
      <c r="AR34" s="48">
        <v>0</v>
      </c>
    </row>
    <row r="35" spans="2:44" ht="15" thickBot="1" x14ac:dyDescent="0.25">
      <c r="B35" s="446" t="s">
        <v>212</v>
      </c>
      <c r="C35" s="447"/>
      <c r="D35" s="448"/>
      <c r="E35" s="19">
        <f>SUM(E26:E34)</f>
        <v>15042.259999999998</v>
      </c>
      <c r="F35" s="20">
        <v>1807285.84</v>
      </c>
      <c r="H35" s="24" t="s">
        <v>213</v>
      </c>
      <c r="I35" s="25"/>
      <c r="J35" s="79">
        <f>K35/F17</f>
        <v>4.0840487995585644</v>
      </c>
      <c r="K35" s="76">
        <f>SUM(K24:K34)</f>
        <v>98113.12999999999</v>
      </c>
      <c r="M35" s="446" t="s">
        <v>212</v>
      </c>
      <c r="N35" s="447"/>
      <c r="O35" s="448"/>
      <c r="P35" s="19">
        <f>SUM(P26:P34)</f>
        <v>15051.32</v>
      </c>
      <c r="Q35" s="20">
        <v>1807285.84</v>
      </c>
      <c r="S35" s="24" t="s">
        <v>213</v>
      </c>
      <c r="T35" s="25"/>
      <c r="U35" s="79">
        <f>V35/Q17</f>
        <v>5.2559199593985086</v>
      </c>
      <c r="V35" s="76">
        <f>SUM(V24:V34)</f>
        <v>128415.79000000001</v>
      </c>
      <c r="X35" s="446" t="s">
        <v>212</v>
      </c>
      <c r="Y35" s="447"/>
      <c r="Z35" s="448"/>
      <c r="AA35" s="19">
        <f>SUM(AA26:AA34)</f>
        <v>15051.32</v>
      </c>
      <c r="AB35" s="20">
        <v>1807285.84</v>
      </c>
      <c r="AD35" s="24" t="s">
        <v>213</v>
      </c>
      <c r="AE35" s="25"/>
      <c r="AF35" s="79">
        <f>AG35/AB17</f>
        <v>5.2559199593985086</v>
      </c>
      <c r="AG35" s="76">
        <f>SUM(AG24:AG34)</f>
        <v>128415.79000000001</v>
      </c>
      <c r="AI35" s="446" t="s">
        <v>212</v>
      </c>
      <c r="AJ35" s="447"/>
      <c r="AK35" s="448"/>
      <c r="AL35" s="19">
        <f>SUM(AL26:AL34)</f>
        <v>15051.32</v>
      </c>
      <c r="AM35" s="20">
        <v>1807285.84</v>
      </c>
      <c r="AO35" s="24" t="s">
        <v>213</v>
      </c>
      <c r="AP35" s="25"/>
      <c r="AQ35" s="79">
        <f>AR35/AM17</f>
        <v>5.2559199593985086</v>
      </c>
      <c r="AR35" s="76">
        <f>SUM(AR24:AR34)</f>
        <v>128415.79000000001</v>
      </c>
    </row>
    <row r="36" spans="2:44" ht="15" thickBot="1" x14ac:dyDescent="0.25">
      <c r="K36" s="286">
        <f>K35/F22</f>
        <v>5.7223280588567398E-2</v>
      </c>
      <c r="V36" s="286">
        <f>V35/Q22</f>
        <v>8.1862773056631061E-2</v>
      </c>
      <c r="AG36" s="286">
        <f>AG35/AB22</f>
        <v>7.0793261133820853E-2</v>
      </c>
      <c r="AR36" s="286">
        <f>AR35/AM22</f>
        <v>6.9857630898952819E-2</v>
      </c>
    </row>
    <row r="37" spans="2:44" x14ac:dyDescent="0.2">
      <c r="B37" s="449" t="s">
        <v>218</v>
      </c>
      <c r="C37" s="450"/>
      <c r="D37" s="450"/>
      <c r="E37" s="450"/>
      <c r="F37" s="451"/>
      <c r="M37" s="449" t="s">
        <v>218</v>
      </c>
      <c r="N37" s="450"/>
      <c r="O37" s="450"/>
      <c r="P37" s="450"/>
      <c r="Q37" s="451"/>
      <c r="X37" s="449" t="s">
        <v>218</v>
      </c>
      <c r="Y37" s="450"/>
      <c r="Z37" s="450"/>
      <c r="AA37" s="450"/>
      <c r="AB37" s="451"/>
      <c r="AI37" s="449" t="s">
        <v>218</v>
      </c>
      <c r="AJ37" s="450"/>
      <c r="AK37" s="450"/>
      <c r="AL37" s="450"/>
      <c r="AM37" s="451"/>
    </row>
    <row r="38" spans="2:44" ht="15" thickBot="1" x14ac:dyDescent="0.25">
      <c r="B38" s="452" t="s">
        <v>109</v>
      </c>
      <c r="C38" s="453"/>
      <c r="D38" s="129">
        <v>30970.1</v>
      </c>
      <c r="E38" s="51">
        <f>D38-D17</f>
        <v>0</v>
      </c>
      <c r="F38" s="52">
        <f>E38*F18</f>
        <v>0</v>
      </c>
      <c r="K38" s="75"/>
      <c r="M38" s="452" t="s">
        <v>109</v>
      </c>
      <c r="N38" s="453"/>
      <c r="O38" s="237">
        <v>28272.5</v>
      </c>
      <c r="P38" s="51">
        <f>O38-O17</f>
        <v>0</v>
      </c>
      <c r="Q38" s="52">
        <f>P38*Q18</f>
        <v>0</v>
      </c>
      <c r="V38" s="75"/>
      <c r="X38" s="452" t="s">
        <v>109</v>
      </c>
      <c r="Y38" s="453"/>
      <c r="Z38" s="237">
        <f>Z17</f>
        <v>30745</v>
      </c>
      <c r="AA38" s="51">
        <f>Z38-Z17</f>
        <v>0</v>
      </c>
      <c r="AB38" s="52">
        <f>AA38*AB18</f>
        <v>0</v>
      </c>
      <c r="AG38" s="75"/>
      <c r="AI38" s="452" t="s">
        <v>109</v>
      </c>
      <c r="AJ38" s="453"/>
      <c r="AK38" s="237">
        <f>AK17</f>
        <v>32250</v>
      </c>
      <c r="AL38" s="51">
        <f>AK38-AK17</f>
        <v>0</v>
      </c>
      <c r="AM38" s="52">
        <f>AL38*AM18</f>
        <v>0</v>
      </c>
      <c r="AR38" s="75"/>
    </row>
  </sheetData>
  <mergeCells count="165">
    <mergeCell ref="B35:D35"/>
    <mergeCell ref="B37:F37"/>
    <mergeCell ref="B38:C38"/>
    <mergeCell ref="F28:F34"/>
    <mergeCell ref="H29:I29"/>
    <mergeCell ref="H30:I30"/>
    <mergeCell ref="H31:I31"/>
    <mergeCell ref="H32:I32"/>
    <mergeCell ref="B34:C34"/>
    <mergeCell ref="J21:K21"/>
    <mergeCell ref="B21:F21"/>
    <mergeCell ref="B22:D22"/>
    <mergeCell ref="H23:K23"/>
    <mergeCell ref="B23:F23"/>
    <mergeCell ref="H24:I24"/>
    <mergeCell ref="F24:F25"/>
    <mergeCell ref="H25:I25"/>
    <mergeCell ref="H26:I26"/>
    <mergeCell ref="B26:E26"/>
    <mergeCell ref="H16:I16"/>
    <mergeCell ref="H18:I18"/>
    <mergeCell ref="B18:E18"/>
    <mergeCell ref="H19:I19"/>
    <mergeCell ref="H20:I20"/>
    <mergeCell ref="H17:I17"/>
    <mergeCell ref="B20:F20"/>
    <mergeCell ref="B27:E27"/>
    <mergeCell ref="H28:I28"/>
    <mergeCell ref="H27:I27"/>
    <mergeCell ref="M2:V2"/>
    <mergeCell ref="M4:Q4"/>
    <mergeCell ref="S4:V4"/>
    <mergeCell ref="N5:Q5"/>
    <mergeCell ref="N6:Q6"/>
    <mergeCell ref="B15:F15"/>
    <mergeCell ref="H15:K15"/>
    <mergeCell ref="B2:K2"/>
    <mergeCell ref="A3:L3"/>
    <mergeCell ref="B4:F4"/>
    <mergeCell ref="H4:K4"/>
    <mergeCell ref="C5:F5"/>
    <mergeCell ref="C6:F6"/>
    <mergeCell ref="C7:F7"/>
    <mergeCell ref="C8:D8"/>
    <mergeCell ref="C9:F9"/>
    <mergeCell ref="C10:F10"/>
    <mergeCell ref="B12:K12"/>
    <mergeCell ref="S20:T20"/>
    <mergeCell ref="M20:Q20"/>
    <mergeCell ref="U21:V21"/>
    <mergeCell ref="M21:Q21"/>
    <mergeCell ref="M22:O22"/>
    <mergeCell ref="S19:T19"/>
    <mergeCell ref="S17:T17"/>
    <mergeCell ref="N7:Q7"/>
    <mergeCell ref="N8:O8"/>
    <mergeCell ref="N9:Q9"/>
    <mergeCell ref="N10:Q10"/>
    <mergeCell ref="M12:V12"/>
    <mergeCell ref="M15:Q15"/>
    <mergeCell ref="S15:V15"/>
    <mergeCell ref="S16:T16"/>
    <mergeCell ref="S18:T18"/>
    <mergeCell ref="M18:P18"/>
    <mergeCell ref="X2:AG2"/>
    <mergeCell ref="X4:AB4"/>
    <mergeCell ref="AD4:AG4"/>
    <mergeCell ref="Y5:AB5"/>
    <mergeCell ref="Y6:AB6"/>
    <mergeCell ref="M35:O35"/>
    <mergeCell ref="M37:Q37"/>
    <mergeCell ref="M38:N38"/>
    <mergeCell ref="M26:P26"/>
    <mergeCell ref="S27:T27"/>
    <mergeCell ref="M27:P27"/>
    <mergeCell ref="S28:T28"/>
    <mergeCell ref="Q28:Q34"/>
    <mergeCell ref="S29:T29"/>
    <mergeCell ref="S30:T30"/>
    <mergeCell ref="S31:T31"/>
    <mergeCell ref="S32:T32"/>
    <mergeCell ref="M34:N34"/>
    <mergeCell ref="M23:Q23"/>
    <mergeCell ref="S24:T24"/>
    <mergeCell ref="Q24:Q25"/>
    <mergeCell ref="S25:T25"/>
    <mergeCell ref="S26:T26"/>
    <mergeCell ref="S23:V23"/>
    <mergeCell ref="X15:AB15"/>
    <mergeCell ref="AD15:AG15"/>
    <mergeCell ref="AD16:AE16"/>
    <mergeCell ref="AD17:AE17"/>
    <mergeCell ref="X18:AA18"/>
    <mergeCell ref="AD18:AE18"/>
    <mergeCell ref="Y7:AB7"/>
    <mergeCell ref="Y8:Z8"/>
    <mergeCell ref="Y9:AB9"/>
    <mergeCell ref="Y10:AB10"/>
    <mergeCell ref="X12:AG12"/>
    <mergeCell ref="X22:Z22"/>
    <mergeCell ref="X23:AB23"/>
    <mergeCell ref="AD23:AG23"/>
    <mergeCell ref="AB24:AB25"/>
    <mergeCell ref="AD24:AE24"/>
    <mergeCell ref="AD25:AE25"/>
    <mergeCell ref="AD19:AE19"/>
    <mergeCell ref="X20:AB20"/>
    <mergeCell ref="AD20:AE20"/>
    <mergeCell ref="X21:AB21"/>
    <mergeCell ref="AF21:AG21"/>
    <mergeCell ref="X35:Z35"/>
    <mergeCell ref="X37:AB37"/>
    <mergeCell ref="X38:Y38"/>
    <mergeCell ref="X26:AA26"/>
    <mergeCell ref="AD26:AE26"/>
    <mergeCell ref="X27:AA27"/>
    <mergeCell ref="AD27:AE27"/>
    <mergeCell ref="AB28:AB34"/>
    <mergeCell ref="AD28:AE28"/>
    <mergeCell ref="AD29:AE29"/>
    <mergeCell ref="AD30:AE30"/>
    <mergeCell ref="AD31:AE31"/>
    <mergeCell ref="AD32:AE32"/>
    <mergeCell ref="X34:Y34"/>
    <mergeCell ref="AI2:AR2"/>
    <mergeCell ref="AI4:AM4"/>
    <mergeCell ref="AO4:AR4"/>
    <mergeCell ref="AJ5:AM5"/>
    <mergeCell ref="AJ6:AM6"/>
    <mergeCell ref="AJ7:AM7"/>
    <mergeCell ref="AJ8:AK8"/>
    <mergeCell ref="AJ9:AM9"/>
    <mergeCell ref="AJ10:AM10"/>
    <mergeCell ref="AI12:AR12"/>
    <mergeCell ref="AI15:AM15"/>
    <mergeCell ref="AO15:AR15"/>
    <mergeCell ref="AO16:AP16"/>
    <mergeCell ref="AO17:AP17"/>
    <mergeCell ref="AI18:AL18"/>
    <mergeCell ref="AO18:AP18"/>
    <mergeCell ref="AO19:AP19"/>
    <mergeCell ref="AI20:AM20"/>
    <mergeCell ref="AO20:AP20"/>
    <mergeCell ref="AI21:AM21"/>
    <mergeCell ref="AQ21:AR21"/>
    <mergeCell ref="AI22:AK22"/>
    <mergeCell ref="AI23:AM23"/>
    <mergeCell ref="AO23:AR23"/>
    <mergeCell ref="AM24:AM25"/>
    <mergeCell ref="AO24:AP24"/>
    <mergeCell ref="AO25:AP25"/>
    <mergeCell ref="AI26:AL26"/>
    <mergeCell ref="AO26:AP26"/>
    <mergeCell ref="AI35:AK35"/>
    <mergeCell ref="AI37:AM37"/>
    <mergeCell ref="AI38:AJ38"/>
    <mergeCell ref="AI27:AL27"/>
    <mergeCell ref="AO27:AP27"/>
    <mergeCell ref="AM28:AM34"/>
    <mergeCell ref="AO28:AP28"/>
    <mergeCell ref="AO29:AP29"/>
    <mergeCell ref="AO30:AP30"/>
    <mergeCell ref="AO31:AP31"/>
    <mergeCell ref="AO32:AP32"/>
    <mergeCell ref="AI34:AJ34"/>
  </mergeCells>
  <pageMargins left="0.7" right="0.7" top="0.75" bottom="0.75" header="0.3" footer="0.3"/>
  <pageSetup orientation="portrait" horizontalDpi="0" verticalDpi="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B2:F27"/>
  <sheetViews>
    <sheetView showGridLines="0" workbookViewId="0">
      <selection activeCell="C16" sqref="C16"/>
    </sheetView>
  </sheetViews>
  <sheetFormatPr defaultRowHeight="14.25" x14ac:dyDescent="0.2"/>
  <cols>
    <col min="1" max="1" width="3.09765625" customWidth="1"/>
    <col min="2" max="2" width="8.796875" style="90"/>
  </cols>
  <sheetData>
    <row r="2" spans="2:6" x14ac:dyDescent="0.2">
      <c r="B2" s="546" t="s">
        <v>429</v>
      </c>
      <c r="C2" s="546"/>
      <c r="D2" s="546"/>
      <c r="E2" s="546"/>
    </row>
    <row r="4" spans="2:6" x14ac:dyDescent="0.2">
      <c r="B4" s="256" t="s">
        <v>430</v>
      </c>
      <c r="C4" s="257">
        <f>MAX(C8:C1048576)</f>
        <v>5.1584602222785572</v>
      </c>
      <c r="D4" s="257">
        <f>MAX(D8:D1048576)</f>
        <v>5.2559199593985086</v>
      </c>
      <c r="E4" s="257">
        <f>MAX(E8:E1048576)</f>
        <v>5.2868079199560842</v>
      </c>
    </row>
    <row r="5" spans="2:6" x14ac:dyDescent="0.2">
      <c r="B5" s="258" t="s">
        <v>431</v>
      </c>
      <c r="C5" s="259">
        <f>MIN(C8:C1048576)</f>
        <v>4.8435030228845415</v>
      </c>
      <c r="D5" s="259">
        <f>MIN(D8:D1048576)</f>
        <v>4.0840487995585644</v>
      </c>
      <c r="E5" s="259">
        <f>MIN(E8:E1048576)</f>
        <v>4.6365515160657713</v>
      </c>
    </row>
    <row r="7" spans="2:6" x14ac:dyDescent="0.2">
      <c r="B7" s="255" t="s">
        <v>432</v>
      </c>
      <c r="C7" s="255" t="s">
        <v>433</v>
      </c>
      <c r="D7" s="255" t="s">
        <v>434</v>
      </c>
      <c r="E7" s="255" t="s">
        <v>435</v>
      </c>
      <c r="F7" s="90"/>
    </row>
    <row r="8" spans="2:6" x14ac:dyDescent="0.2">
      <c r="B8" s="253" t="s">
        <v>436</v>
      </c>
      <c r="C8" s="254">
        <v>5.01</v>
      </c>
      <c r="D8" s="254">
        <f>CANOLA!J35</f>
        <v>4.0840487995585644</v>
      </c>
      <c r="E8" s="254">
        <f>SOYA!J34</f>
        <v>5.2868079199560842</v>
      </c>
    </row>
    <row r="9" spans="2:6" x14ac:dyDescent="0.2">
      <c r="B9" s="253" t="s">
        <v>437</v>
      </c>
      <c r="C9" s="254">
        <f>PALM!U35</f>
        <v>4.8435030228845415</v>
      </c>
      <c r="D9" s="254">
        <f>CANOLA!U35</f>
        <v>5.2559199593985086</v>
      </c>
      <c r="E9" s="254">
        <f>SOYA!U35</f>
        <v>4.8150217691414818</v>
      </c>
    </row>
    <row r="10" spans="2:6" x14ac:dyDescent="0.2">
      <c r="B10" s="253" t="s">
        <v>438</v>
      </c>
      <c r="C10" s="254">
        <f>PALM!AF35</f>
        <v>5.1584602222785572</v>
      </c>
      <c r="D10" s="254"/>
      <c r="E10" s="254">
        <f>SOYA!AF35</f>
        <v>5.2781427565746464</v>
      </c>
    </row>
    <row r="11" spans="2:6" x14ac:dyDescent="0.2">
      <c r="B11" s="253" t="s">
        <v>439</v>
      </c>
      <c r="C11" s="254">
        <f>PALM!AQ35</f>
        <v>5.1480083580721647</v>
      </c>
      <c r="D11" s="254"/>
      <c r="E11" s="254">
        <f>SOYA!AQ35</f>
        <v>4.7033233603191356</v>
      </c>
    </row>
    <row r="12" spans="2:6" x14ac:dyDescent="0.2">
      <c r="B12" s="253" t="s">
        <v>440</v>
      </c>
      <c r="C12" s="254">
        <f>PALM!BB35</f>
        <v>5.1400610102756508</v>
      </c>
      <c r="D12" s="254"/>
      <c r="E12" s="254">
        <f>SOYA!BB35</f>
        <v>4.6365515160657713</v>
      </c>
    </row>
    <row r="13" spans="2:6" x14ac:dyDescent="0.2">
      <c r="B13" s="253" t="s">
        <v>441</v>
      </c>
      <c r="C13" s="254"/>
      <c r="D13" s="254"/>
      <c r="E13" s="254">
        <f>SOYA!BM35</f>
        <v>4.7543554415782499</v>
      </c>
    </row>
    <row r="14" spans="2:6" x14ac:dyDescent="0.2">
      <c r="B14" s="253" t="s">
        <v>442</v>
      </c>
      <c r="C14" s="254"/>
      <c r="D14" s="254"/>
      <c r="E14" s="254">
        <f>SOYA!BX35</f>
        <v>4.9583433901543721</v>
      </c>
    </row>
    <row r="15" spans="2:6" x14ac:dyDescent="0.2">
      <c r="B15" s="253" t="s">
        <v>443</v>
      </c>
      <c r="C15" s="254"/>
      <c r="D15" s="254"/>
      <c r="E15" s="254">
        <f>SOYA!CJ35</f>
        <v>4.9586220479039911</v>
      </c>
    </row>
    <row r="16" spans="2:6" x14ac:dyDescent="0.2">
      <c r="B16" s="253" t="s">
        <v>444</v>
      </c>
      <c r="C16" s="254"/>
      <c r="D16" s="254"/>
      <c r="E16" s="254"/>
    </row>
    <row r="17" spans="2:5" x14ac:dyDescent="0.2">
      <c r="B17" s="253" t="s">
        <v>445</v>
      </c>
      <c r="C17" s="254"/>
      <c r="D17" s="254"/>
      <c r="E17" s="254"/>
    </row>
    <row r="18" spans="2:5" x14ac:dyDescent="0.2">
      <c r="B18" s="253" t="s">
        <v>446</v>
      </c>
      <c r="C18" s="254"/>
      <c r="D18" s="254"/>
      <c r="E18" s="254"/>
    </row>
    <row r="19" spans="2:5" x14ac:dyDescent="0.2">
      <c r="B19" s="253" t="s">
        <v>447</v>
      </c>
      <c r="C19" s="254"/>
      <c r="D19" s="254"/>
      <c r="E19" s="254"/>
    </row>
    <row r="20" spans="2:5" x14ac:dyDescent="0.2">
      <c r="B20" s="253" t="s">
        <v>448</v>
      </c>
      <c r="C20" s="254"/>
      <c r="D20" s="254"/>
      <c r="E20" s="254"/>
    </row>
    <row r="21" spans="2:5" x14ac:dyDescent="0.2">
      <c r="B21" s="253" t="s">
        <v>449</v>
      </c>
      <c r="C21" s="254"/>
      <c r="D21" s="254"/>
      <c r="E21" s="254"/>
    </row>
    <row r="22" spans="2:5" x14ac:dyDescent="0.2">
      <c r="B22" s="253" t="s">
        <v>450</v>
      </c>
      <c r="C22" s="254"/>
      <c r="D22" s="254"/>
      <c r="E22" s="254"/>
    </row>
    <row r="23" spans="2:5" x14ac:dyDescent="0.2">
      <c r="B23" s="253" t="s">
        <v>451</v>
      </c>
      <c r="C23" s="254"/>
      <c r="D23" s="254"/>
      <c r="E23" s="254"/>
    </row>
    <row r="24" spans="2:5" x14ac:dyDescent="0.2">
      <c r="B24" s="253" t="s">
        <v>452</v>
      </c>
      <c r="C24" s="254"/>
      <c r="D24" s="254"/>
      <c r="E24" s="254"/>
    </row>
    <row r="25" spans="2:5" x14ac:dyDescent="0.2">
      <c r="B25" s="253" t="s">
        <v>453</v>
      </c>
      <c r="C25" s="254"/>
      <c r="D25" s="254"/>
      <c r="E25" s="254"/>
    </row>
    <row r="26" spans="2:5" x14ac:dyDescent="0.2">
      <c r="B26" s="253" t="s">
        <v>454</v>
      </c>
      <c r="C26" s="254"/>
      <c r="D26" s="254"/>
      <c r="E26" s="254"/>
    </row>
    <row r="27" spans="2:5" x14ac:dyDescent="0.2">
      <c r="B27" s="253" t="s">
        <v>455</v>
      </c>
      <c r="C27" s="254"/>
      <c r="D27" s="254"/>
      <c r="E27" s="254"/>
    </row>
  </sheetData>
  <mergeCells count="1">
    <mergeCell ref="B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249977111117893"/>
  </sheetPr>
  <dimension ref="B2:C15"/>
  <sheetViews>
    <sheetView showGridLines="0" zoomScale="115" zoomScaleNormal="115" workbookViewId="0">
      <selection activeCell="E39" sqref="E39"/>
    </sheetView>
  </sheetViews>
  <sheetFormatPr defaultRowHeight="14.25" x14ac:dyDescent="0.2"/>
  <cols>
    <col min="1" max="1" width="1.69921875" customWidth="1"/>
    <col min="2" max="2" width="20.59765625" style="90" bestFit="1" customWidth="1"/>
    <col min="3" max="3" width="13.8984375" style="53" bestFit="1" customWidth="1"/>
    <col min="4" max="4" width="5.8984375" bestFit="1" customWidth="1"/>
  </cols>
  <sheetData>
    <row r="2" spans="2:3" x14ac:dyDescent="0.2">
      <c r="B2" s="91" t="s">
        <v>456</v>
      </c>
      <c r="C2" s="114">
        <v>700000</v>
      </c>
    </row>
    <row r="3" spans="2:3" x14ac:dyDescent="0.2">
      <c r="B3" s="91" t="s">
        <v>457</v>
      </c>
      <c r="C3" s="114">
        <f>Profitability!N7</f>
        <v>105.36123738783526</v>
      </c>
    </row>
    <row r="4" spans="2:3" x14ac:dyDescent="0.2">
      <c r="B4" s="93" t="s">
        <v>458</v>
      </c>
      <c r="C4" s="117">
        <f>C2/C3</f>
        <v>6643.8095959645616</v>
      </c>
    </row>
    <row r="6" spans="2:3" x14ac:dyDescent="0.2">
      <c r="B6" s="547" t="s">
        <v>459</v>
      </c>
      <c r="C6" s="548"/>
    </row>
    <row r="7" spans="2:3" x14ac:dyDescent="0.2">
      <c r="B7" s="91" t="s">
        <v>460</v>
      </c>
      <c r="C7" s="114">
        <v>4000</v>
      </c>
    </row>
    <row r="8" spans="2:3" x14ac:dyDescent="0.2">
      <c r="B8" s="91" t="s">
        <v>461</v>
      </c>
      <c r="C8" s="114">
        <v>2000</v>
      </c>
    </row>
    <row r="9" spans="2:3" x14ac:dyDescent="0.2">
      <c r="B9" s="91" t="s">
        <v>462</v>
      </c>
      <c r="C9" s="114">
        <v>2000</v>
      </c>
    </row>
    <row r="10" spans="2:3" x14ac:dyDescent="0.2">
      <c r="B10" s="91" t="s">
        <v>463</v>
      </c>
      <c r="C10" s="114">
        <v>1500</v>
      </c>
    </row>
    <row r="11" spans="2:3" x14ac:dyDescent="0.2">
      <c r="B11" s="91" t="s">
        <v>464</v>
      </c>
      <c r="C11" s="114">
        <f>250*70</f>
        <v>17500</v>
      </c>
    </row>
    <row r="12" spans="2:3" x14ac:dyDescent="0.2">
      <c r="B12" s="91" t="s">
        <v>465</v>
      </c>
      <c r="C12" s="114">
        <f>(45000+10000+16000+14400)/12</f>
        <v>7116.666666666667</v>
      </c>
    </row>
    <row r="13" spans="2:3" x14ac:dyDescent="0.2">
      <c r="B13" s="115" t="s">
        <v>466</v>
      </c>
      <c r="C13" s="116">
        <f>SUM(C7:C12)</f>
        <v>34116.666666666664</v>
      </c>
    </row>
    <row r="15" spans="2:3" s="74" customFormat="1" x14ac:dyDescent="0.2">
      <c r="B15" s="390" t="s">
        <v>467</v>
      </c>
      <c r="C15" s="118">
        <f>C13/C4</f>
        <v>5.1351060222118754</v>
      </c>
    </row>
  </sheetData>
  <mergeCells count="1">
    <mergeCell ref="B6:C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3"/>
  <sheetViews>
    <sheetView showGridLines="0" zoomScale="85" zoomScaleNormal="85" workbookViewId="0">
      <selection activeCell="J15" sqref="J15"/>
    </sheetView>
  </sheetViews>
  <sheetFormatPr defaultRowHeight="14.25" x14ac:dyDescent="0.2"/>
  <cols>
    <col min="2" max="2" width="51.8984375" customWidth="1"/>
    <col min="7" max="7" width="3.5" customWidth="1"/>
    <col min="8" max="8" width="5" bestFit="1" customWidth="1"/>
    <col min="9" max="9" width="36" bestFit="1" customWidth="1"/>
    <col min="10" max="10" width="9.296875" style="53" bestFit="1" customWidth="1"/>
    <col min="11" max="11" width="9.5" style="132" customWidth="1"/>
    <col min="12" max="12" width="1.796875" customWidth="1"/>
    <col min="13" max="13" width="5" bestFit="1" customWidth="1"/>
    <col min="14" max="14" width="36" bestFit="1" customWidth="1"/>
    <col min="15" max="15" width="8.796875" style="53"/>
    <col min="16" max="16" width="9.5" style="132" bestFit="1" customWidth="1"/>
  </cols>
  <sheetData>
    <row r="1" spans="1:4" ht="15" x14ac:dyDescent="0.2">
      <c r="A1" s="301"/>
      <c r="B1" s="301"/>
      <c r="C1" s="302" t="s">
        <v>468</v>
      </c>
      <c r="D1" s="303"/>
    </row>
    <row r="2" spans="1:4" ht="15" x14ac:dyDescent="0.2">
      <c r="A2" s="302" t="s">
        <v>469</v>
      </c>
      <c r="B2" s="302" t="s">
        <v>22</v>
      </c>
      <c r="C2" s="302" t="s">
        <v>470</v>
      </c>
      <c r="D2" s="302" t="s">
        <v>471</v>
      </c>
    </row>
    <row r="3" spans="1:4" ht="15" x14ac:dyDescent="0.2">
      <c r="A3" s="302">
        <v>1753</v>
      </c>
      <c r="B3" s="302" t="s">
        <v>472</v>
      </c>
      <c r="C3" s="304">
        <v>12.683598999999999</v>
      </c>
      <c r="D3" s="304">
        <v>14.75</v>
      </c>
    </row>
    <row r="4" spans="1:4" ht="15" x14ac:dyDescent="0.2">
      <c r="A4" s="302">
        <v>1921</v>
      </c>
      <c r="B4" s="302" t="s">
        <v>473</v>
      </c>
      <c r="C4" s="304">
        <v>24.937245000000001</v>
      </c>
      <c r="D4" s="304">
        <v>29</v>
      </c>
    </row>
    <row r="5" spans="1:4" ht="15" x14ac:dyDescent="0.2">
      <c r="A5" s="302">
        <v>3442</v>
      </c>
      <c r="B5" s="302" t="s">
        <v>474</v>
      </c>
      <c r="C5" s="304">
        <v>6.7531210000000002</v>
      </c>
      <c r="D5" s="304">
        <v>8</v>
      </c>
    </row>
    <row r="6" spans="1:4" ht="15" x14ac:dyDescent="0.2">
      <c r="A6" s="302">
        <v>3682</v>
      </c>
      <c r="B6" s="302" t="s">
        <v>475</v>
      </c>
      <c r="C6" s="304">
        <v>5.0973750000000004</v>
      </c>
      <c r="D6" s="304">
        <v>5.75</v>
      </c>
    </row>
    <row r="7" spans="1:4" ht="15" x14ac:dyDescent="0.2">
      <c r="A7" s="302">
        <v>3843</v>
      </c>
      <c r="B7" s="302" t="s">
        <v>476</v>
      </c>
      <c r="C7" s="304">
        <v>3.8003999999999998</v>
      </c>
      <c r="D7" s="304">
        <v>3.8003999999999998</v>
      </c>
    </row>
    <row r="8" spans="1:4" ht="15" x14ac:dyDescent="0.2">
      <c r="A8" s="302">
        <v>3995</v>
      </c>
      <c r="B8" s="302" t="s">
        <v>477</v>
      </c>
      <c r="C8" s="304">
        <v>2.5</v>
      </c>
      <c r="D8" s="304">
        <v>0</v>
      </c>
    </row>
    <row r="9" spans="1:4" ht="15" x14ac:dyDescent="0.2">
      <c r="A9" s="302">
        <v>3996</v>
      </c>
      <c r="B9" s="302" t="s">
        <v>478</v>
      </c>
      <c r="C9" s="304">
        <v>15.615399999999999</v>
      </c>
      <c r="D9" s="304">
        <v>0</v>
      </c>
    </row>
    <row r="10" spans="1:4" ht="15" x14ac:dyDescent="0.2">
      <c r="A10" s="302">
        <v>3997</v>
      </c>
      <c r="B10" s="302" t="s">
        <v>479</v>
      </c>
      <c r="C10" s="304">
        <v>4.9653</v>
      </c>
      <c r="D10" s="304">
        <v>0</v>
      </c>
    </row>
    <row r="11" spans="1:4" ht="15" x14ac:dyDescent="0.2">
      <c r="A11" s="302">
        <v>3998</v>
      </c>
      <c r="B11" s="302" t="s">
        <v>480</v>
      </c>
      <c r="C11" s="304">
        <v>13.25</v>
      </c>
      <c r="D11" s="304">
        <v>0</v>
      </c>
    </row>
    <row r="12" spans="1:4" ht="15" x14ac:dyDescent="0.2">
      <c r="A12" s="302">
        <v>4022</v>
      </c>
      <c r="B12" s="302" t="s">
        <v>481</v>
      </c>
      <c r="C12" s="304">
        <v>1.7945</v>
      </c>
      <c r="D12" s="304">
        <v>0</v>
      </c>
    </row>
    <row r="13" spans="1:4" ht="15" x14ac:dyDescent="0.2">
      <c r="A13" s="302">
        <v>4023</v>
      </c>
      <c r="B13" s="302" t="s">
        <v>482</v>
      </c>
      <c r="C13" s="304">
        <v>6.5475000000000003</v>
      </c>
      <c r="D13" s="304">
        <v>0</v>
      </c>
    </row>
  </sheetData>
  <conditionalFormatting sqref="G1:G2 G2970:G68605">
    <cfRule type="containsText" dxfId="6" priority="1" operator="containsText" text="FOR LIQUIDATION">
      <formula>NOT(ISERROR(SEARCH("FOR LIQUIDATION",G1)))</formula>
    </cfRule>
  </conditionalFormatting>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sheetPr>
  <dimension ref="A1:BZ64"/>
  <sheetViews>
    <sheetView showGridLines="0" zoomScale="85" zoomScaleNormal="85" workbookViewId="0">
      <pane xSplit="10" ySplit="6" topLeftCell="K16" activePane="bottomRight" state="frozen"/>
      <selection pane="topRight" activeCell="F1" sqref="F1"/>
      <selection pane="bottomLeft" activeCell="A7" sqref="A7"/>
      <selection pane="bottomRight" activeCell="M63" sqref="M63"/>
    </sheetView>
  </sheetViews>
  <sheetFormatPr defaultRowHeight="14.25" outlineLevelCol="1" x14ac:dyDescent="0.2"/>
  <cols>
    <col min="1" max="1" width="1" customWidth="1"/>
    <col min="2" max="2" width="4" customWidth="1"/>
    <col min="3" max="3" width="7.3984375" style="229" customWidth="1"/>
    <col min="4" max="4" width="7.796875" customWidth="1"/>
    <col min="5" max="5" width="6.8984375" hidden="1" customWidth="1"/>
    <col min="6" max="6" width="1" customWidth="1"/>
    <col min="7" max="7" width="33.3984375" bestFit="1" customWidth="1"/>
    <col min="8" max="8" width="4.8984375" style="90" customWidth="1" outlineLevel="1"/>
    <col min="9" max="9" width="6.59765625" style="53" customWidth="1" outlineLevel="1"/>
    <col min="10" max="10" width="4.8984375" customWidth="1" outlineLevel="1"/>
    <col min="11" max="11" width="0.8984375" customWidth="1"/>
    <col min="12" max="12" width="29" hidden="1" customWidth="1"/>
    <col min="13" max="13" width="10.19921875" customWidth="1"/>
    <col min="14" max="14" width="6.3984375" customWidth="1"/>
    <col min="15" max="15" width="29" hidden="1" customWidth="1"/>
    <col min="16" max="16" width="8.59765625" customWidth="1"/>
    <col min="17" max="17" width="6.3984375" customWidth="1"/>
    <col min="18" max="18" width="24.19921875" hidden="1" customWidth="1"/>
    <col min="19" max="19" width="9.296875" customWidth="1"/>
    <col min="20" max="20" width="6.3984375" customWidth="1"/>
    <col min="21" max="21" width="26.09765625" hidden="1" customWidth="1"/>
    <col min="22" max="22" width="9.296875" style="130" customWidth="1"/>
    <col min="23" max="23" width="6.19921875" customWidth="1"/>
    <col min="24" max="24" width="0.59765625" customWidth="1"/>
    <col min="25" max="25" width="29" hidden="1" customWidth="1"/>
    <col min="26" max="26" width="8.59765625" customWidth="1"/>
    <col min="27" max="27" width="6.3984375" customWidth="1"/>
    <col min="28" max="28" width="29" hidden="1" customWidth="1"/>
    <col min="29" max="29" width="8.59765625" customWidth="1"/>
    <col min="30" max="30" width="6.3984375" customWidth="1"/>
    <col min="31" max="31" width="29" hidden="1" customWidth="1"/>
    <col min="32" max="32" width="8.59765625" customWidth="1"/>
    <col min="33" max="33" width="6.3984375" customWidth="1"/>
    <col min="34" max="34" width="29" hidden="1" customWidth="1"/>
    <col min="35" max="35" width="8.59765625" customWidth="1"/>
    <col min="36" max="36" width="6.3984375" customWidth="1"/>
    <col min="37" max="37" width="29" hidden="1" customWidth="1"/>
    <col min="38" max="38" width="8.59765625" customWidth="1"/>
    <col min="39" max="39" width="6.3984375" customWidth="1"/>
    <col min="40" max="40" width="0.5" customWidth="1"/>
    <col min="41" max="41" width="26.09765625" hidden="1" customWidth="1"/>
    <col min="42" max="42" width="10.19921875" style="130" customWidth="1"/>
    <col min="43" max="43" width="6.09765625" customWidth="1"/>
    <col min="44" max="44" width="26.09765625" hidden="1" customWidth="1"/>
    <col min="45" max="45" width="10.19921875" style="130" customWidth="1"/>
    <col min="46" max="46" width="6.19921875" customWidth="1"/>
    <col min="47" max="47" width="1.69921875" customWidth="1"/>
    <col min="48" max="48" width="29" hidden="1" customWidth="1"/>
    <col min="49" max="49" width="10.19921875" customWidth="1"/>
    <col min="50" max="50" width="6.3984375" customWidth="1"/>
    <col min="51" max="51" width="31.19921875" hidden="1" customWidth="1"/>
    <col min="52" max="52" width="10.19921875" customWidth="1"/>
    <col min="53" max="53" width="6.3984375" customWidth="1"/>
    <col min="54" max="54" width="31.19921875" hidden="1" customWidth="1"/>
    <col min="55" max="55" width="10.19921875" customWidth="1"/>
    <col min="56" max="56" width="6.3984375" customWidth="1"/>
    <col min="57" max="57" width="1.69921875" customWidth="1"/>
    <col min="58" max="58" width="29" hidden="1" customWidth="1"/>
    <col min="59" max="59" width="10.19921875" customWidth="1"/>
    <col min="60" max="60" width="6.3984375" customWidth="1"/>
    <col min="61" max="61" width="31.19921875" hidden="1" customWidth="1"/>
    <col min="62" max="62" width="10.19921875" customWidth="1"/>
    <col min="63" max="63" width="6.3984375" customWidth="1"/>
    <col min="64" max="64" width="31.19921875" hidden="1" customWidth="1"/>
    <col min="65" max="65" width="10.19921875" customWidth="1"/>
    <col min="66" max="66" width="6.3984375" customWidth="1"/>
    <col min="67" max="67" width="1.69921875" customWidth="1"/>
    <col min="68" max="68" width="31.19921875" hidden="1" customWidth="1"/>
    <col min="69" max="69" width="10.19921875" customWidth="1"/>
    <col min="70" max="70" width="6.3984375" bestFit="1" customWidth="1"/>
    <col min="71" max="78" width="1.69921875" customWidth="1"/>
  </cols>
  <sheetData>
    <row r="1" spans="1:78" ht="15" thickBot="1" x14ac:dyDescent="0.25">
      <c r="A1" s="84"/>
      <c r="B1" s="84"/>
      <c r="C1" s="226"/>
      <c r="D1" s="84"/>
      <c r="E1" s="84"/>
      <c r="F1" s="84"/>
      <c r="G1" s="84"/>
      <c r="H1" s="120"/>
      <c r="I1" s="149"/>
      <c r="J1" s="85"/>
      <c r="K1" s="84"/>
      <c r="L1" s="84"/>
      <c r="M1" s="84"/>
      <c r="N1" s="84"/>
      <c r="O1" s="84"/>
      <c r="P1" s="84"/>
      <c r="Q1" s="84"/>
      <c r="R1" s="84"/>
      <c r="S1" s="84"/>
      <c r="T1" s="84"/>
      <c r="U1" s="84"/>
      <c r="V1" s="131"/>
      <c r="W1" s="84"/>
      <c r="X1" s="84"/>
      <c r="Y1" s="84"/>
      <c r="Z1" s="84"/>
      <c r="AA1" s="84"/>
      <c r="AB1" s="84"/>
      <c r="AC1" s="84"/>
      <c r="AD1" s="131"/>
      <c r="AE1" s="84"/>
      <c r="AF1" s="84"/>
      <c r="AG1" s="131"/>
      <c r="AH1" s="84"/>
      <c r="AI1" s="84"/>
      <c r="AJ1" s="131"/>
      <c r="AK1" s="84"/>
      <c r="AL1" s="84"/>
      <c r="AM1" s="131"/>
      <c r="AN1" s="131"/>
      <c r="AO1" s="84"/>
      <c r="AP1" s="131"/>
      <c r="AQ1" s="84"/>
      <c r="AR1" s="84"/>
      <c r="AS1" s="131"/>
      <c r="AT1" s="84"/>
      <c r="AU1" s="131"/>
      <c r="AV1" s="84"/>
      <c r="AW1" s="84"/>
      <c r="AX1" s="84"/>
      <c r="AY1" s="84"/>
      <c r="AZ1" s="84"/>
      <c r="BA1" s="84"/>
      <c r="BB1" s="84"/>
      <c r="BC1" s="84"/>
      <c r="BD1" s="84"/>
      <c r="BE1" s="131"/>
      <c r="BF1" s="84"/>
      <c r="BG1" s="84"/>
      <c r="BH1" s="84"/>
      <c r="BI1" s="84"/>
      <c r="BJ1" s="84"/>
      <c r="BK1" s="84"/>
      <c r="BL1" s="84"/>
      <c r="BM1" s="84"/>
      <c r="BN1" s="84"/>
      <c r="BO1" s="131"/>
      <c r="BP1" s="84"/>
      <c r="BQ1" s="84"/>
      <c r="BR1" s="84"/>
      <c r="BS1" s="84"/>
      <c r="BT1" s="84"/>
      <c r="BU1" s="84"/>
      <c r="BV1" s="84"/>
      <c r="BW1" s="84"/>
      <c r="BX1" s="84"/>
      <c r="BY1" s="84"/>
      <c r="BZ1" s="84"/>
    </row>
    <row r="2" spans="1:78" ht="15" customHeight="1" thickBot="1" x14ac:dyDescent="0.25">
      <c r="A2" s="84"/>
      <c r="B2" s="501" t="s">
        <v>483</v>
      </c>
      <c r="C2" s="502"/>
      <c r="D2" s="503"/>
      <c r="E2" s="84"/>
      <c r="F2" s="84"/>
      <c r="G2" s="615" t="s">
        <v>17</v>
      </c>
      <c r="H2" s="616"/>
      <c r="I2" s="616"/>
      <c r="J2" s="617"/>
      <c r="K2" s="201"/>
      <c r="L2" s="624" t="s">
        <v>259</v>
      </c>
      <c r="M2" s="625"/>
      <c r="N2" s="625"/>
      <c r="O2" s="625"/>
      <c r="P2" s="625"/>
      <c r="Q2" s="625"/>
      <c r="R2" s="625"/>
      <c r="S2" s="625"/>
      <c r="T2" s="625"/>
      <c r="U2" s="625"/>
      <c r="V2" s="625"/>
      <c r="W2" s="625"/>
      <c r="X2" s="625"/>
      <c r="Y2" s="625"/>
      <c r="Z2" s="625"/>
      <c r="AA2" s="625"/>
      <c r="AB2" s="625"/>
      <c r="AC2" s="625"/>
      <c r="AD2" s="625"/>
      <c r="AE2" s="625"/>
      <c r="AF2" s="625"/>
      <c r="AG2" s="625"/>
      <c r="AH2" s="625"/>
      <c r="AI2" s="625"/>
      <c r="AJ2" s="625"/>
      <c r="AK2" s="625"/>
      <c r="AL2" s="625"/>
      <c r="AM2" s="626"/>
      <c r="AN2" s="233"/>
      <c r="AO2" s="575" t="s">
        <v>258</v>
      </c>
      <c r="AP2" s="576"/>
      <c r="AQ2" s="576"/>
      <c r="AR2" s="576"/>
      <c r="AS2" s="576"/>
      <c r="AT2" s="577"/>
      <c r="AU2" s="168"/>
      <c r="AV2" s="612" t="s">
        <v>484</v>
      </c>
      <c r="AW2" s="613"/>
      <c r="AX2" s="613"/>
      <c r="AY2" s="613"/>
      <c r="AZ2" s="613"/>
      <c r="BA2" s="614"/>
      <c r="BB2" s="612" t="s">
        <v>263</v>
      </c>
      <c r="BC2" s="613"/>
      <c r="BD2" s="614"/>
      <c r="BE2" s="168"/>
      <c r="BF2" s="573" t="s">
        <v>485</v>
      </c>
      <c r="BG2" s="574"/>
      <c r="BH2" s="574"/>
      <c r="BI2" s="574"/>
      <c r="BJ2" s="574"/>
      <c r="BK2" s="574"/>
      <c r="BL2" s="575" t="s">
        <v>267</v>
      </c>
      <c r="BM2" s="576"/>
      <c r="BN2" s="577"/>
      <c r="BO2" s="168"/>
      <c r="BP2" s="573" t="s">
        <v>269</v>
      </c>
      <c r="BQ2" s="574"/>
      <c r="BR2" s="578"/>
      <c r="BS2" s="84"/>
      <c r="BT2" s="84"/>
      <c r="BU2" s="84"/>
      <c r="BV2" s="84"/>
      <c r="BW2" s="84"/>
      <c r="BX2" s="84"/>
      <c r="BY2" s="84"/>
      <c r="BZ2" s="84"/>
    </row>
    <row r="3" spans="1:78" ht="15" customHeight="1" x14ac:dyDescent="0.2">
      <c r="A3" s="84"/>
      <c r="B3" s="504"/>
      <c r="C3" s="505"/>
      <c r="D3" s="506"/>
      <c r="E3" s="84"/>
      <c r="F3" s="84"/>
      <c r="G3" s="618"/>
      <c r="H3" s="619"/>
      <c r="I3" s="619"/>
      <c r="J3" s="620"/>
      <c r="K3" s="201"/>
      <c r="L3" s="579" t="s">
        <v>486</v>
      </c>
      <c r="M3" s="580"/>
      <c r="N3" s="580"/>
      <c r="O3" s="580"/>
      <c r="P3" s="580"/>
      <c r="Q3" s="580"/>
      <c r="R3" s="580"/>
      <c r="S3" s="580"/>
      <c r="T3" s="580"/>
      <c r="U3" s="580"/>
      <c r="V3" s="580"/>
      <c r="W3" s="581"/>
      <c r="X3" s="168"/>
      <c r="Y3" s="584" t="s">
        <v>487</v>
      </c>
      <c r="Z3" s="585"/>
      <c r="AA3" s="585"/>
      <c r="AB3" s="585"/>
      <c r="AC3" s="585"/>
      <c r="AD3" s="585"/>
      <c r="AE3" s="585"/>
      <c r="AF3" s="585"/>
      <c r="AG3" s="585"/>
      <c r="AH3" s="585"/>
      <c r="AI3" s="585"/>
      <c r="AJ3" s="585"/>
      <c r="AK3" s="585"/>
      <c r="AL3" s="585"/>
      <c r="AM3" s="586"/>
      <c r="AN3" s="234"/>
      <c r="AO3" s="579" t="s">
        <v>488</v>
      </c>
      <c r="AP3" s="580"/>
      <c r="AQ3" s="590"/>
      <c r="AR3" s="579" t="s">
        <v>489</v>
      </c>
      <c r="AS3" s="580"/>
      <c r="AT3" s="590"/>
      <c r="AU3" s="169"/>
      <c r="AV3" s="594" t="s">
        <v>260</v>
      </c>
      <c r="AW3" s="595"/>
      <c r="AX3" s="595"/>
      <c r="AY3" s="595"/>
      <c r="AZ3" s="595"/>
      <c r="BA3" s="595"/>
      <c r="BB3" s="595"/>
      <c r="BC3" s="595"/>
      <c r="BD3" s="596"/>
      <c r="BE3" s="169"/>
      <c r="BF3" s="600" t="s">
        <v>490</v>
      </c>
      <c r="BG3" s="601"/>
      <c r="BH3" s="601"/>
      <c r="BI3" s="601"/>
      <c r="BJ3" s="601"/>
      <c r="BK3" s="601"/>
      <c r="BL3" s="601"/>
      <c r="BM3" s="601"/>
      <c r="BN3" s="602"/>
      <c r="BO3" s="169"/>
      <c r="BP3" s="606" t="s">
        <v>491</v>
      </c>
      <c r="BQ3" s="607"/>
      <c r="BR3" s="608"/>
      <c r="BS3" s="84"/>
      <c r="BT3" s="84"/>
      <c r="BU3" s="84"/>
      <c r="BV3" s="84"/>
      <c r="BW3" s="84"/>
      <c r="BX3" s="84"/>
      <c r="BY3" s="84"/>
      <c r="BZ3" s="84"/>
    </row>
    <row r="4" spans="1:78" ht="15" customHeight="1" thickBot="1" x14ac:dyDescent="0.25">
      <c r="A4" s="84"/>
      <c r="B4" s="504"/>
      <c r="C4" s="505"/>
      <c r="D4" s="506"/>
      <c r="E4" s="84"/>
      <c r="F4" s="84"/>
      <c r="G4" s="621"/>
      <c r="H4" s="622"/>
      <c r="I4" s="622"/>
      <c r="J4" s="623"/>
      <c r="K4" s="201"/>
      <c r="L4" s="582"/>
      <c r="M4" s="496"/>
      <c r="N4" s="496"/>
      <c r="O4" s="496"/>
      <c r="P4" s="496"/>
      <c r="Q4" s="496"/>
      <c r="R4" s="496"/>
      <c r="S4" s="496"/>
      <c r="T4" s="496"/>
      <c r="U4" s="496"/>
      <c r="V4" s="496"/>
      <c r="W4" s="583"/>
      <c r="X4" s="169"/>
      <c r="Y4" s="587"/>
      <c r="Z4" s="588"/>
      <c r="AA4" s="588"/>
      <c r="AB4" s="588"/>
      <c r="AC4" s="588"/>
      <c r="AD4" s="588"/>
      <c r="AE4" s="588"/>
      <c r="AF4" s="588"/>
      <c r="AG4" s="588"/>
      <c r="AH4" s="588"/>
      <c r="AI4" s="588"/>
      <c r="AJ4" s="588"/>
      <c r="AK4" s="588"/>
      <c r="AL4" s="588"/>
      <c r="AM4" s="589"/>
      <c r="AN4" s="234"/>
      <c r="AO4" s="591"/>
      <c r="AP4" s="592"/>
      <c r="AQ4" s="593"/>
      <c r="AR4" s="591"/>
      <c r="AS4" s="592"/>
      <c r="AT4" s="593"/>
      <c r="AU4" s="169"/>
      <c r="AV4" s="597"/>
      <c r="AW4" s="598"/>
      <c r="AX4" s="598"/>
      <c r="AY4" s="598"/>
      <c r="AZ4" s="598"/>
      <c r="BA4" s="598"/>
      <c r="BB4" s="598"/>
      <c r="BC4" s="598"/>
      <c r="BD4" s="599"/>
      <c r="BE4" s="169"/>
      <c r="BF4" s="603"/>
      <c r="BG4" s="604"/>
      <c r="BH4" s="604"/>
      <c r="BI4" s="604"/>
      <c r="BJ4" s="604"/>
      <c r="BK4" s="604"/>
      <c r="BL4" s="604"/>
      <c r="BM4" s="604"/>
      <c r="BN4" s="605"/>
      <c r="BO4" s="169"/>
      <c r="BP4" s="609"/>
      <c r="BQ4" s="610"/>
      <c r="BR4" s="611"/>
      <c r="BS4" s="84"/>
      <c r="BT4" s="84"/>
      <c r="BU4" s="84"/>
      <c r="BV4" s="84"/>
      <c r="BW4" s="84"/>
      <c r="BX4" s="84"/>
      <c r="BY4" s="84"/>
      <c r="BZ4" s="84"/>
    </row>
    <row r="5" spans="1:78" s="83" customFormat="1" ht="15" thickBot="1" x14ac:dyDescent="0.25">
      <c r="A5" s="84"/>
      <c r="B5" s="507"/>
      <c r="C5" s="508"/>
      <c r="D5" s="509"/>
      <c r="E5" s="84"/>
      <c r="F5" s="84"/>
      <c r="G5" s="627" t="s">
        <v>26</v>
      </c>
      <c r="H5" s="628"/>
      <c r="I5" s="628"/>
      <c r="J5" s="629"/>
      <c r="K5" s="201"/>
      <c r="L5" s="224" t="s">
        <v>22</v>
      </c>
      <c r="M5" s="105" t="s">
        <v>27</v>
      </c>
      <c r="N5" s="106">
        <v>36</v>
      </c>
      <c r="O5" s="225" t="s">
        <v>22</v>
      </c>
      <c r="P5" s="105" t="s">
        <v>28</v>
      </c>
      <c r="Q5" s="106">
        <v>24</v>
      </c>
      <c r="R5" s="225" t="s">
        <v>22</v>
      </c>
      <c r="S5" s="105" t="s">
        <v>30</v>
      </c>
      <c r="T5" s="106">
        <v>12</v>
      </c>
      <c r="U5" s="225" t="s">
        <v>22</v>
      </c>
      <c r="V5" s="202" t="s">
        <v>397</v>
      </c>
      <c r="W5" s="177">
        <v>6</v>
      </c>
      <c r="X5" s="169"/>
      <c r="Y5" s="178" t="s">
        <v>22</v>
      </c>
      <c r="Z5" s="111" t="s">
        <v>393</v>
      </c>
      <c r="AA5" s="109">
        <v>48</v>
      </c>
      <c r="AB5" s="110" t="s">
        <v>22</v>
      </c>
      <c r="AC5" s="111" t="s">
        <v>394</v>
      </c>
      <c r="AD5" s="164">
        <v>36</v>
      </c>
      <c r="AE5" s="110" t="s">
        <v>22</v>
      </c>
      <c r="AF5" s="111" t="s">
        <v>28</v>
      </c>
      <c r="AG5" s="164">
        <v>24</v>
      </c>
      <c r="AH5" s="110" t="s">
        <v>22</v>
      </c>
      <c r="AI5" s="111" t="s">
        <v>30</v>
      </c>
      <c r="AJ5" s="164">
        <v>12</v>
      </c>
      <c r="AK5" s="110" t="s">
        <v>22</v>
      </c>
      <c r="AL5" s="111" t="s">
        <v>395</v>
      </c>
      <c r="AM5" s="164">
        <v>6</v>
      </c>
      <c r="AN5" s="234"/>
      <c r="AO5" s="231" t="s">
        <v>22</v>
      </c>
      <c r="AP5" s="209" t="s">
        <v>396</v>
      </c>
      <c r="AQ5" s="186">
        <v>4</v>
      </c>
      <c r="AR5" s="232" t="s">
        <v>22</v>
      </c>
      <c r="AS5" s="209" t="s">
        <v>249</v>
      </c>
      <c r="AT5" s="208">
        <v>1</v>
      </c>
      <c r="AU5" s="169"/>
      <c r="AV5" s="224" t="s">
        <v>22</v>
      </c>
      <c r="AW5" s="105" t="s">
        <v>30</v>
      </c>
      <c r="AX5" s="106">
        <v>12</v>
      </c>
      <c r="AY5" s="225" t="s">
        <v>22</v>
      </c>
      <c r="AZ5" s="105" t="s">
        <v>397</v>
      </c>
      <c r="BA5" s="106">
        <v>6</v>
      </c>
      <c r="BB5" s="225" t="s">
        <v>22</v>
      </c>
      <c r="BC5" s="105" t="s">
        <v>396</v>
      </c>
      <c r="BD5" s="236">
        <v>4</v>
      </c>
      <c r="BE5" s="169"/>
      <c r="BF5" s="231" t="s">
        <v>22</v>
      </c>
      <c r="BG5" s="187" t="s">
        <v>30</v>
      </c>
      <c r="BH5" s="186">
        <v>12</v>
      </c>
      <c r="BI5" s="232" t="s">
        <v>22</v>
      </c>
      <c r="BJ5" s="187" t="s">
        <v>397</v>
      </c>
      <c r="BK5" s="186">
        <v>6</v>
      </c>
      <c r="BL5" s="231" t="s">
        <v>22</v>
      </c>
      <c r="BM5" s="187" t="s">
        <v>396</v>
      </c>
      <c r="BN5" s="208">
        <v>4</v>
      </c>
      <c r="BO5" s="169"/>
      <c r="BP5" s="231" t="s">
        <v>22</v>
      </c>
      <c r="BQ5" s="187" t="s">
        <v>249</v>
      </c>
      <c r="BR5" s="208">
        <v>1</v>
      </c>
      <c r="BS5" s="84"/>
      <c r="BT5" s="84"/>
      <c r="BU5" s="84"/>
      <c r="BV5" s="84"/>
      <c r="BW5" s="84"/>
      <c r="BX5" s="84"/>
      <c r="BY5" s="84"/>
      <c r="BZ5" s="84"/>
    </row>
    <row r="6" spans="1:78" x14ac:dyDescent="0.2">
      <c r="A6" s="84"/>
      <c r="B6" s="159" t="s">
        <v>403</v>
      </c>
      <c r="C6" s="227" t="s">
        <v>22</v>
      </c>
      <c r="D6" s="159" t="s">
        <v>32</v>
      </c>
      <c r="E6" s="159"/>
      <c r="F6" s="84"/>
      <c r="G6" s="558" t="s">
        <v>404</v>
      </c>
      <c r="H6" s="559"/>
      <c r="I6" s="559"/>
      <c r="J6" s="560"/>
      <c r="K6" s="201"/>
      <c r="L6" s="387"/>
      <c r="M6" s="96">
        <v>43.088601470432941</v>
      </c>
      <c r="N6" s="97">
        <f>M6/M6</f>
        <v>1</v>
      </c>
      <c r="O6" s="100"/>
      <c r="P6" s="96">
        <v>60.455144957761348</v>
      </c>
      <c r="Q6" s="97">
        <f>P6/P6</f>
        <v>1</v>
      </c>
      <c r="R6" s="100"/>
      <c r="S6" s="96">
        <v>116.8602899155227</v>
      </c>
      <c r="T6" s="97">
        <f>S6/S6</f>
        <v>1</v>
      </c>
      <c r="U6" s="100"/>
      <c r="V6" s="96">
        <v>226.2205798310454</v>
      </c>
      <c r="W6" s="165">
        <f>V6/V6</f>
        <v>1</v>
      </c>
      <c r="X6" s="169"/>
      <c r="Y6" s="203"/>
      <c r="Z6" s="96">
        <v>22.407852999999996</v>
      </c>
      <c r="AA6" s="97">
        <f>Z6/Z6</f>
        <v>1</v>
      </c>
      <c r="AB6" s="100"/>
      <c r="AC6" s="96">
        <v>36.144674871794834</v>
      </c>
      <c r="AD6" s="165">
        <f>AC6/AC6</f>
        <v>1</v>
      </c>
      <c r="AE6" s="100"/>
      <c r="AF6" s="96">
        <v>58.506947435897416</v>
      </c>
      <c r="AG6" s="165">
        <f>AF6/AF6</f>
        <v>1</v>
      </c>
      <c r="AH6" s="100"/>
      <c r="AI6" s="96">
        <v>114.30684358974379</v>
      </c>
      <c r="AJ6" s="165">
        <f>AI6/AI6</f>
        <v>1</v>
      </c>
      <c r="AK6" s="100"/>
      <c r="AL6" s="96">
        <v>222.51625128205166</v>
      </c>
      <c r="AM6" s="165">
        <f>AL6/AL6</f>
        <v>1</v>
      </c>
      <c r="AN6" s="234"/>
      <c r="AO6" s="181"/>
      <c r="AP6" s="96">
        <v>447.4411596620908</v>
      </c>
      <c r="AQ6" s="97">
        <f>AP6/AP6</f>
        <v>1</v>
      </c>
      <c r="AR6" s="100"/>
      <c r="AS6" s="96">
        <v>1400</v>
      </c>
      <c r="AT6" s="102">
        <f>AS6/AS6</f>
        <v>1</v>
      </c>
      <c r="AU6" s="169"/>
      <c r="AV6" s="181"/>
      <c r="AW6" s="96">
        <v>140.50877851108766</v>
      </c>
      <c r="AX6" s="97">
        <f>AW6/AW6</f>
        <v>1</v>
      </c>
      <c r="AY6" s="100"/>
      <c r="AZ6" s="96">
        <v>276.01755702217525</v>
      </c>
      <c r="BA6" s="97">
        <f>AZ6/AZ6</f>
        <v>1</v>
      </c>
      <c r="BB6" s="100"/>
      <c r="BC6" s="96">
        <v>547.03511404435051</v>
      </c>
      <c r="BD6" s="102">
        <f>BC6/BC6</f>
        <v>1</v>
      </c>
      <c r="BE6" s="169"/>
      <c r="BF6" s="181"/>
      <c r="BG6" s="96">
        <v>144.608</v>
      </c>
      <c r="BH6" s="97">
        <f>BG6/BG6</f>
        <v>1</v>
      </c>
      <c r="BI6" s="100"/>
      <c r="BJ6" s="96">
        <v>278.21600000000001</v>
      </c>
      <c r="BK6" s="97">
        <f>BJ6/BJ6</f>
        <v>1</v>
      </c>
      <c r="BL6" s="181"/>
      <c r="BM6" s="96">
        <v>551.43200000000002</v>
      </c>
      <c r="BN6" s="102">
        <f>BM6/BM6</f>
        <v>1</v>
      </c>
      <c r="BO6" s="169"/>
      <c r="BP6" s="181"/>
      <c r="BQ6" s="96">
        <v>1200</v>
      </c>
      <c r="BR6" s="102">
        <f>BQ6/BQ6</f>
        <v>1</v>
      </c>
      <c r="BS6" s="84"/>
      <c r="BT6" s="84"/>
      <c r="BU6" s="84"/>
      <c r="BV6" s="84"/>
      <c r="BW6" s="84"/>
      <c r="BX6" s="84"/>
      <c r="BY6" s="84"/>
      <c r="BZ6" s="84"/>
    </row>
    <row r="7" spans="1:78" x14ac:dyDescent="0.2">
      <c r="A7" s="84"/>
      <c r="B7" s="222"/>
      <c r="C7" s="228" t="str">
        <f>'Pricing Trends'!R13</f>
        <v>RBD SOYA BEAN OIL</v>
      </c>
      <c r="D7" s="223">
        <f>'Pricing Trends'!U13</f>
        <v>69.078871899999996</v>
      </c>
      <c r="E7" s="220" t="b">
        <v>0</v>
      </c>
      <c r="F7" s="84"/>
      <c r="G7" s="561" t="s">
        <v>405</v>
      </c>
      <c r="H7" s="562"/>
      <c r="I7" s="562"/>
      <c r="J7" s="563"/>
      <c r="K7" s="201"/>
      <c r="L7" s="388"/>
      <c r="M7" s="191">
        <f>M6*0.92*0.98</f>
        <v>38.848683085742337</v>
      </c>
      <c r="N7" s="188">
        <f>M7/M7</f>
        <v>1</v>
      </c>
      <c r="O7" s="189"/>
      <c r="P7" s="191">
        <f>P6*0.92*0.98</f>
        <v>54.506358693917633</v>
      </c>
      <c r="Q7" s="188">
        <f>P7/P7</f>
        <v>1</v>
      </c>
      <c r="R7" s="189"/>
      <c r="S7" s="191">
        <f>S6*0.92*0.98</f>
        <v>105.36123738783526</v>
      </c>
      <c r="T7" s="188">
        <f>S7/S7</f>
        <v>1</v>
      </c>
      <c r="U7" s="189"/>
      <c r="V7" s="191">
        <f>V6*0.92*0.98</f>
        <v>203.96047477567052</v>
      </c>
      <c r="W7" s="192">
        <f>V7/V7</f>
        <v>1</v>
      </c>
      <c r="X7" s="169"/>
      <c r="Y7" s="204"/>
      <c r="Z7" s="191">
        <f>Z6*0.92*0.98</f>
        <v>20.202920264799996</v>
      </c>
      <c r="AA7" s="188">
        <f>Z7/Z7</f>
        <v>1</v>
      </c>
      <c r="AB7" s="189"/>
      <c r="AC7" s="191">
        <f>AC6*0.92*0.98</f>
        <v>32.588038864410223</v>
      </c>
      <c r="AD7" s="192">
        <f>AC7/AC7</f>
        <v>1</v>
      </c>
      <c r="AE7" s="189"/>
      <c r="AF7" s="191">
        <f>AF6*0.92*0.98</f>
        <v>52.749863808205113</v>
      </c>
      <c r="AG7" s="192">
        <f>AF7/AF7</f>
        <v>1</v>
      </c>
      <c r="AH7" s="189"/>
      <c r="AI7" s="191">
        <f>AI6*0.92*0.98</f>
        <v>103.05905018051301</v>
      </c>
      <c r="AJ7" s="192">
        <f>AI7/AI7</f>
        <v>1</v>
      </c>
      <c r="AK7" s="189"/>
      <c r="AL7" s="191">
        <f>AL6*0.92*0.98</f>
        <v>200.6206521558978</v>
      </c>
      <c r="AM7" s="192">
        <f>AL7/AL7</f>
        <v>1</v>
      </c>
      <c r="AN7" s="234"/>
      <c r="AO7" s="190"/>
      <c r="AP7" s="191">
        <f>AP6*0.92*0.98</f>
        <v>403.41294955134111</v>
      </c>
      <c r="AQ7" s="188">
        <f>AP7/AP7</f>
        <v>1</v>
      </c>
      <c r="AR7" s="189"/>
      <c r="AS7" s="191">
        <v>1400</v>
      </c>
      <c r="AT7" s="193">
        <f>AS7/AS7</f>
        <v>1</v>
      </c>
      <c r="AU7" s="169"/>
      <c r="AV7" s="190"/>
      <c r="AW7" s="191">
        <f>AW6*0.92*0.98</f>
        <v>126.68271470559664</v>
      </c>
      <c r="AX7" s="188">
        <f>AW7/AW7</f>
        <v>1</v>
      </c>
      <c r="AY7" s="189"/>
      <c r="AZ7" s="191">
        <f>AZ6*0.92*0.98</f>
        <v>248.85742941119321</v>
      </c>
      <c r="BA7" s="188">
        <f>AZ7/AZ7</f>
        <v>1</v>
      </c>
      <c r="BB7" s="189"/>
      <c r="BC7" s="191">
        <f>BC6*0.92*0.98</f>
        <v>493.20685882238644</v>
      </c>
      <c r="BD7" s="193">
        <f>BC7/BC7</f>
        <v>1</v>
      </c>
      <c r="BE7" s="169"/>
      <c r="BF7" s="190"/>
      <c r="BG7" s="191">
        <f>BG6*0.92*0.98</f>
        <v>130.3785728</v>
      </c>
      <c r="BH7" s="188">
        <f>BG7/BG7</f>
        <v>1</v>
      </c>
      <c r="BI7" s="189"/>
      <c r="BJ7" s="191">
        <f>BJ6*0.92*0.98</f>
        <v>250.83954560000004</v>
      </c>
      <c r="BK7" s="188">
        <f>BJ7/BJ7</f>
        <v>1</v>
      </c>
      <c r="BL7" s="190"/>
      <c r="BM7" s="191">
        <f>BM6*0.92*0.98</f>
        <v>497.17109120000003</v>
      </c>
      <c r="BN7" s="193">
        <f>BM7/BM7</f>
        <v>1</v>
      </c>
      <c r="BO7" s="169"/>
      <c r="BP7" s="190"/>
      <c r="BQ7" s="191">
        <f>BQ6*0.95</f>
        <v>1140</v>
      </c>
      <c r="BR7" s="193">
        <f>BQ7/BQ7</f>
        <v>1</v>
      </c>
      <c r="BS7" s="84"/>
      <c r="BT7" s="84"/>
      <c r="BU7" s="84"/>
      <c r="BV7" s="84"/>
      <c r="BW7" s="84"/>
      <c r="BX7" s="84"/>
      <c r="BY7" s="84"/>
      <c r="BZ7" s="84"/>
    </row>
    <row r="8" spans="1:78" x14ac:dyDescent="0.2">
      <c r="A8" s="84"/>
      <c r="B8" s="222"/>
      <c r="C8" s="228" t="str">
        <f>'Pricing Trends'!R14</f>
        <v>RBD SOYA BEAN OIL</v>
      </c>
      <c r="D8" s="223">
        <f>'Pricing Trends'!U14</f>
        <v>68.754339999999999</v>
      </c>
      <c r="E8" s="220" t="b">
        <v>1</v>
      </c>
      <c r="F8" s="84"/>
      <c r="G8" s="549" t="s">
        <v>492</v>
      </c>
      <c r="H8" s="550"/>
      <c r="I8" s="550"/>
      <c r="J8" s="551"/>
      <c r="K8" s="201"/>
      <c r="L8" s="384"/>
      <c r="M8" s="214">
        <f>M6*0.85</f>
        <v>36.625311249867998</v>
      </c>
      <c r="N8" s="215">
        <f>M8/M8</f>
        <v>1</v>
      </c>
      <c r="O8" s="216"/>
      <c r="P8" s="214">
        <f>P6*0.85</f>
        <v>51.386873214097143</v>
      </c>
      <c r="Q8" s="215">
        <f>P8/P8</f>
        <v>1</v>
      </c>
      <c r="R8" s="216"/>
      <c r="S8" s="214">
        <f>S6*0.85</f>
        <v>99.331246428194291</v>
      </c>
      <c r="T8" s="215">
        <f>S8/S8</f>
        <v>1</v>
      </c>
      <c r="U8" s="216"/>
      <c r="V8" s="214">
        <f>V6*0.85</f>
        <v>192.28749285638858</v>
      </c>
      <c r="W8" s="215">
        <f>V8/V8</f>
        <v>1</v>
      </c>
      <c r="X8" s="169"/>
      <c r="Y8" s="213"/>
      <c r="Z8" s="214">
        <f>Z6*0.85</f>
        <v>19.046675049999997</v>
      </c>
      <c r="AA8" s="215">
        <f>Z8/Z8</f>
        <v>1</v>
      </c>
      <c r="AB8" s="216"/>
      <c r="AC8" s="214">
        <f>AC6*0.85</f>
        <v>30.722973641025607</v>
      </c>
      <c r="AD8" s="215">
        <f>AC8/AC8</f>
        <v>1</v>
      </c>
      <c r="AE8" s="216"/>
      <c r="AF8" s="214">
        <f>AF6*0.85</f>
        <v>49.730905320512804</v>
      </c>
      <c r="AG8" s="215">
        <f>AF8/AF8</f>
        <v>1</v>
      </c>
      <c r="AH8" s="216"/>
      <c r="AI8" s="214">
        <f>AI6*0.85</f>
        <v>97.160817051282223</v>
      </c>
      <c r="AJ8" s="215">
        <f>AI8/AI8</f>
        <v>1</v>
      </c>
      <c r="AK8" s="216"/>
      <c r="AL8" s="214">
        <f>AL6*0.85</f>
        <v>189.1388135897439</v>
      </c>
      <c r="AM8" s="215">
        <f>AL8/AL8</f>
        <v>1</v>
      </c>
      <c r="AN8" s="234"/>
      <c r="AO8" s="217"/>
      <c r="AP8" s="214">
        <f>AP6*0.85</f>
        <v>380.32498571277716</v>
      </c>
      <c r="AQ8" s="215">
        <f>AP8/AP8</f>
        <v>1</v>
      </c>
      <c r="AR8" s="216"/>
      <c r="AS8" s="214">
        <f>AS6*0.85</f>
        <v>1190</v>
      </c>
      <c r="AT8" s="218">
        <f>AS8/AS8</f>
        <v>1</v>
      </c>
      <c r="AU8" s="169"/>
      <c r="AV8" s="217"/>
      <c r="AW8" s="214">
        <f>AW6*0.85</f>
        <v>119.43246173442451</v>
      </c>
      <c r="AX8" s="215">
        <f>AW8/AW8</f>
        <v>1</v>
      </c>
      <c r="AY8" s="216"/>
      <c r="AZ8" s="214">
        <f>AZ6*0.85</f>
        <v>234.61492346884896</v>
      </c>
      <c r="BA8" s="215">
        <f>AZ8/AZ8</f>
        <v>1</v>
      </c>
      <c r="BB8" s="216"/>
      <c r="BC8" s="214">
        <f>BC6*0.85</f>
        <v>464.97984693769791</v>
      </c>
      <c r="BD8" s="218">
        <f>BC8/BC8</f>
        <v>1</v>
      </c>
      <c r="BE8" s="169"/>
      <c r="BF8" s="217"/>
      <c r="BG8" s="214">
        <f>BG6*0.85</f>
        <v>122.91679999999999</v>
      </c>
      <c r="BH8" s="215">
        <f>BG8/BG8</f>
        <v>1</v>
      </c>
      <c r="BI8" s="216"/>
      <c r="BJ8" s="214">
        <f>BJ6*0.85</f>
        <v>236.4836</v>
      </c>
      <c r="BK8" s="215">
        <f>BJ8/BJ8</f>
        <v>1</v>
      </c>
      <c r="BL8" s="217"/>
      <c r="BM8" s="214">
        <f>BM6*0.85</f>
        <v>468.71719999999999</v>
      </c>
      <c r="BN8" s="218">
        <f>BM8/BM8</f>
        <v>1</v>
      </c>
      <c r="BO8" s="169"/>
      <c r="BP8" s="217"/>
      <c r="BQ8" s="214">
        <f>BQ6*0.85</f>
        <v>1020</v>
      </c>
      <c r="BR8" s="215">
        <f>BQ8/BQ8</f>
        <v>1</v>
      </c>
      <c r="BS8" s="84"/>
      <c r="BT8" s="84"/>
      <c r="BU8" s="84"/>
      <c r="BV8" s="84"/>
      <c r="BW8" s="84"/>
      <c r="BX8" s="84"/>
      <c r="BY8" s="84"/>
      <c r="BZ8" s="84"/>
    </row>
    <row r="9" spans="1:78" x14ac:dyDescent="0.2">
      <c r="A9" s="84"/>
      <c r="B9" s="222"/>
      <c r="C9" s="228" t="str">
        <f>'Pricing Trends'!R15</f>
        <v>RBD SOYA BEAN OIL</v>
      </c>
      <c r="D9" s="223">
        <f>'Pricing Trends'!U15</f>
        <v>64.592929999999996</v>
      </c>
      <c r="E9" s="220" t="b">
        <v>0</v>
      </c>
      <c r="F9" s="84"/>
      <c r="G9" s="567" t="s">
        <v>45</v>
      </c>
      <c r="H9" s="568"/>
      <c r="I9" s="568"/>
      <c r="J9" s="569"/>
      <c r="K9" s="201"/>
      <c r="L9" s="182"/>
      <c r="M9" s="98">
        <f>IFERROR(VLOOKUP($L$2&amp;$G9,Validation!$E:$O,4,FALSE),0)</f>
        <v>0</v>
      </c>
      <c r="N9" s="99">
        <f>M9/M$6</f>
        <v>0</v>
      </c>
      <c r="O9" s="107"/>
      <c r="P9" s="98">
        <f>IFERROR(VLOOKUP($L$2&amp;$G9,Validation!$E:$O,5,FALSE),0)</f>
        <v>0</v>
      </c>
      <c r="Q9" s="99">
        <f>P9/P$6</f>
        <v>0</v>
      </c>
      <c r="R9" s="107"/>
      <c r="S9" s="98">
        <f>IFERROR(VLOOKUP($L$2&amp;$G9,Validation!$E:$O,6,FALSE),0)</f>
        <v>0</v>
      </c>
      <c r="T9" s="99">
        <f>S9/S$6</f>
        <v>0</v>
      </c>
      <c r="U9" s="107"/>
      <c r="V9" s="94">
        <f>IFERROR(VLOOKUP($L$2&amp;$G9,Validation!$E:$O,7,FALSE),0)</f>
        <v>0</v>
      </c>
      <c r="W9" s="166">
        <f>V9/V$6</f>
        <v>0</v>
      </c>
      <c r="X9" s="169"/>
      <c r="Y9" s="179"/>
      <c r="Z9" s="98">
        <f>IFERROR(VLOOKUP($L$2&amp;$G9,Validation!$E:$O,9,FALSE),0)</f>
        <v>0</v>
      </c>
      <c r="AA9" s="99">
        <f>Z9/Z$6</f>
        <v>0</v>
      </c>
      <c r="AB9" s="107"/>
      <c r="AC9" s="98">
        <f>IFERROR(VLOOKUP($L$2&amp;$G9,Validation!$E:$O,10,FALSE),0)</f>
        <v>0</v>
      </c>
      <c r="AD9" s="166">
        <f>AC9/AC$6</f>
        <v>0</v>
      </c>
      <c r="AE9" s="107"/>
      <c r="AF9" s="98">
        <f>IFERROR(VLOOKUP($L$2&amp;$G9,Validation!$E:$O,5,FALSE),0)</f>
        <v>0</v>
      </c>
      <c r="AG9" s="166">
        <f>AF9/AF$6</f>
        <v>0</v>
      </c>
      <c r="AH9" s="107"/>
      <c r="AI9" s="98">
        <f>IFERROR(VLOOKUP($L$2&amp;$G9,Validation!$E:$O,6,FALSE),0)</f>
        <v>0</v>
      </c>
      <c r="AJ9" s="166">
        <f>AI9/AI$6</f>
        <v>0</v>
      </c>
      <c r="AK9" s="107"/>
      <c r="AL9" s="98">
        <f>IFERROR(VLOOKUP($L$2&amp;$G9,Validation!$E:$O,7,FALSE),0)</f>
        <v>0</v>
      </c>
      <c r="AM9" s="166">
        <f>AL9/AL$6</f>
        <v>0</v>
      </c>
      <c r="AN9" s="234"/>
      <c r="AO9" s="182"/>
      <c r="AP9" s="94">
        <f>IFERROR(VLOOKUP($AO$2&amp;$G9,Validation!E:O,8,FALSE),0)</f>
        <v>0</v>
      </c>
      <c r="AQ9" s="99">
        <f t="shared" ref="AQ9:AQ18" si="0">AP9/AP$6</f>
        <v>0</v>
      </c>
      <c r="AR9" s="107"/>
      <c r="AS9" s="94">
        <f>IFERROR(VLOOKUP($AO$2&amp;$G9,Validation!E:O,11,FALSE),0)</f>
        <v>0</v>
      </c>
      <c r="AT9" s="101">
        <f t="shared" ref="AT9:AT18" si="1">AS9/AS$6</f>
        <v>0</v>
      </c>
      <c r="AU9" s="169"/>
      <c r="AV9" s="182"/>
      <c r="AW9" s="98">
        <f>IFERROR(VLOOKUP($AV$2&amp;$G9,Validation!$E:$O,6,FALSE),0)</f>
        <v>0</v>
      </c>
      <c r="AX9" s="99">
        <f>AW9/AW$6</f>
        <v>0</v>
      </c>
      <c r="AY9" s="107"/>
      <c r="AZ9" s="98">
        <f>IFERROR(VLOOKUP($AV$2&amp;$G9,Validation!$E:$O,7,FALSE),0)</f>
        <v>0</v>
      </c>
      <c r="BA9" s="99">
        <f>AZ9/AZ$6</f>
        <v>0</v>
      </c>
      <c r="BB9" s="107"/>
      <c r="BC9" s="98">
        <f>IFERROR(VLOOKUP($BB$2&amp;$G9,Validation!$E:$O,8,FALSE),0)</f>
        <v>0</v>
      </c>
      <c r="BD9" s="101">
        <f>BC9/BC$6</f>
        <v>0</v>
      </c>
      <c r="BE9" s="169"/>
      <c r="BF9" s="182"/>
      <c r="BG9" s="98">
        <f>IFERROR(VLOOKUP($BF$2&amp;$G9,Validation!$E:$O,6,FALSE),0)</f>
        <v>0</v>
      </c>
      <c r="BH9" s="99">
        <f>BG9/BG$6</f>
        <v>0</v>
      </c>
      <c r="BI9" s="107"/>
      <c r="BJ9" s="98">
        <f>IFERROR(VLOOKUP($BF$2&amp;$G9,Validation!$E:$O,7,FALSE),0)</f>
        <v>0</v>
      </c>
      <c r="BK9" s="99">
        <f>BJ9/BJ$6</f>
        <v>0</v>
      </c>
      <c r="BL9" s="182"/>
      <c r="BM9" s="98">
        <f>IFERROR(VLOOKUP($BL$2&amp;$G9,Validation!$E:$L,8,FALSE),0)</f>
        <v>276.31548759999998</v>
      </c>
      <c r="BN9" s="101">
        <f>BM9/BM$6</f>
        <v>0.50108714691929368</v>
      </c>
      <c r="BO9" s="169"/>
      <c r="BP9" s="182"/>
      <c r="BQ9" s="98">
        <f>IFERROR(VLOOKUP($BP$2&amp;$G9,Validation!E:O,11,FALSE),0)</f>
        <v>0</v>
      </c>
      <c r="BR9" s="101">
        <f>BQ9/BQ$6</f>
        <v>0</v>
      </c>
      <c r="BS9" s="84"/>
      <c r="BT9" s="84"/>
      <c r="BU9" s="84"/>
      <c r="BV9" s="84"/>
      <c r="BW9" s="84"/>
      <c r="BX9" s="84"/>
      <c r="BY9" s="84"/>
      <c r="BZ9" s="84"/>
    </row>
    <row r="10" spans="1:78" x14ac:dyDescent="0.2">
      <c r="A10" s="84"/>
      <c r="B10" s="222"/>
      <c r="C10" s="228" t="str">
        <f>'Pricing Trends'!R16</f>
        <v>RBD SOYA BEAN OIL</v>
      </c>
      <c r="D10" s="223">
        <f>'Pricing Trends'!U16</f>
        <v>81.901482099999996</v>
      </c>
      <c r="E10" s="220" t="b">
        <v>0</v>
      </c>
      <c r="F10" s="84"/>
      <c r="G10" s="567" t="s">
        <v>54</v>
      </c>
      <c r="H10" s="568"/>
      <c r="I10" s="568"/>
      <c r="J10" s="569"/>
      <c r="K10" s="201"/>
      <c r="L10" s="182"/>
      <c r="M10" s="98">
        <f>IFERROR(VLOOKUP($L$2&amp;$G10,Validation!$E:$O,4,FALSE),0)</f>
        <v>0</v>
      </c>
      <c r="N10" s="99">
        <f t="shared" ref="N10:N18" si="2">M10/M$6</f>
        <v>0</v>
      </c>
      <c r="O10" s="107"/>
      <c r="P10" s="98">
        <f>IFERROR(VLOOKUP($L$2&amp;$G10,Validation!$E:$O,5,FALSE),0)</f>
        <v>0</v>
      </c>
      <c r="Q10" s="99">
        <f t="shared" ref="Q10:Q18" si="3">P10/P$6</f>
        <v>0</v>
      </c>
      <c r="R10" s="107"/>
      <c r="S10" s="98">
        <f>IFERROR(VLOOKUP($L$2&amp;$G10,Validation!$E:$O,6,FALSE),0)</f>
        <v>0</v>
      </c>
      <c r="T10" s="99">
        <f t="shared" ref="T10:T18" si="4">S10/S$6</f>
        <v>0</v>
      </c>
      <c r="U10" s="107"/>
      <c r="V10" s="94">
        <f>IFERROR(VLOOKUP($L$2&amp;$G10,Validation!$E:$O,7,FALSE),0)</f>
        <v>0</v>
      </c>
      <c r="W10" s="166">
        <f t="shared" ref="W10:W18" si="5">V10/V$6</f>
        <v>0</v>
      </c>
      <c r="X10" s="169"/>
      <c r="Y10" s="179"/>
      <c r="Z10" s="98">
        <f>IFERROR(VLOOKUP($L$2&amp;$G10,Validation!$E:$O,9,FALSE),0)</f>
        <v>0</v>
      </c>
      <c r="AA10" s="99">
        <f t="shared" ref="AA10:AA18" si="6">Z10/Z$6</f>
        <v>0</v>
      </c>
      <c r="AB10" s="107"/>
      <c r="AC10" s="98">
        <f>IFERROR(VLOOKUP($L$2&amp;$G10,Validation!$E:$O,10,FALSE),0)</f>
        <v>0</v>
      </c>
      <c r="AD10" s="166">
        <f t="shared" ref="AD10:AD18" si="7">AC10/AC$6</f>
        <v>0</v>
      </c>
      <c r="AE10" s="107"/>
      <c r="AF10" s="98">
        <f>IFERROR(VLOOKUP($L$2&amp;$G10,Validation!$E:$O,5,FALSE),0)</f>
        <v>0</v>
      </c>
      <c r="AG10" s="166">
        <f t="shared" ref="AG10:AG18" si="8">AF10/AF$6</f>
        <v>0</v>
      </c>
      <c r="AH10" s="107"/>
      <c r="AI10" s="98">
        <f>IFERROR(VLOOKUP($L$2&amp;$G10,Validation!$E:$O,6,FALSE),0)</f>
        <v>0</v>
      </c>
      <c r="AJ10" s="166">
        <f t="shared" ref="AJ10:AJ18" si="9">AI10/AI$6</f>
        <v>0</v>
      </c>
      <c r="AK10" s="107"/>
      <c r="AL10" s="98">
        <f>IFERROR(VLOOKUP($L$2&amp;$G10,Validation!$E:$O,7,FALSE),0)</f>
        <v>0</v>
      </c>
      <c r="AM10" s="166">
        <f t="shared" ref="AM10:AM18" si="10">AL10/AL$6</f>
        <v>0</v>
      </c>
      <c r="AN10" s="234"/>
      <c r="AO10" s="182"/>
      <c r="AP10" s="94">
        <f>IFERROR(VLOOKUP($AO$2&amp;$G10,Validation!E:O,8,FALSE),0)</f>
        <v>0</v>
      </c>
      <c r="AQ10" s="99">
        <f t="shared" si="0"/>
        <v>0</v>
      </c>
      <c r="AR10" s="107"/>
      <c r="AS10" s="94">
        <f>IFERROR(VLOOKUP($AO$2&amp;$G10,Validation!E:O,11,FALSE),0)</f>
        <v>0</v>
      </c>
      <c r="AT10" s="101">
        <f t="shared" si="1"/>
        <v>0</v>
      </c>
      <c r="AU10" s="169"/>
      <c r="AV10" s="182"/>
      <c r="AW10" s="98">
        <f>IFERROR(VLOOKUP($AV$2&amp;$G10,Validation!$E:$O,6,FALSE),0)</f>
        <v>0</v>
      </c>
      <c r="AX10" s="99">
        <f t="shared" ref="AX10:AX18" si="11">AW10/AW$6</f>
        <v>0</v>
      </c>
      <c r="AY10" s="107"/>
      <c r="AZ10" s="98">
        <f>IFERROR(VLOOKUP($AV$2&amp;$G10,Validation!$E:$O,7,FALSE),0)</f>
        <v>0</v>
      </c>
      <c r="BA10" s="99">
        <f t="shared" ref="BA10:BA18" si="12">AZ10/AZ$6</f>
        <v>0</v>
      </c>
      <c r="BB10" s="107"/>
      <c r="BC10" s="98">
        <f>IFERROR(VLOOKUP($BB$2&amp;$G10,Validation!$E:$O,8,FALSE),0)</f>
        <v>0</v>
      </c>
      <c r="BD10" s="101">
        <f t="shared" ref="BD10:BD18" si="13">BC10/BC$6</f>
        <v>0</v>
      </c>
      <c r="BE10" s="169"/>
      <c r="BF10" s="182"/>
      <c r="BG10" s="98">
        <f>IFERROR(VLOOKUP($BF$2&amp;$G10,Validation!$E:$O,6,FALSE),0)</f>
        <v>0</v>
      </c>
      <c r="BH10" s="99">
        <f t="shared" ref="BH10:BH18" si="14">BG10/BG$6</f>
        <v>0</v>
      </c>
      <c r="BI10" s="107"/>
      <c r="BJ10" s="98">
        <f>IFERROR(VLOOKUP($BF$2&amp;$G10,Validation!$E:$O,7,FALSE),0)</f>
        <v>0</v>
      </c>
      <c r="BK10" s="99">
        <f t="shared" ref="BK10:BK18" si="15">BJ10/BJ$6</f>
        <v>0</v>
      </c>
      <c r="BL10" s="182"/>
      <c r="BM10" s="98">
        <f>IFERROR(VLOOKUP($BL$2&amp;$G10,Validation!$E:$L,8,FALSE),0)</f>
        <v>0</v>
      </c>
      <c r="BN10" s="101">
        <f t="shared" ref="BN10:BN18" si="16">BM10/BM$6</f>
        <v>0</v>
      </c>
      <c r="BO10" s="169"/>
      <c r="BP10" s="182"/>
      <c r="BQ10" s="98">
        <f>IFERROR(VLOOKUP($BP$2&amp;$G10,Validation!E:O,11,FALSE),0)</f>
        <v>0</v>
      </c>
      <c r="BR10" s="101">
        <f t="shared" ref="BR10:BR18" si="17">BQ10/BQ$6</f>
        <v>0</v>
      </c>
      <c r="BS10" s="84"/>
      <c r="BT10" s="84"/>
      <c r="BU10" s="84"/>
      <c r="BV10" s="84"/>
      <c r="BW10" s="84"/>
      <c r="BX10" s="84"/>
      <c r="BY10" s="84"/>
      <c r="BZ10" s="84"/>
    </row>
    <row r="11" spans="1:78" x14ac:dyDescent="0.2">
      <c r="A11" s="84"/>
      <c r="B11" s="222"/>
      <c r="C11" s="228">
        <f>'Pricing Trends'!R17</f>
        <v>0</v>
      </c>
      <c r="D11" s="223">
        <f>'Pricing Trends'!U17</f>
        <v>0</v>
      </c>
      <c r="E11" s="220" t="b">
        <v>0</v>
      </c>
      <c r="F11" s="84"/>
      <c r="G11" s="567" t="s">
        <v>58</v>
      </c>
      <c r="H11" s="568"/>
      <c r="I11" s="568"/>
      <c r="J11" s="569"/>
      <c r="K11" s="201"/>
      <c r="L11" s="182"/>
      <c r="M11" s="98">
        <f>IFERROR(VLOOKUP($L$2&amp;$G11,Validation!$E:$O,4,FALSE),0)</f>
        <v>21.228605999999999</v>
      </c>
      <c r="N11" s="99">
        <f t="shared" si="2"/>
        <v>0.49267335851145927</v>
      </c>
      <c r="O11" s="107"/>
      <c r="P11" s="98">
        <f>IFERROR(VLOOKUP($L$2&amp;$G11,Validation!$E:$O,5,FALSE),0)</f>
        <v>30.32658</v>
      </c>
      <c r="Q11" s="99">
        <f t="shared" si="3"/>
        <v>0.50163770215402681</v>
      </c>
      <c r="R11" s="107"/>
      <c r="S11" s="98">
        <f>IFERROR(VLOOKUP($L$2&amp;$G11,Validation!$E:$O,6,FALSE),0)</f>
        <v>60.65316</v>
      </c>
      <c r="T11" s="99">
        <f t="shared" si="4"/>
        <v>0.51902284380644315</v>
      </c>
      <c r="U11" s="107"/>
      <c r="V11" s="94">
        <f>IFERROR(VLOOKUP($L$2&amp;$G11,Validation!$E:$O,7,FALSE),0)</f>
        <v>121.30632</v>
      </c>
      <c r="W11" s="166">
        <f t="shared" si="5"/>
        <v>0.53623025849636918</v>
      </c>
      <c r="X11" s="169"/>
      <c r="Y11" s="179"/>
      <c r="Z11" s="98">
        <f>IFERROR(VLOOKUP($L$2&amp;$G11,Validation!$E:$O,9,FALSE),0)</f>
        <v>10.9175688</v>
      </c>
      <c r="AA11" s="99">
        <f t="shared" si="6"/>
        <v>0.48722065429472433</v>
      </c>
      <c r="AB11" s="107"/>
      <c r="AC11" s="98">
        <f>IFERROR(VLOOKUP($L$2&amp;$G11,Validation!$E:$O,10,FALSE),0)</f>
        <v>18.195947999999998</v>
      </c>
      <c r="AD11" s="166">
        <f t="shared" si="7"/>
        <v>0.50341988313744768</v>
      </c>
      <c r="AE11" s="107"/>
      <c r="AF11" s="98">
        <f>IFERROR(VLOOKUP($L$2&amp;$G11,Validation!$E:$O,5,FALSE),0)</f>
        <v>30.32658</v>
      </c>
      <c r="AG11" s="166">
        <f t="shared" si="8"/>
        <v>0.51834151889785451</v>
      </c>
      <c r="AH11" s="107"/>
      <c r="AI11" s="98">
        <f>IFERROR(VLOOKUP($L$2&amp;$G11,Validation!$E:$O,6,FALSE),0)</f>
        <v>60.65316</v>
      </c>
      <c r="AJ11" s="166">
        <f t="shared" si="9"/>
        <v>0.530617048771716</v>
      </c>
      <c r="AK11" s="107"/>
      <c r="AL11" s="98">
        <f>IFERROR(VLOOKUP($L$2&amp;$G11,Validation!$E:$O,7,FALSE),0)</f>
        <v>121.30632</v>
      </c>
      <c r="AM11" s="166">
        <f t="shared" si="10"/>
        <v>0.54515712583274434</v>
      </c>
      <c r="AN11" s="234"/>
      <c r="AO11" s="182"/>
      <c r="AP11" s="94">
        <f>IFERROR(VLOOKUP($AO$2&amp;$G11,Validation!E:O,8,FALSE),0)</f>
        <v>0</v>
      </c>
      <c r="AQ11" s="99">
        <f t="shared" si="0"/>
        <v>0</v>
      </c>
      <c r="AR11" s="107"/>
      <c r="AS11" s="94">
        <f>IFERROR(VLOOKUP($AO$2&amp;$G11,Validation!E:O,11,FALSE),0)</f>
        <v>0</v>
      </c>
      <c r="AT11" s="101">
        <f t="shared" si="1"/>
        <v>0</v>
      </c>
      <c r="AU11" s="169"/>
      <c r="AV11" s="182"/>
      <c r="AW11" s="98">
        <f>IFERROR(VLOOKUP($AV$2&amp;$G11,Validation!$E:$O,6,FALSE),0)</f>
        <v>0</v>
      </c>
      <c r="AX11" s="99">
        <f t="shared" si="11"/>
        <v>0</v>
      </c>
      <c r="AY11" s="107"/>
      <c r="AZ11" s="98">
        <f>IFERROR(VLOOKUP($AV$2&amp;$G11,Validation!$E:$O,7,FALSE),0)</f>
        <v>0</v>
      </c>
      <c r="BA11" s="99">
        <f t="shared" si="12"/>
        <v>0</v>
      </c>
      <c r="BB11" s="107"/>
      <c r="BC11" s="98">
        <f>IFERROR(VLOOKUP($BB$2&amp;$G11,Validation!$E:$O,8,FALSE),0)</f>
        <v>0</v>
      </c>
      <c r="BD11" s="101">
        <f t="shared" si="13"/>
        <v>0</v>
      </c>
      <c r="BE11" s="169"/>
      <c r="BF11" s="182"/>
      <c r="BG11" s="98">
        <f>IFERROR(VLOOKUP($BF$2&amp;$G11,Validation!$E:$O,6,FALSE),0)</f>
        <v>0</v>
      </c>
      <c r="BH11" s="99">
        <f t="shared" si="14"/>
        <v>0</v>
      </c>
      <c r="BI11" s="107"/>
      <c r="BJ11" s="98">
        <f>IFERROR(VLOOKUP($BF$2&amp;$G11,Validation!$E:$O,7,FALSE),0)</f>
        <v>0</v>
      </c>
      <c r="BK11" s="99">
        <f t="shared" si="15"/>
        <v>0</v>
      </c>
      <c r="BL11" s="182"/>
      <c r="BM11" s="98">
        <f>IFERROR(VLOOKUP($BL$2&amp;$G11,Validation!$E:$L,8,FALSE),0)</f>
        <v>0</v>
      </c>
      <c r="BN11" s="101">
        <f t="shared" si="16"/>
        <v>0</v>
      </c>
      <c r="BO11" s="169"/>
      <c r="BP11" s="182"/>
      <c r="BQ11" s="98">
        <f>IFERROR(VLOOKUP($BP$2&amp;$G11,Validation!E:O,11,FALSE),0)</f>
        <v>0</v>
      </c>
      <c r="BR11" s="101">
        <f t="shared" si="17"/>
        <v>0</v>
      </c>
      <c r="BS11" s="84"/>
      <c r="BT11" s="84"/>
      <c r="BU11" s="84"/>
      <c r="BV11" s="84"/>
      <c r="BW11" s="84"/>
      <c r="BX11" s="84"/>
      <c r="BY11" s="84"/>
      <c r="BZ11" s="84"/>
    </row>
    <row r="12" spans="1:78" x14ac:dyDescent="0.2">
      <c r="A12" s="84"/>
      <c r="B12" s="222"/>
      <c r="C12" s="228" t="str">
        <f>'Pricing Trends'!R18</f>
        <v>RBD COCONUT OIL</v>
      </c>
      <c r="D12" s="223">
        <f>'Pricing Trends'!U18</f>
        <v>64.678485570000007</v>
      </c>
      <c r="E12" s="220" t="b">
        <v>0</v>
      </c>
      <c r="F12" s="84"/>
      <c r="G12" s="567" t="s">
        <v>62</v>
      </c>
      <c r="H12" s="568"/>
      <c r="I12" s="568"/>
      <c r="J12" s="569"/>
      <c r="K12" s="201"/>
      <c r="L12" s="182"/>
      <c r="M12" s="98">
        <f>IFERROR(VLOOKUP($L$2&amp;$G12,Validation!$E:$O,4,FALSE),0)</f>
        <v>0</v>
      </c>
      <c r="N12" s="99">
        <f t="shared" si="2"/>
        <v>0</v>
      </c>
      <c r="O12" s="107"/>
      <c r="P12" s="98">
        <f>IFERROR(VLOOKUP($L$2&amp;$G12,Validation!$E:$O,5,FALSE),0)</f>
        <v>0</v>
      </c>
      <c r="Q12" s="99">
        <f t="shared" si="3"/>
        <v>0</v>
      </c>
      <c r="R12" s="107"/>
      <c r="S12" s="98">
        <f>IFERROR(VLOOKUP($L$2&amp;$G12,Validation!$E:$O,6,FALSE),0)</f>
        <v>0</v>
      </c>
      <c r="T12" s="99">
        <f t="shared" si="4"/>
        <v>0</v>
      </c>
      <c r="U12" s="107"/>
      <c r="V12" s="94">
        <f>IFERROR(VLOOKUP($L$2&amp;$G12,Validation!$E:$O,7,FALSE),0)</f>
        <v>0</v>
      </c>
      <c r="W12" s="166">
        <f t="shared" si="5"/>
        <v>0</v>
      </c>
      <c r="X12" s="169"/>
      <c r="Y12" s="179"/>
      <c r="Z12" s="98">
        <f>IFERROR(VLOOKUP($L$2&amp;$G12,Validation!$E:$O,9,FALSE),0)</f>
        <v>0</v>
      </c>
      <c r="AA12" s="99">
        <f t="shared" si="6"/>
        <v>0</v>
      </c>
      <c r="AB12" s="107"/>
      <c r="AC12" s="98">
        <f>IFERROR(VLOOKUP($L$2&amp;$G12,Validation!$E:$O,10,FALSE),0)</f>
        <v>0</v>
      </c>
      <c r="AD12" s="166">
        <f t="shared" si="7"/>
        <v>0</v>
      </c>
      <c r="AE12" s="107"/>
      <c r="AF12" s="98">
        <f>IFERROR(VLOOKUP($L$2&amp;$G12,Validation!$E:$O,5,FALSE),0)</f>
        <v>0</v>
      </c>
      <c r="AG12" s="166">
        <f t="shared" si="8"/>
        <v>0</v>
      </c>
      <c r="AH12" s="107"/>
      <c r="AI12" s="98">
        <f>IFERROR(VLOOKUP($L$2&amp;$G12,Validation!$E:$O,6,FALSE),0)</f>
        <v>0</v>
      </c>
      <c r="AJ12" s="166">
        <f t="shared" si="9"/>
        <v>0</v>
      </c>
      <c r="AK12" s="107"/>
      <c r="AL12" s="98">
        <f>IFERROR(VLOOKUP($L$2&amp;$G12,Validation!$E:$O,7,FALSE),0)</f>
        <v>0</v>
      </c>
      <c r="AM12" s="166">
        <f t="shared" si="10"/>
        <v>0</v>
      </c>
      <c r="AN12" s="234"/>
      <c r="AO12" s="182"/>
      <c r="AP12" s="94">
        <f>IFERROR(VLOOKUP($AO$2&amp;$G12,Validation!E:O,8,FALSE),0)</f>
        <v>0</v>
      </c>
      <c r="AQ12" s="99">
        <f t="shared" si="0"/>
        <v>0</v>
      </c>
      <c r="AR12" s="107"/>
      <c r="AS12" s="94">
        <f>IFERROR(VLOOKUP($AO$2&amp;$G12,Validation!E:O,11,FALSE),0)</f>
        <v>0</v>
      </c>
      <c r="AT12" s="101">
        <f t="shared" si="1"/>
        <v>0</v>
      </c>
      <c r="AU12" s="169"/>
      <c r="AV12" s="182"/>
      <c r="AW12" s="98">
        <f>IFERROR(VLOOKUP($AV$2&amp;$G12,Validation!$E:$O,6,FALSE),0)</f>
        <v>0</v>
      </c>
      <c r="AX12" s="99">
        <f t="shared" si="11"/>
        <v>0</v>
      </c>
      <c r="AY12" s="107"/>
      <c r="AZ12" s="98">
        <f>IFERROR(VLOOKUP($AV$2&amp;$G12,Validation!$E:$O,7,FALSE),0)</f>
        <v>0</v>
      </c>
      <c r="BA12" s="99">
        <f t="shared" si="12"/>
        <v>0</v>
      </c>
      <c r="BB12" s="107"/>
      <c r="BC12" s="98">
        <f>IFERROR(VLOOKUP($BB$2&amp;$G12,Validation!$E:$O,8,FALSE),0)</f>
        <v>332.88016502541683</v>
      </c>
      <c r="BD12" s="101">
        <f t="shared" si="13"/>
        <v>0.60851699731733999</v>
      </c>
      <c r="BE12" s="169"/>
      <c r="BF12" s="182"/>
      <c r="BG12" s="98">
        <f>IFERROR(VLOOKUP($BF$2&amp;$G12,Validation!$E:$O,6,FALSE),0)</f>
        <v>0</v>
      </c>
      <c r="BH12" s="99">
        <f t="shared" si="14"/>
        <v>0</v>
      </c>
      <c r="BI12" s="107"/>
      <c r="BJ12" s="98">
        <f>IFERROR(VLOOKUP($BF$2&amp;$G12,Validation!$E:$O,7,FALSE),0)</f>
        <v>0</v>
      </c>
      <c r="BK12" s="99">
        <f t="shared" si="15"/>
        <v>0</v>
      </c>
      <c r="BL12" s="182"/>
      <c r="BM12" s="98">
        <f>IFERROR(VLOOKUP($BL$2&amp;$G12,Validation!$E:$L,8,FALSE),0)</f>
        <v>0</v>
      </c>
      <c r="BN12" s="101">
        <f t="shared" si="16"/>
        <v>0</v>
      </c>
      <c r="BO12" s="169"/>
      <c r="BP12" s="182"/>
      <c r="BQ12" s="98">
        <f>IFERROR(VLOOKUP($BP$2&amp;$G12,Validation!E:O,11,FALSE),0)</f>
        <v>0</v>
      </c>
      <c r="BR12" s="101">
        <f t="shared" si="17"/>
        <v>0</v>
      </c>
      <c r="BS12" s="84"/>
      <c r="BT12" s="84"/>
      <c r="BU12" s="84"/>
      <c r="BV12" s="84"/>
      <c r="BW12" s="84"/>
      <c r="BX12" s="84"/>
      <c r="BY12" s="84"/>
      <c r="BZ12" s="84"/>
    </row>
    <row r="13" spans="1:78" x14ac:dyDescent="0.2">
      <c r="A13" s="84"/>
      <c r="B13" s="222"/>
      <c r="C13" s="228" t="str">
        <f>'Pricing Trends'!R19</f>
        <v>RBD COCONUT OIL</v>
      </c>
      <c r="D13" s="223">
        <f>'Pricing Trends'!U19</f>
        <v>51.478299999999997</v>
      </c>
      <c r="E13" s="220" t="b">
        <v>0</v>
      </c>
      <c r="F13" s="84"/>
      <c r="G13" s="567" t="s">
        <v>67</v>
      </c>
      <c r="H13" s="568"/>
      <c r="I13" s="568"/>
      <c r="J13" s="569"/>
      <c r="K13" s="201"/>
      <c r="L13" s="182"/>
      <c r="M13" s="98">
        <f>IFERROR(VLOOKUP($L$2&amp;$G13,Validation!$E:$O,4,FALSE),0)</f>
        <v>0</v>
      </c>
      <c r="N13" s="99">
        <f t="shared" si="2"/>
        <v>0</v>
      </c>
      <c r="O13" s="107"/>
      <c r="P13" s="98">
        <f>IFERROR(VLOOKUP($L$2&amp;$G13,Validation!$E:$O,5,FALSE),0)</f>
        <v>0</v>
      </c>
      <c r="Q13" s="99">
        <f t="shared" si="3"/>
        <v>0</v>
      </c>
      <c r="R13" s="107"/>
      <c r="S13" s="98">
        <f>IFERROR(VLOOKUP($L$2&amp;$G13,Validation!$E:$O,6,FALSE),0)</f>
        <v>0</v>
      </c>
      <c r="T13" s="99">
        <f t="shared" si="4"/>
        <v>0</v>
      </c>
      <c r="U13" s="107"/>
      <c r="V13" s="94">
        <f>IFERROR(VLOOKUP($L$2&amp;$G13,Validation!$E:$O,7,FALSE),0)</f>
        <v>0</v>
      </c>
      <c r="W13" s="166">
        <f t="shared" si="5"/>
        <v>0</v>
      </c>
      <c r="X13" s="169"/>
      <c r="Y13" s="179"/>
      <c r="Z13" s="98">
        <f>IFERROR(VLOOKUP($L$2&amp;$G13,Validation!$E:$O,9,FALSE),0)</f>
        <v>0</v>
      </c>
      <c r="AA13" s="99">
        <f t="shared" si="6"/>
        <v>0</v>
      </c>
      <c r="AB13" s="107"/>
      <c r="AC13" s="98">
        <f>IFERROR(VLOOKUP($L$2&amp;$G13,Validation!$E:$O,10,FALSE),0)</f>
        <v>0</v>
      </c>
      <c r="AD13" s="166">
        <f t="shared" si="7"/>
        <v>0</v>
      </c>
      <c r="AE13" s="107"/>
      <c r="AF13" s="98">
        <f>IFERROR(VLOOKUP($L$2&amp;$G13,Validation!$E:$O,5,FALSE),0)</f>
        <v>0</v>
      </c>
      <c r="AG13" s="166">
        <f t="shared" si="8"/>
        <v>0</v>
      </c>
      <c r="AH13" s="107"/>
      <c r="AI13" s="98">
        <f>IFERROR(VLOOKUP($L$2&amp;$G13,Validation!$E:$O,6,FALSE),0)</f>
        <v>0</v>
      </c>
      <c r="AJ13" s="166">
        <f t="shared" si="9"/>
        <v>0</v>
      </c>
      <c r="AK13" s="107"/>
      <c r="AL13" s="98">
        <f>IFERROR(VLOOKUP($L$2&amp;$G13,Validation!$E:$O,7,FALSE),0)</f>
        <v>0</v>
      </c>
      <c r="AM13" s="166">
        <f t="shared" si="10"/>
        <v>0</v>
      </c>
      <c r="AN13" s="234"/>
      <c r="AO13" s="182"/>
      <c r="AP13" s="94">
        <f>IFERROR(VLOOKUP($AO$2&amp;$G13,Validation!E:O,8,FALSE),0)</f>
        <v>0</v>
      </c>
      <c r="AQ13" s="99">
        <f t="shared" si="0"/>
        <v>0</v>
      </c>
      <c r="AR13" s="107"/>
      <c r="AS13" s="94">
        <f>IFERROR(VLOOKUP($AO$2&amp;$G13,Validation!E:O,11,FALSE),0)</f>
        <v>0</v>
      </c>
      <c r="AT13" s="101">
        <f t="shared" si="1"/>
        <v>0</v>
      </c>
      <c r="AU13" s="169"/>
      <c r="AV13" s="182"/>
      <c r="AW13" s="98">
        <f>IFERROR(VLOOKUP($AV$2&amp;$G13,Validation!$E:$O,6,FALSE),0)</f>
        <v>0</v>
      </c>
      <c r="AX13" s="99">
        <f t="shared" si="11"/>
        <v>0</v>
      </c>
      <c r="AY13" s="107"/>
      <c r="AZ13" s="98">
        <f>IFERROR(VLOOKUP($AV$2&amp;$G13,Validation!$E:$O,7,FALSE),0)</f>
        <v>0</v>
      </c>
      <c r="BA13" s="99">
        <f t="shared" si="12"/>
        <v>0</v>
      </c>
      <c r="BB13" s="107"/>
      <c r="BC13" s="98">
        <f>IFERROR(VLOOKUP($BB$2&amp;$G13,Validation!$E:$O,8,FALSE),0)</f>
        <v>0</v>
      </c>
      <c r="BD13" s="101">
        <f t="shared" si="13"/>
        <v>0</v>
      </c>
      <c r="BE13" s="169"/>
      <c r="BF13" s="182"/>
      <c r="BG13" s="98">
        <f>IFERROR(VLOOKUP($BF$2&amp;$G13,Validation!$E:$O,6,FALSE),0)</f>
        <v>0</v>
      </c>
      <c r="BH13" s="99">
        <f t="shared" si="14"/>
        <v>0</v>
      </c>
      <c r="BI13" s="107"/>
      <c r="BJ13" s="98">
        <f>IFERROR(VLOOKUP($BF$2&amp;$G13,Validation!$E:$O,7,FALSE),0)</f>
        <v>0</v>
      </c>
      <c r="BK13" s="99">
        <f t="shared" si="15"/>
        <v>0</v>
      </c>
      <c r="BL13" s="182"/>
      <c r="BM13" s="98">
        <f>IFERROR(VLOOKUP($L$2&amp;$G13,Validation!$E:$K,4,FALSE),0)</f>
        <v>0</v>
      </c>
      <c r="BN13" s="101">
        <f t="shared" si="16"/>
        <v>0</v>
      </c>
      <c r="BO13" s="169"/>
      <c r="BP13" s="182"/>
      <c r="BQ13" s="98">
        <f>IFERROR(VLOOKUP($BP$2&amp;$G13,Validation!E:O,11,FALSE),0)</f>
        <v>1519.02</v>
      </c>
      <c r="BR13" s="101">
        <f t="shared" si="17"/>
        <v>1.2658499999999999</v>
      </c>
      <c r="BS13" s="84"/>
      <c r="BT13" s="84"/>
      <c r="BU13" s="84"/>
      <c r="BV13" s="84"/>
      <c r="BW13" s="84"/>
      <c r="BX13" s="84"/>
      <c r="BY13" s="84"/>
      <c r="BZ13" s="84"/>
    </row>
    <row r="14" spans="1:78" x14ac:dyDescent="0.2">
      <c r="A14" s="84"/>
      <c r="B14" s="222"/>
      <c r="C14" s="228" t="str">
        <f>'Pricing Trends'!R20</f>
        <v>RBD COCONUT OIL</v>
      </c>
      <c r="D14" s="223">
        <f>'Pricing Trends'!U20</f>
        <v>54.558999999999997</v>
      </c>
      <c r="E14" s="220" t="b">
        <v>0</v>
      </c>
      <c r="F14" s="84"/>
      <c r="G14" s="567" t="s">
        <v>73</v>
      </c>
      <c r="H14" s="568"/>
      <c r="I14" s="568"/>
      <c r="J14" s="569"/>
      <c r="K14" s="201"/>
      <c r="L14" s="183" t="s">
        <v>331</v>
      </c>
      <c r="M14" s="98">
        <f>IFERROR(VLOOKUP(L14,'Pricing Trends'!$K:$N,4,FALSE),0)</f>
        <v>0.3</v>
      </c>
      <c r="N14" s="99">
        <f t="shared" si="2"/>
        <v>6.9623981694058373E-3</v>
      </c>
      <c r="O14" s="108" t="s">
        <v>336</v>
      </c>
      <c r="P14" s="98">
        <f>IFERROR(VLOOKUP(O14,'Pricing Trends'!$K:$N,4,FALSE),0)</f>
        <v>0.45</v>
      </c>
      <c r="Q14" s="99">
        <f t="shared" si="3"/>
        <v>7.4435352080357243E-3</v>
      </c>
      <c r="R14" s="108" t="s">
        <v>323</v>
      </c>
      <c r="S14" s="98">
        <f>IFERROR(VLOOKUP(R14,'Pricing Trends'!$K:$N,4,FALSE),0)</f>
        <v>0.55000000000000004</v>
      </c>
      <c r="T14" s="99">
        <f t="shared" si="4"/>
        <v>4.7064747177812949E-3</v>
      </c>
      <c r="U14" s="108" t="s">
        <v>344</v>
      </c>
      <c r="V14" s="94">
        <f>IFERROR(VLOOKUP(U14,'Pricing Trends'!$K:$N,4,FALSE),0)</f>
        <v>1.02</v>
      </c>
      <c r="W14" s="166">
        <f t="shared" si="5"/>
        <v>4.5088735992180502E-3</v>
      </c>
      <c r="X14" s="169"/>
      <c r="Y14" s="180"/>
      <c r="Z14" s="98">
        <f>IFERROR(VLOOKUP(Y14,'Pricing Trends'!$K:$N,4,FALSE),0)</f>
        <v>0</v>
      </c>
      <c r="AA14" s="99">
        <f t="shared" si="6"/>
        <v>0</v>
      </c>
      <c r="AB14" s="108"/>
      <c r="AC14" s="98">
        <f>IFERROR(VLOOKUP(AB14,'Pricing Trends'!$K:$N,4,FALSE),0)</f>
        <v>0</v>
      </c>
      <c r="AD14" s="166">
        <f t="shared" si="7"/>
        <v>0</v>
      </c>
      <c r="AE14" s="108"/>
      <c r="AF14" s="98">
        <f>IFERROR(VLOOKUP(AE14,'Pricing Trends'!$K:$N,4,FALSE),0)</f>
        <v>0</v>
      </c>
      <c r="AG14" s="166">
        <f t="shared" si="8"/>
        <v>0</v>
      </c>
      <c r="AH14" s="108"/>
      <c r="AI14" s="98">
        <f>IFERROR(VLOOKUP(AH14,'Pricing Trends'!$K:$N,4,FALSE),0)</f>
        <v>0</v>
      </c>
      <c r="AJ14" s="166">
        <f t="shared" si="9"/>
        <v>0</v>
      </c>
      <c r="AK14" s="108"/>
      <c r="AL14" s="98">
        <f>IFERROR(VLOOKUP(AK14,'Pricing Trends'!$K:$N,4,FALSE),0)</f>
        <v>0</v>
      </c>
      <c r="AM14" s="166">
        <f t="shared" si="10"/>
        <v>0</v>
      </c>
      <c r="AN14" s="234"/>
      <c r="AO14" s="183" t="s">
        <v>357</v>
      </c>
      <c r="AP14" s="94">
        <f>IFERROR(VLOOKUP(AO14,'Pricing Trends'!$K:$N,4,FALSE),0)</f>
        <v>7</v>
      </c>
      <c r="AQ14" s="99">
        <f t="shared" si="0"/>
        <v>1.5644515147614998E-2</v>
      </c>
      <c r="AR14" s="108"/>
      <c r="AS14" s="94">
        <f>IFERROR(VLOOKUP(AR14,'Pricing Trends'!$K:$N,4,FALSE),0)</f>
        <v>0</v>
      </c>
      <c r="AT14" s="101">
        <f t="shared" si="1"/>
        <v>0</v>
      </c>
      <c r="AU14" s="169"/>
      <c r="AV14" s="183" t="s">
        <v>350</v>
      </c>
      <c r="AW14" s="98">
        <f>IFERROR(VLOOKUP(AV14,'Pricing Trends'!$K:$N,4,FALSE),0)</f>
        <v>0.72</v>
      </c>
      <c r="AX14" s="99">
        <f t="shared" si="11"/>
        <v>5.1242349953471711E-3</v>
      </c>
      <c r="AY14" s="108" t="s">
        <v>341</v>
      </c>
      <c r="AZ14" s="98">
        <f>IFERROR(VLOOKUP(AY14,'Pricing Trends'!$K:$N,4,FALSE),0)</f>
        <v>1.05</v>
      </c>
      <c r="BA14" s="99">
        <f t="shared" si="12"/>
        <v>3.8041058377878585E-3</v>
      </c>
      <c r="BB14" s="108" t="s">
        <v>493</v>
      </c>
      <c r="BC14" s="98">
        <f>IFERROR(VLOOKUP(BB14,'Pricing Trends'!$K:$N,4,FALSE),0)</f>
        <v>0</v>
      </c>
      <c r="BD14" s="101">
        <f t="shared" si="13"/>
        <v>0</v>
      </c>
      <c r="BE14" s="169"/>
      <c r="BF14" s="183" t="s">
        <v>300</v>
      </c>
      <c r="BG14" s="98">
        <f>IFERROR(VLOOKUP(BF14,'Pricing Trends'!$K:$N,4,FALSE),0)</f>
        <v>0.72</v>
      </c>
      <c r="BH14" s="99">
        <f t="shared" si="14"/>
        <v>4.9789776499225488E-3</v>
      </c>
      <c r="BI14" s="108" t="s">
        <v>347</v>
      </c>
      <c r="BJ14" s="98">
        <f>IFERROR(VLOOKUP(BI14,'Pricing Trends'!$K:$N,4,FALSE),0)</f>
        <v>1.05</v>
      </c>
      <c r="BK14" s="99">
        <f t="shared" si="15"/>
        <v>3.7740460649279698E-3</v>
      </c>
      <c r="BL14" s="183" t="s">
        <v>354</v>
      </c>
      <c r="BM14" s="98">
        <f>IFERROR(VLOOKUP(BL14,'Pricing Trends'!$K:$N,4,FALSE),0)</f>
        <v>7</v>
      </c>
      <c r="BN14" s="101">
        <f t="shared" si="16"/>
        <v>1.269422159033208E-2</v>
      </c>
      <c r="BO14" s="169"/>
      <c r="BP14" s="183"/>
      <c r="BQ14" s="98">
        <f>IFERROR(VLOOKUP(BP14,'Pricing Trends'!$K:$N,4,FALSE),0)</f>
        <v>0</v>
      </c>
      <c r="BR14" s="101">
        <f t="shared" si="17"/>
        <v>0</v>
      </c>
      <c r="BS14" s="84"/>
      <c r="BT14" s="84"/>
      <c r="BU14" s="84"/>
      <c r="BV14" s="84"/>
      <c r="BW14" s="84"/>
      <c r="BX14" s="84"/>
      <c r="BY14" s="84"/>
      <c r="BZ14" s="84"/>
    </row>
    <row r="15" spans="1:78" x14ac:dyDescent="0.2">
      <c r="A15" s="84"/>
      <c r="B15" s="222"/>
      <c r="C15" s="228" t="str">
        <f>'Pricing Trends'!R21</f>
        <v>RBD COCONUT OIL</v>
      </c>
      <c r="D15" s="223">
        <f>'Pricing Trends'!U21</f>
        <v>52.798299999999998</v>
      </c>
      <c r="E15" s="220" t="b">
        <v>0</v>
      </c>
      <c r="F15" s="84"/>
      <c r="G15" s="567" t="s">
        <v>77</v>
      </c>
      <c r="H15" s="568"/>
      <c r="I15" s="568"/>
      <c r="J15" s="569"/>
      <c r="K15" s="201"/>
      <c r="L15" s="183" t="s">
        <v>342</v>
      </c>
      <c r="M15" s="98">
        <f>IFERROR(VLOOKUP(L15,'Pricing Trends'!$A:$D,4,FALSE),0)</f>
        <v>3.35</v>
      </c>
      <c r="N15" s="99">
        <f t="shared" si="2"/>
        <v>7.7746779558365189E-2</v>
      </c>
      <c r="O15" s="108" t="s">
        <v>356</v>
      </c>
      <c r="P15" s="98">
        <f>IFERROR(VLOOKUP(O15,'Pricing Trends'!$A:$D,4,FALSE),0)</f>
        <v>3.65</v>
      </c>
      <c r="Q15" s="99">
        <f t="shared" si="3"/>
        <v>6.0375341131845318E-2</v>
      </c>
      <c r="R15" s="108" t="s">
        <v>320</v>
      </c>
      <c r="S15" s="98">
        <f>IFERROR(VLOOKUP(R15,'Pricing Trends'!$A:$D,4,FALSE),0)</f>
        <v>6.55</v>
      </c>
      <c r="T15" s="99">
        <f t="shared" si="4"/>
        <v>5.6049835275395421E-2</v>
      </c>
      <c r="U15" s="108" t="s">
        <v>367</v>
      </c>
      <c r="V15" s="94">
        <f>IFERROR(VLOOKUP(U15,'Pricing Trends'!$A:$D,4,FALSE),0)</f>
        <v>15.75</v>
      </c>
      <c r="W15" s="166">
        <f t="shared" si="5"/>
        <v>6.9622312929102245E-2</v>
      </c>
      <c r="X15" s="169"/>
      <c r="Y15" s="180" t="s">
        <v>298</v>
      </c>
      <c r="Z15" s="98">
        <f>IFERROR(VLOOKUP(Y15,'Pricing Trends'!$A:$D,4,FALSE),0)</f>
        <v>2.1</v>
      </c>
      <c r="AA15" s="99">
        <f t="shared" si="6"/>
        <v>9.3717144609972255E-2</v>
      </c>
      <c r="AB15" s="108" t="s">
        <v>301</v>
      </c>
      <c r="AC15" s="98">
        <f>IFERROR(VLOOKUP(AB15,'Pricing Trends'!$A:$D,4,FALSE),0)</f>
        <v>2.6</v>
      </c>
      <c r="AD15" s="166">
        <f t="shared" si="7"/>
        <v>7.1933141167328254E-2</v>
      </c>
      <c r="AE15" s="108" t="s">
        <v>303</v>
      </c>
      <c r="AF15" s="98">
        <f>IFERROR(VLOOKUP(AE15,'Pricing Trends'!$A:$D,4,FALSE),0)</f>
        <v>0</v>
      </c>
      <c r="AG15" s="166">
        <f t="shared" si="8"/>
        <v>0</v>
      </c>
      <c r="AH15" s="108" t="s">
        <v>305</v>
      </c>
      <c r="AI15" s="98">
        <f>IFERROR(VLOOKUP(AH15,'Pricing Trends'!$A:$D,4,FALSE),0)</f>
        <v>4.7</v>
      </c>
      <c r="AJ15" s="166">
        <f t="shared" si="9"/>
        <v>4.111739815744251E-2</v>
      </c>
      <c r="AK15" s="108" t="s">
        <v>307</v>
      </c>
      <c r="AL15" s="98">
        <f>IFERROR(VLOOKUP(AK15,'Pricing Trends'!$A:$D,4,FALSE),0)</f>
        <v>6.17</v>
      </c>
      <c r="AM15" s="166">
        <f t="shared" si="10"/>
        <v>2.7728311817455453E-2</v>
      </c>
      <c r="AN15" s="234"/>
      <c r="AO15" s="183" t="s">
        <v>369</v>
      </c>
      <c r="AP15" s="94">
        <f>IFERROR(VLOOKUP(AO15,'Pricing Trends'!$A:$D,4,FALSE),0)</f>
        <v>32.479999999999997</v>
      </c>
      <c r="AQ15" s="99">
        <f t="shared" si="0"/>
        <v>7.259055028493358E-2</v>
      </c>
      <c r="AR15" s="108"/>
      <c r="AS15" s="94">
        <f>IFERROR(VLOOKUP(AR15,'Pricing Trends'!$A:$D,4,FALSE),0)</f>
        <v>0</v>
      </c>
      <c r="AT15" s="101">
        <f t="shared" si="1"/>
        <v>0</v>
      </c>
      <c r="AU15" s="169"/>
      <c r="AV15" s="183" t="s">
        <v>359</v>
      </c>
      <c r="AW15" s="98">
        <f>IFERROR(VLOOKUP(AV15,'Pricing Trends'!$A:$D,4,FALSE),0)</f>
        <v>6.6</v>
      </c>
      <c r="AX15" s="99">
        <f t="shared" si="11"/>
        <v>4.6972154124015737E-2</v>
      </c>
      <c r="AY15" s="108" t="s">
        <v>363</v>
      </c>
      <c r="AZ15" s="98">
        <f>IFERROR(VLOOKUP(AY15,'Pricing Trends'!$A:$D,4,FALSE),0)</f>
        <v>18.100000000000001</v>
      </c>
      <c r="BA15" s="99">
        <f t="shared" si="12"/>
        <v>6.5575538727581179E-2</v>
      </c>
      <c r="BB15" s="108" t="s">
        <v>369</v>
      </c>
      <c r="BC15" s="98">
        <f>IFERROR(VLOOKUP(BB15,'Pricing Trends'!$A:$D,4,FALSE),0)</f>
        <v>32.479999999999997</v>
      </c>
      <c r="BD15" s="101">
        <f t="shared" si="13"/>
        <v>5.9374616301809652E-2</v>
      </c>
      <c r="BE15" s="169"/>
      <c r="BF15" s="183" t="s">
        <v>359</v>
      </c>
      <c r="BG15" s="98">
        <f>IFERROR(VLOOKUP(BF15,'Pricing Trends'!$A:$D,4,FALSE),0)</f>
        <v>6.6</v>
      </c>
      <c r="BH15" s="99">
        <f t="shared" si="14"/>
        <v>4.5640628457623365E-2</v>
      </c>
      <c r="BI15" s="108" t="s">
        <v>366</v>
      </c>
      <c r="BJ15" s="98">
        <f>IFERROR(VLOOKUP(BI15,'Pricing Trends'!$A:$D,4,FALSE),0)</f>
        <v>19</v>
      </c>
      <c r="BK15" s="99">
        <f t="shared" si="15"/>
        <v>6.8292262127268022E-2</v>
      </c>
      <c r="BL15" s="183" t="s">
        <v>369</v>
      </c>
      <c r="BM15" s="98">
        <f>IFERROR(VLOOKUP(BL15,'Pricing Trends'!$A:$D,4,FALSE),0)</f>
        <v>32.479999999999997</v>
      </c>
      <c r="BN15" s="101">
        <f t="shared" si="16"/>
        <v>5.8901188179140848E-2</v>
      </c>
      <c r="BO15" s="169"/>
      <c r="BP15" s="183"/>
      <c r="BQ15" s="98">
        <f>IFERROR(VLOOKUP(BP15,'Pricing Trends'!$A:$D,4,FALSE),0)</f>
        <v>0</v>
      </c>
      <c r="BR15" s="101">
        <f t="shared" si="17"/>
        <v>0</v>
      </c>
      <c r="BS15" s="84"/>
      <c r="BT15" s="84"/>
      <c r="BU15" s="84"/>
      <c r="BV15" s="84"/>
      <c r="BW15" s="84"/>
      <c r="BX15" s="84"/>
      <c r="BY15" s="84"/>
      <c r="BZ15" s="84"/>
    </row>
    <row r="16" spans="1:78" x14ac:dyDescent="0.2">
      <c r="A16" s="84"/>
      <c r="B16" s="222"/>
      <c r="C16" s="228">
        <f>'Pricing Trends'!R22</f>
        <v>0</v>
      </c>
      <c r="D16" s="223">
        <f>'Pricing Trends'!U22</f>
        <v>0</v>
      </c>
      <c r="E16" s="220" t="b">
        <v>0</v>
      </c>
      <c r="F16" s="84"/>
      <c r="G16" s="567" t="s">
        <v>80</v>
      </c>
      <c r="H16" s="568"/>
      <c r="I16" s="568"/>
      <c r="J16" s="569"/>
      <c r="K16" s="201"/>
      <c r="L16" s="183" t="s">
        <v>135</v>
      </c>
      <c r="M16" s="98">
        <f>IFERROR(VLOOKUP(L16,'Pricing Trends'!$F:$I,4,FALSE),0)/N5</f>
        <v>0.80555555555555558</v>
      </c>
      <c r="N16" s="99">
        <f t="shared" si="2"/>
        <v>1.869532841784901E-2</v>
      </c>
      <c r="O16" s="108" t="s">
        <v>141</v>
      </c>
      <c r="P16" s="98">
        <f>IFERROR(VLOOKUP(O16,'Pricing Trends'!$F:$I,4,FALSE),0)/Q5</f>
        <v>0.86249999999999993</v>
      </c>
      <c r="Q16" s="99">
        <f t="shared" si="3"/>
        <v>1.4266775815401804E-2</v>
      </c>
      <c r="R16" s="108" t="s">
        <v>343</v>
      </c>
      <c r="S16" s="98">
        <f>IFERROR(VLOOKUP(R16,'Pricing Trends'!$F:$I,4,FALSE),0)/T5</f>
        <v>2.5833333333333335</v>
      </c>
      <c r="T16" s="99">
        <f t="shared" si="4"/>
        <v>2.2106169128972751E-2</v>
      </c>
      <c r="U16" s="108" t="s">
        <v>368</v>
      </c>
      <c r="V16" s="94">
        <f>IFERROR(VLOOKUP(U16,'Pricing Trends'!$F:$I,4,FALSE),0)/W5</f>
        <v>4.5</v>
      </c>
      <c r="W16" s="166">
        <f t="shared" si="5"/>
        <v>1.9892089408314929E-2</v>
      </c>
      <c r="X16" s="169"/>
      <c r="Y16" s="180" t="s">
        <v>302</v>
      </c>
      <c r="Z16" s="98">
        <f>IFERROR(VLOOKUP(Y16,'Pricing Trends'!$F:$I,4,FALSE),0)/AA5</f>
        <v>0.52083333333333337</v>
      </c>
      <c r="AA16" s="99">
        <f t="shared" si="6"/>
        <v>2.3243339436997086E-2</v>
      </c>
      <c r="AB16" s="108" t="s">
        <v>299</v>
      </c>
      <c r="AC16" s="98">
        <f>IFERROR(VLOOKUP(AB16,'Pricing Trends'!$F:$I,4,FALSE),0)/AD5</f>
        <v>0.69444444444444442</v>
      </c>
      <c r="AD16" s="166">
        <f t="shared" si="7"/>
        <v>1.9212911636572717E-2</v>
      </c>
      <c r="AE16" s="108" t="s">
        <v>304</v>
      </c>
      <c r="AF16" s="98">
        <f>IFERROR(VLOOKUP(AE16,'Pricing Trends'!$F:$I,4,FALSE),0)/AG5</f>
        <v>0.91666666666666663</v>
      </c>
      <c r="AG16" s="166">
        <f t="shared" si="8"/>
        <v>1.5667654985264848E-2</v>
      </c>
      <c r="AH16" s="108" t="s">
        <v>306</v>
      </c>
      <c r="AI16" s="98">
        <f>IFERROR(VLOOKUP(AH16,'Pricing Trends'!$F:$I,4,FALSE),0)/AJ5</f>
        <v>2.5833333333333335</v>
      </c>
      <c r="AJ16" s="166">
        <f t="shared" si="9"/>
        <v>2.2599988348948895E-2</v>
      </c>
      <c r="AK16" s="108" t="s">
        <v>308</v>
      </c>
      <c r="AL16" s="98">
        <f>IFERROR(VLOOKUP(AK16,'Pricing Trends'!$F:$I,4,FALSE),0)/AM5</f>
        <v>4.5</v>
      </c>
      <c r="AM16" s="166">
        <f t="shared" si="10"/>
        <v>2.02232420062479E-2</v>
      </c>
      <c r="AN16" s="234"/>
      <c r="AO16" s="183" t="s">
        <v>376</v>
      </c>
      <c r="AP16" s="94">
        <f>IFERROR(VLOOKUP(AO16,'Pricing Trends'!$F:$I,4,FALSE),0)/AQ5</f>
        <v>4</v>
      </c>
      <c r="AQ16" s="99">
        <f t="shared" si="0"/>
        <v>8.9397229414942842E-3</v>
      </c>
      <c r="AR16" s="108"/>
      <c r="AS16" s="94">
        <f>IFERROR(VLOOKUP(AR16,'Pricing Trends'!$F:$I,4,FALSE),0)/AT5</f>
        <v>0</v>
      </c>
      <c r="AT16" s="101">
        <f t="shared" si="1"/>
        <v>0</v>
      </c>
      <c r="AU16" s="169"/>
      <c r="AV16" s="183" t="s">
        <v>337</v>
      </c>
      <c r="AW16" s="98">
        <f>IFERROR(VLOOKUP(AV16,'Pricing Trends'!$F:$I,4,FALSE),0)/AX5</f>
        <v>1.25</v>
      </c>
      <c r="AX16" s="99">
        <f t="shared" si="11"/>
        <v>8.8962413113666174E-3</v>
      </c>
      <c r="AY16" s="108" t="s">
        <v>365</v>
      </c>
      <c r="AZ16" s="98">
        <f>IFERROR(VLOOKUP(AY16,'Pricing Trends'!$F:$I,4,FALSE),0)/BA5</f>
        <v>2.7333333333333329</v>
      </c>
      <c r="BA16" s="99">
        <f t="shared" si="12"/>
        <v>9.9027517047175981E-3</v>
      </c>
      <c r="BB16" s="108" t="s">
        <v>376</v>
      </c>
      <c r="BC16" s="98">
        <f>IFERROR(VLOOKUP(BB16,'Pricing Trends'!$F:$I,4,FALSE),0)/BD5</f>
        <v>4</v>
      </c>
      <c r="BD16" s="101">
        <f t="shared" si="13"/>
        <v>7.3121448647548845E-3</v>
      </c>
      <c r="BE16" s="169"/>
      <c r="BF16" s="183" t="s">
        <v>364</v>
      </c>
      <c r="BG16" s="98">
        <f>IFERROR(VLOOKUP(BF16,'Pricing Trends'!$F:$I,4,FALSE),0)/BH5</f>
        <v>1.25</v>
      </c>
      <c r="BH16" s="99">
        <f t="shared" si="14"/>
        <v>8.6440584200044249E-3</v>
      </c>
      <c r="BI16" s="108" t="s">
        <v>365</v>
      </c>
      <c r="BJ16" s="98">
        <f>IFERROR(VLOOKUP(BI16,'Pricing Trends'!$F:$I,4,FALSE),0)/BK5</f>
        <v>2.7333333333333329</v>
      </c>
      <c r="BK16" s="99">
        <f t="shared" si="15"/>
        <v>9.824500867431538E-3</v>
      </c>
      <c r="BL16" s="183" t="s">
        <v>376</v>
      </c>
      <c r="BM16" s="98">
        <f>IFERROR(VLOOKUP(BL16,'Pricing Trends'!$F:$I,4,FALSE),0)/BN5</f>
        <v>4</v>
      </c>
      <c r="BN16" s="101">
        <f t="shared" si="16"/>
        <v>7.2538409087611888E-3</v>
      </c>
      <c r="BO16" s="169"/>
      <c r="BP16" s="183"/>
      <c r="BQ16" s="98">
        <f>IFERROR(VLOOKUP(BP16,'Pricing Trends'!$F:$I,4,FALSE),0)/BR5</f>
        <v>0</v>
      </c>
      <c r="BR16" s="101">
        <f t="shared" si="17"/>
        <v>0</v>
      </c>
      <c r="BS16" s="84"/>
      <c r="BT16" s="84"/>
      <c r="BU16" s="84"/>
      <c r="BV16" s="84"/>
      <c r="BW16" s="84"/>
      <c r="BX16" s="84"/>
      <c r="BY16" s="84"/>
      <c r="BZ16" s="84"/>
    </row>
    <row r="17" spans="1:78" x14ac:dyDescent="0.2">
      <c r="A17" s="84"/>
      <c r="B17" s="222"/>
      <c r="C17" s="228" t="str">
        <f>'Pricing Trends'!R23</f>
        <v>RBD PALM OLEIN (FOREIGN)</v>
      </c>
      <c r="D17" s="223">
        <f>'Pricing Trends'!U23</f>
        <v>60.65316</v>
      </c>
      <c r="E17" s="220" t="b">
        <v>1</v>
      </c>
      <c r="F17" s="84"/>
      <c r="G17" s="567" t="s">
        <v>87</v>
      </c>
      <c r="H17" s="568"/>
      <c r="I17" s="568"/>
      <c r="J17" s="569"/>
      <c r="K17" s="201"/>
      <c r="L17" s="182"/>
      <c r="M17" s="98">
        <f>((IFERROR(VLOOKUP($G$17,'Pricing Trends'!$W:$Z,4,FALSE),0)/10000)*200)/N5</f>
        <v>1.3888888888888888E-2</v>
      </c>
      <c r="N17" s="99">
        <f t="shared" si="2"/>
        <v>3.2233324858360358E-4</v>
      </c>
      <c r="O17" s="107"/>
      <c r="P17" s="98">
        <f>((IFERROR(VLOOKUP($G$17,'Pricing Trends'!$W:$Z,4,FALSE),0)/10000)*200)/Q5</f>
        <v>2.0833333333333332E-2</v>
      </c>
      <c r="Q17" s="99">
        <f t="shared" si="3"/>
        <v>3.4460811148313538E-4</v>
      </c>
      <c r="R17" s="107"/>
      <c r="S17" s="98">
        <f>((IFERROR(VLOOKUP($G$17,'Pricing Trends'!$W:$Z,4,FALSE),0)/10000)*200)/T5</f>
        <v>4.1666666666666664E-2</v>
      </c>
      <c r="T17" s="99">
        <f t="shared" si="4"/>
        <v>3.565511149834314E-4</v>
      </c>
      <c r="U17" s="107"/>
      <c r="V17" s="98">
        <f>((IFERROR(VLOOKUP($G$17,'Pricing Trends'!$W:$Z,4,FALSE),0)/10000)*200)/W5</f>
        <v>8.3333333333333329E-2</v>
      </c>
      <c r="W17" s="166">
        <f t="shared" si="5"/>
        <v>3.6837202607990609E-4</v>
      </c>
      <c r="X17" s="169"/>
      <c r="Y17" s="179"/>
      <c r="Z17" s="98">
        <f>((IFERROR(VLOOKUP($G$17,'Pricing Trends'!$W:$Z,4,FALSE),0)/10000)*200)/AA5</f>
        <v>1.0416666666666666E-2</v>
      </c>
      <c r="AA17" s="99">
        <f t="shared" si="6"/>
        <v>4.6486678873994166E-4</v>
      </c>
      <c r="AB17" s="107" t="s">
        <v>494</v>
      </c>
      <c r="AC17" s="98">
        <f>((IFERROR(VLOOKUP($G$17,'Pricing Trends'!$W:$Z,4,FALSE),0)/10000)*200)/AD5</f>
        <v>1.3888888888888888E-2</v>
      </c>
      <c r="AD17" s="166">
        <f t="shared" si="7"/>
        <v>3.8425823273145434E-4</v>
      </c>
      <c r="AE17" s="107" t="s">
        <v>494</v>
      </c>
      <c r="AF17" s="98">
        <f>((IFERROR(VLOOKUP($G$17,'Pricing Trends'!$W:$Z,4,FALSE),0)/10000)*200)/AG5</f>
        <v>2.0833333333333332E-2</v>
      </c>
      <c r="AG17" s="166">
        <f t="shared" si="8"/>
        <v>3.5608306784692836E-4</v>
      </c>
      <c r="AH17" s="107" t="s">
        <v>494</v>
      </c>
      <c r="AI17" s="98">
        <f>((IFERROR(VLOOKUP($G$17,'Pricing Trends'!$W:$Z,4,FALSE),0)/10000)*200)/AJ5</f>
        <v>4.1666666666666664E-2</v>
      </c>
      <c r="AJ17" s="166">
        <f t="shared" si="9"/>
        <v>3.6451594111207894E-4</v>
      </c>
      <c r="AK17" s="107" t="s">
        <v>494</v>
      </c>
      <c r="AL17" s="98">
        <f>((IFERROR(VLOOKUP($G$17,'Pricing Trends'!$W:$Z,4,FALSE),0)/10000)*200)/AM5</f>
        <v>8.3333333333333329E-2</v>
      </c>
      <c r="AM17" s="166">
        <f t="shared" si="10"/>
        <v>3.7450448159718331E-4</v>
      </c>
      <c r="AN17" s="234"/>
      <c r="AO17" s="182"/>
      <c r="AP17" s="98">
        <f>((IFERROR(VLOOKUP($G$17,'Pricing Trends'!$W:$Z,4,FALSE),0)/10000)*200)/AQ5</f>
        <v>0.125</v>
      </c>
      <c r="AQ17" s="99">
        <f t="shared" si="0"/>
        <v>2.7936634192169638E-4</v>
      </c>
      <c r="AR17" s="107"/>
      <c r="AS17" s="94">
        <v>0</v>
      </c>
      <c r="AT17" s="101">
        <f t="shared" si="1"/>
        <v>0</v>
      </c>
      <c r="AU17" s="169"/>
      <c r="AV17" s="182"/>
      <c r="AW17" s="98">
        <f>((IFERROR(VLOOKUP($G$17,'Pricing Trends'!$W:$Z,4,FALSE),0)/10000)*200)/AX5</f>
        <v>4.1666666666666664E-2</v>
      </c>
      <c r="AX17" s="99">
        <f t="shared" si="11"/>
        <v>2.965413770455539E-4</v>
      </c>
      <c r="AY17" s="107"/>
      <c r="AZ17" s="98">
        <f>((IFERROR(VLOOKUP($G$17,'Pricing Trends'!$W:$Z,4,FALSE),0)/10000)*200)/BA5</f>
        <v>8.3333333333333329E-2</v>
      </c>
      <c r="BA17" s="99">
        <f t="shared" si="12"/>
        <v>3.0191316172919509E-4</v>
      </c>
      <c r="BB17" s="107"/>
      <c r="BC17" s="98">
        <f>((IFERROR(VLOOKUP($G$17,'Pricing Trends'!$W:$Z,4,FALSE),0)/10000)*200)/BD5</f>
        <v>0.125</v>
      </c>
      <c r="BD17" s="101">
        <f t="shared" si="13"/>
        <v>2.2850452702359014E-4</v>
      </c>
      <c r="BE17" s="169"/>
      <c r="BF17" s="182" t="s">
        <v>495</v>
      </c>
      <c r="BG17" s="98">
        <f>((IFERROR(VLOOKUP($G$17,'Pricing Trends'!$W:$Z,4,FALSE),0)/10000)*200)/BH5</f>
        <v>4.1666666666666664E-2</v>
      </c>
      <c r="BH17" s="99">
        <f t="shared" si="14"/>
        <v>2.8813528066681419E-4</v>
      </c>
      <c r="BI17" s="107" t="s">
        <v>495</v>
      </c>
      <c r="BJ17" s="98">
        <f>((IFERROR(VLOOKUP($G$17,'Pricing Trends'!$W:$Z,4,FALSE),0)/10000)*200)/BK5</f>
        <v>8.3333333333333329E-2</v>
      </c>
      <c r="BK17" s="99">
        <f t="shared" si="15"/>
        <v>2.9952746547047375E-4</v>
      </c>
      <c r="BL17" s="182" t="s">
        <v>495</v>
      </c>
      <c r="BM17" s="98">
        <f>((IFERROR(VLOOKUP($G$17,'Pricing Trends'!$W:$Z,4,FALSE),0)/10000)*200)/BN5</f>
        <v>0.125</v>
      </c>
      <c r="BN17" s="101">
        <f t="shared" si="16"/>
        <v>2.2668252839878715E-4</v>
      </c>
      <c r="BO17" s="169"/>
      <c r="BP17" s="182"/>
      <c r="BQ17" s="98">
        <v>0</v>
      </c>
      <c r="BR17" s="101">
        <f t="shared" si="17"/>
        <v>0</v>
      </c>
      <c r="BS17" s="84"/>
      <c r="BT17" s="84"/>
      <c r="BU17" s="84"/>
      <c r="BV17" s="84"/>
      <c r="BW17" s="84"/>
      <c r="BX17" s="84"/>
      <c r="BY17" s="84"/>
      <c r="BZ17" s="84"/>
    </row>
    <row r="18" spans="1:78" x14ac:dyDescent="0.2">
      <c r="A18" s="84"/>
      <c r="B18" s="222"/>
      <c r="C18" s="228" t="str">
        <f>'Pricing Trends'!R24</f>
        <v>RBD PALM OLEIN (FOREIGN)</v>
      </c>
      <c r="D18" s="223">
        <f>'Pricing Trends'!U24</f>
        <v>60.97</v>
      </c>
      <c r="E18" s="220" t="b">
        <v>0</v>
      </c>
      <c r="F18" s="84"/>
      <c r="G18" s="567" t="s">
        <v>103</v>
      </c>
      <c r="H18" s="568"/>
      <c r="I18" s="568"/>
      <c r="J18" s="569"/>
      <c r="K18" s="201"/>
      <c r="L18" s="183" t="s">
        <v>103</v>
      </c>
      <c r="M18" s="98">
        <f>((40/3000)*7)</f>
        <v>9.3333333333333338E-2</v>
      </c>
      <c r="N18" s="99">
        <f t="shared" si="2"/>
        <v>2.1660794304818164E-3</v>
      </c>
      <c r="O18" s="108" t="s">
        <v>103</v>
      </c>
      <c r="P18" s="98">
        <f>((40/3000)*7)</f>
        <v>9.3333333333333338E-2</v>
      </c>
      <c r="Q18" s="99">
        <f t="shared" si="3"/>
        <v>1.5438443394444467E-3</v>
      </c>
      <c r="R18" s="108" t="s">
        <v>103</v>
      </c>
      <c r="S18" s="98">
        <f>((40/3000)*12)</f>
        <v>0.16</v>
      </c>
      <c r="T18" s="99">
        <f t="shared" si="4"/>
        <v>1.3691562815363767E-3</v>
      </c>
      <c r="U18" s="108" t="s">
        <v>496</v>
      </c>
      <c r="V18" s="94">
        <v>0</v>
      </c>
      <c r="W18" s="166">
        <f t="shared" si="5"/>
        <v>0</v>
      </c>
      <c r="X18" s="169"/>
      <c r="Y18" s="180"/>
      <c r="Z18" s="98">
        <v>0</v>
      </c>
      <c r="AA18" s="99">
        <f t="shared" si="6"/>
        <v>0</v>
      </c>
      <c r="AB18" s="108"/>
      <c r="AC18" s="98">
        <v>0</v>
      </c>
      <c r="AD18" s="166">
        <f t="shared" si="7"/>
        <v>0</v>
      </c>
      <c r="AE18" s="108"/>
      <c r="AF18" s="98">
        <v>0</v>
      </c>
      <c r="AG18" s="166">
        <f t="shared" si="8"/>
        <v>0</v>
      </c>
      <c r="AH18" s="108"/>
      <c r="AI18" s="98">
        <v>0</v>
      </c>
      <c r="AJ18" s="166">
        <f t="shared" si="9"/>
        <v>0</v>
      </c>
      <c r="AK18" s="108"/>
      <c r="AL18" s="98">
        <v>0</v>
      </c>
      <c r="AM18" s="166">
        <f t="shared" si="10"/>
        <v>0</v>
      </c>
      <c r="AN18" s="234"/>
      <c r="AO18" s="183"/>
      <c r="AP18" s="94">
        <f>IFERROR(VLOOKUP($AO$2&amp;$G18,Validation!E:O,11,FALSE),0)</f>
        <v>0</v>
      </c>
      <c r="AQ18" s="99">
        <f t="shared" si="0"/>
        <v>0</v>
      </c>
      <c r="AR18" s="108"/>
      <c r="AS18" s="94">
        <v>0</v>
      </c>
      <c r="AT18" s="101">
        <f t="shared" si="1"/>
        <v>0</v>
      </c>
      <c r="AU18" s="169"/>
      <c r="AV18" s="183"/>
      <c r="AW18" s="98">
        <v>0</v>
      </c>
      <c r="AX18" s="99">
        <f t="shared" si="11"/>
        <v>0</v>
      </c>
      <c r="AY18" s="108"/>
      <c r="AZ18" s="98">
        <v>0</v>
      </c>
      <c r="BA18" s="99">
        <f t="shared" si="12"/>
        <v>0</v>
      </c>
      <c r="BB18" s="108"/>
      <c r="BC18" s="98">
        <v>0</v>
      </c>
      <c r="BD18" s="101">
        <f t="shared" si="13"/>
        <v>0</v>
      </c>
      <c r="BE18" s="169"/>
      <c r="BF18" s="183"/>
      <c r="BG18" s="98">
        <v>0</v>
      </c>
      <c r="BH18" s="99">
        <f t="shared" si="14"/>
        <v>0</v>
      </c>
      <c r="BI18" s="108"/>
      <c r="BJ18" s="98">
        <v>0</v>
      </c>
      <c r="BK18" s="99">
        <f t="shared" si="15"/>
        <v>0</v>
      </c>
      <c r="BL18" s="183"/>
      <c r="BM18" s="98">
        <v>0</v>
      </c>
      <c r="BN18" s="101">
        <f t="shared" si="16"/>
        <v>0</v>
      </c>
      <c r="BO18" s="169"/>
      <c r="BP18" s="183"/>
      <c r="BQ18" s="98">
        <v>0</v>
      </c>
      <c r="BR18" s="101">
        <f t="shared" si="17"/>
        <v>0</v>
      </c>
      <c r="BS18" s="84"/>
      <c r="BT18" s="84"/>
      <c r="BU18" s="84"/>
      <c r="BV18" s="84"/>
      <c r="BW18" s="84"/>
      <c r="BX18" s="84"/>
      <c r="BY18" s="84"/>
      <c r="BZ18" s="84"/>
    </row>
    <row r="19" spans="1:78" s="74" customFormat="1" x14ac:dyDescent="0.2">
      <c r="A19" s="84"/>
      <c r="B19" s="222"/>
      <c r="C19" s="228" t="str">
        <f>'Pricing Trends'!R25</f>
        <v>RBD PALM OLEIN (FOREIGN)</v>
      </c>
      <c r="D19" s="223">
        <f>'Pricing Trends'!U25</f>
        <v>60.496870000000001</v>
      </c>
      <c r="E19" s="220" t="b">
        <v>0</v>
      </c>
      <c r="F19" s="84"/>
      <c r="G19" s="570" t="s">
        <v>112</v>
      </c>
      <c r="H19" s="571"/>
      <c r="I19" s="571"/>
      <c r="J19" s="572"/>
      <c r="K19" s="201"/>
      <c r="L19" s="389"/>
      <c r="M19" s="197">
        <f>SUM(M9:M18)</f>
        <v>25.791383777777781</v>
      </c>
      <c r="N19" s="195">
        <f>M19/M6</f>
        <v>0.59856627733614487</v>
      </c>
      <c r="O19" s="196"/>
      <c r="P19" s="197">
        <f>SUM(P9:P18)</f>
        <v>35.403246666666668</v>
      </c>
      <c r="Q19" s="195">
        <f>P19/P6</f>
        <v>0.58561180676023716</v>
      </c>
      <c r="R19" s="196"/>
      <c r="S19" s="197">
        <f>SUM(S9:S18)</f>
        <v>70.538159999999991</v>
      </c>
      <c r="T19" s="195">
        <f>S19/S6</f>
        <v>0.60361103032511232</v>
      </c>
      <c r="U19" s="196"/>
      <c r="V19" s="197">
        <f>SUM(V9:V18)</f>
        <v>142.65965333333335</v>
      </c>
      <c r="W19" s="198">
        <f>V19/V6</f>
        <v>0.63062190645908445</v>
      </c>
      <c r="X19" s="169"/>
      <c r="Y19" s="205"/>
      <c r="Z19" s="197">
        <f>SUM(Z9:Z18)</f>
        <v>13.548818799999999</v>
      </c>
      <c r="AA19" s="195">
        <f>Z19/Z6</f>
        <v>0.60464600513043365</v>
      </c>
      <c r="AB19" s="196"/>
      <c r="AC19" s="197">
        <f>SUM(AC9:AC18)</f>
        <v>21.504281333333331</v>
      </c>
      <c r="AD19" s="198">
        <f>AC19/AC6</f>
        <v>0.59495019417408013</v>
      </c>
      <c r="AE19" s="196"/>
      <c r="AF19" s="197">
        <f>SUM(AF9:AF18)</f>
        <v>31.26408</v>
      </c>
      <c r="AG19" s="198">
        <f>AF19/AF6</f>
        <v>0.53436525695096626</v>
      </c>
      <c r="AH19" s="196"/>
      <c r="AI19" s="197">
        <f>SUM(AI9:AI18)</f>
        <v>67.978160000000003</v>
      </c>
      <c r="AJ19" s="198">
        <f>AI19/AI6</f>
        <v>0.59469895121921956</v>
      </c>
      <c r="AK19" s="196"/>
      <c r="AL19" s="197">
        <f>SUM(AL9:AL18)</f>
        <v>132.05965333333333</v>
      </c>
      <c r="AM19" s="198">
        <f>AL19/AL6</f>
        <v>0.59348318413804491</v>
      </c>
      <c r="AN19" s="234"/>
      <c r="AO19" s="200"/>
      <c r="AP19" s="197">
        <f>SUM(AP9:AP18)</f>
        <v>43.604999999999997</v>
      </c>
      <c r="AQ19" s="195">
        <f>AP19/AP6</f>
        <v>9.7454154715964553E-2</v>
      </c>
      <c r="AR19" s="196"/>
      <c r="AS19" s="197">
        <f>SUM(AS9:AS18)</f>
        <v>0</v>
      </c>
      <c r="AT19" s="199">
        <f>AS19/AS6</f>
        <v>0</v>
      </c>
      <c r="AU19" s="169"/>
      <c r="AV19" s="200"/>
      <c r="AW19" s="197">
        <f>SUM(AW9:AW18)</f>
        <v>8.6116666666666664</v>
      </c>
      <c r="AX19" s="195">
        <f>AW19/AW6</f>
        <v>6.1289171807775079E-2</v>
      </c>
      <c r="AY19" s="196"/>
      <c r="AZ19" s="197">
        <f>SUM(AZ9:AZ18)</f>
        <v>21.966666666666669</v>
      </c>
      <c r="BA19" s="195">
        <f>AZ19/AZ6</f>
        <v>7.9584309431815839E-2</v>
      </c>
      <c r="BB19" s="196"/>
      <c r="BC19" s="197">
        <f>SUM(BC9:BC18)</f>
        <v>369.48516502541685</v>
      </c>
      <c r="BD19" s="199">
        <f>BC19/BC6</f>
        <v>0.67543226301092818</v>
      </c>
      <c r="BE19" s="169"/>
      <c r="BF19" s="200"/>
      <c r="BG19" s="197">
        <f>SUM(BG9:BG18)</f>
        <v>8.6116666666666664</v>
      </c>
      <c r="BH19" s="195">
        <f>BG19/BG6</f>
        <v>5.9551799808217155E-2</v>
      </c>
      <c r="BI19" s="196"/>
      <c r="BJ19" s="197">
        <f>SUM(BJ9:BJ18)</f>
        <v>22.866666666666667</v>
      </c>
      <c r="BK19" s="195">
        <f>BJ19/BJ6</f>
        <v>8.2190336525098009E-2</v>
      </c>
      <c r="BL19" s="200"/>
      <c r="BM19" s="197">
        <f>SUM(BM9:BM18)</f>
        <v>319.9204876</v>
      </c>
      <c r="BN19" s="199">
        <f>BM19/BM6</f>
        <v>0.58016308012592666</v>
      </c>
      <c r="BO19" s="169"/>
      <c r="BP19" s="200"/>
      <c r="BQ19" s="197">
        <f>SUM(BQ9:BQ18)</f>
        <v>1519.02</v>
      </c>
      <c r="BR19" s="199">
        <f>BQ19/BQ6</f>
        <v>1.2658499999999999</v>
      </c>
      <c r="BS19" s="84"/>
      <c r="BT19" s="84"/>
      <c r="BU19" s="84"/>
      <c r="BV19" s="84"/>
      <c r="BW19" s="84"/>
      <c r="BX19" s="84"/>
      <c r="BY19" s="84"/>
      <c r="BZ19" s="84"/>
    </row>
    <row r="20" spans="1:78" s="74" customFormat="1" x14ac:dyDescent="0.2">
      <c r="A20" s="84"/>
      <c r="B20" s="222"/>
      <c r="C20" s="228" t="str">
        <f>'Pricing Trends'!R26</f>
        <v>RBD PALM OLEIN (FOREIGN)</v>
      </c>
      <c r="D20" s="223">
        <f>'Pricing Trends'!U26</f>
        <v>57.513559999999998</v>
      </c>
      <c r="E20" s="220" t="b">
        <v>0</v>
      </c>
      <c r="F20" s="84"/>
      <c r="G20" s="558" t="s">
        <v>406</v>
      </c>
      <c r="H20" s="559"/>
      <c r="I20" s="559"/>
      <c r="J20" s="560"/>
      <c r="K20" s="201"/>
      <c r="L20" s="387"/>
      <c r="M20" s="96">
        <f>M6-M19</f>
        <v>17.29721769265516</v>
      </c>
      <c r="N20" s="97">
        <f>M20/M6</f>
        <v>0.40143372266385519</v>
      </c>
      <c r="O20" s="100"/>
      <c r="P20" s="96">
        <f>P6-P19</f>
        <v>25.05189829109468</v>
      </c>
      <c r="Q20" s="97">
        <f>P20/P6</f>
        <v>0.41438819323976278</v>
      </c>
      <c r="R20" s="100"/>
      <c r="S20" s="96">
        <f>S6-S19</f>
        <v>46.322129915522709</v>
      </c>
      <c r="T20" s="97">
        <f>S20/S6</f>
        <v>0.39638896967488768</v>
      </c>
      <c r="U20" s="100"/>
      <c r="V20" s="96">
        <f>V6-V19</f>
        <v>83.560926497712046</v>
      </c>
      <c r="W20" s="165">
        <f>V20/V6</f>
        <v>0.36937809354091555</v>
      </c>
      <c r="X20" s="169"/>
      <c r="Y20" s="203"/>
      <c r="Z20" s="96">
        <f>Z6-Z19</f>
        <v>8.8590341999999964</v>
      </c>
      <c r="AA20" s="97">
        <f>Z20/Z6</f>
        <v>0.39535399486956641</v>
      </c>
      <c r="AB20" s="100"/>
      <c r="AC20" s="96">
        <f>AC6-AC19</f>
        <v>14.640393538461502</v>
      </c>
      <c r="AD20" s="165">
        <f>AC20/AC6</f>
        <v>0.40504980582591987</v>
      </c>
      <c r="AE20" s="100"/>
      <c r="AF20" s="96">
        <f>AF6-AF19</f>
        <v>27.242867435897416</v>
      </c>
      <c r="AG20" s="165">
        <f>AF20/AF6</f>
        <v>0.46563474304903374</v>
      </c>
      <c r="AH20" s="100"/>
      <c r="AI20" s="96">
        <f>AI6-AI19</f>
        <v>46.32868358974379</v>
      </c>
      <c r="AJ20" s="165">
        <f>AI20/AI6</f>
        <v>0.40530104878078044</v>
      </c>
      <c r="AK20" s="100"/>
      <c r="AL20" s="96">
        <f>AL6-AL19</f>
        <v>90.456597948718326</v>
      </c>
      <c r="AM20" s="165">
        <f>AL20/AL6</f>
        <v>0.40651681586195509</v>
      </c>
      <c r="AN20" s="234"/>
      <c r="AO20" s="181"/>
      <c r="AP20" s="96">
        <f>AP6-AP19</f>
        <v>403.83615966209078</v>
      </c>
      <c r="AQ20" s="97">
        <f>AP20/AP6</f>
        <v>0.90254584528403536</v>
      </c>
      <c r="AR20" s="100"/>
      <c r="AS20" s="96">
        <f>AS6-AS19</f>
        <v>1400</v>
      </c>
      <c r="AT20" s="102">
        <f>AS20/AS6</f>
        <v>1</v>
      </c>
      <c r="AU20" s="169"/>
      <c r="AV20" s="181"/>
      <c r="AW20" s="96">
        <f>AW6-AW19</f>
        <v>131.89711184442098</v>
      </c>
      <c r="AX20" s="97">
        <f>AW20/AW6</f>
        <v>0.93871082819222484</v>
      </c>
      <c r="AY20" s="100"/>
      <c r="AZ20" s="96">
        <f>AZ6-AZ19</f>
        <v>254.05089035550859</v>
      </c>
      <c r="BA20" s="97">
        <f>AZ20/AZ6</f>
        <v>0.92041569056818417</v>
      </c>
      <c r="BB20" s="100"/>
      <c r="BC20" s="96">
        <f>BC6-BC19</f>
        <v>177.54994901893366</v>
      </c>
      <c r="BD20" s="102">
        <f>BC20/BC6</f>
        <v>0.32456773698907182</v>
      </c>
      <c r="BE20" s="169"/>
      <c r="BF20" s="181"/>
      <c r="BG20" s="96">
        <f>BG6-BG19</f>
        <v>135.99633333333333</v>
      </c>
      <c r="BH20" s="97">
        <f>BG20/BG6</f>
        <v>0.94044820019178277</v>
      </c>
      <c r="BI20" s="100"/>
      <c r="BJ20" s="96">
        <f>BJ6-BJ19</f>
        <v>255.34933333333333</v>
      </c>
      <c r="BK20" s="97">
        <f>BJ20/BJ6</f>
        <v>0.917809663474902</v>
      </c>
      <c r="BL20" s="181"/>
      <c r="BM20" s="96">
        <f>BM6-BM19</f>
        <v>231.51151240000002</v>
      </c>
      <c r="BN20" s="102">
        <f>BM20/BM6</f>
        <v>0.41983691987407334</v>
      </c>
      <c r="BO20" s="169"/>
      <c r="BP20" s="181"/>
      <c r="BQ20" s="96">
        <f>BQ6-BQ19</f>
        <v>-319.02</v>
      </c>
      <c r="BR20" s="102">
        <f>BQ20/BQ6</f>
        <v>-0.26584999999999998</v>
      </c>
      <c r="BS20" s="84"/>
      <c r="BT20" s="84"/>
      <c r="BU20" s="84"/>
      <c r="BV20" s="84"/>
      <c r="BW20" s="84"/>
      <c r="BX20" s="84"/>
      <c r="BY20" s="84"/>
      <c r="BZ20" s="84"/>
    </row>
    <row r="21" spans="1:78" s="74" customFormat="1" x14ac:dyDescent="0.2">
      <c r="A21" s="84"/>
      <c r="B21" s="222"/>
      <c r="C21" s="228" t="str">
        <f>'Pricing Trends'!R27</f>
        <v>RBD PALM OLEIN (FOREIGN)</v>
      </c>
      <c r="D21" s="223">
        <f>'Pricing Trends'!U27</f>
        <v>61.450510000000001</v>
      </c>
      <c r="E21" s="220" t="b">
        <v>0</v>
      </c>
      <c r="F21" s="84"/>
      <c r="G21" s="561" t="s">
        <v>407</v>
      </c>
      <c r="H21" s="562"/>
      <c r="I21" s="562"/>
      <c r="J21" s="563"/>
      <c r="K21" s="201"/>
      <c r="L21" s="388"/>
      <c r="M21" s="191">
        <f>M7-M19</f>
        <v>13.057299307964556</v>
      </c>
      <c r="N21" s="188">
        <f>M21/M7</f>
        <v>0.33610661342486153</v>
      </c>
      <c r="O21" s="189"/>
      <c r="P21" s="191">
        <f>P7-P19</f>
        <v>19.103112027250965</v>
      </c>
      <c r="Q21" s="188">
        <f>P21/P7</f>
        <v>0.35047492595359669</v>
      </c>
      <c r="R21" s="189"/>
      <c r="S21" s="191">
        <f>S7-S19</f>
        <v>34.823077387835269</v>
      </c>
      <c r="T21" s="188">
        <f>S21/S7</f>
        <v>0.33051127958616638</v>
      </c>
      <c r="U21" s="189"/>
      <c r="V21" s="191">
        <f>V7-V19</f>
        <v>61.300821442337167</v>
      </c>
      <c r="W21" s="192">
        <f>V21/V7</f>
        <v>0.30055245512523904</v>
      </c>
      <c r="X21" s="169"/>
      <c r="Y21" s="204"/>
      <c r="Z21" s="191">
        <f>Z7-Z19</f>
        <v>6.6541014647999965</v>
      </c>
      <c r="AA21" s="188">
        <f>Z21/Z7</f>
        <v>0.32936334834690151</v>
      </c>
      <c r="AB21" s="189"/>
      <c r="AC21" s="191">
        <f>AC7-AC19</f>
        <v>11.083757531076891</v>
      </c>
      <c r="AD21" s="192">
        <f>AC21/AC7</f>
        <v>0.34011735340053223</v>
      </c>
      <c r="AE21" s="189"/>
      <c r="AF21" s="191">
        <f>AF7-AF19</f>
        <v>21.485783808205113</v>
      </c>
      <c r="AG21" s="192">
        <f>AF21/AF7</f>
        <v>0.40731448874116433</v>
      </c>
      <c r="AH21" s="189"/>
      <c r="AI21" s="191">
        <f>AI7-AI19</f>
        <v>35.080890180513009</v>
      </c>
      <c r="AJ21" s="192">
        <f>AI21/AI7</f>
        <v>0.3403960168376004</v>
      </c>
      <c r="AK21" s="189"/>
      <c r="AL21" s="191">
        <f>AL7-AL19</f>
        <v>68.560998822564471</v>
      </c>
      <c r="AM21" s="192">
        <f>AL21/AL7</f>
        <v>0.34174447189657853</v>
      </c>
      <c r="AN21" s="234"/>
      <c r="AO21" s="190"/>
      <c r="AP21" s="191">
        <f>AP7-AP19</f>
        <v>359.8079495513411</v>
      </c>
      <c r="AQ21" s="188">
        <f>AP21/AP7</f>
        <v>0.89190976628664087</v>
      </c>
      <c r="AR21" s="189"/>
      <c r="AS21" s="191">
        <f>AS7-AS19</f>
        <v>1400</v>
      </c>
      <c r="AT21" s="193">
        <f>AS21/AS7</f>
        <v>1</v>
      </c>
      <c r="AU21" s="169"/>
      <c r="AV21" s="190"/>
      <c r="AW21" s="191">
        <f>AW7-AW19</f>
        <v>118.07104803892997</v>
      </c>
      <c r="AX21" s="188">
        <f>AW21/AW7</f>
        <v>0.9320217703995396</v>
      </c>
      <c r="AY21" s="189"/>
      <c r="AZ21" s="191">
        <f>AZ7-AZ19</f>
        <v>226.89076274452654</v>
      </c>
      <c r="BA21" s="188">
        <f>AZ21/AZ7</f>
        <v>0.9117299141173294</v>
      </c>
      <c r="BB21" s="189"/>
      <c r="BC21" s="191">
        <f>BC7-BC19</f>
        <v>123.72169379696959</v>
      </c>
      <c r="BD21" s="193">
        <f>BC21/BC7</f>
        <v>0.2508515272727061</v>
      </c>
      <c r="BE21" s="169"/>
      <c r="BF21" s="190"/>
      <c r="BG21" s="191">
        <f>BG7-BG19</f>
        <v>121.76690613333334</v>
      </c>
      <c r="BH21" s="188">
        <f>BG21/BG7</f>
        <v>0.93394875797668908</v>
      </c>
      <c r="BI21" s="189"/>
      <c r="BJ21" s="191">
        <f>BJ7-BJ19</f>
        <v>227.97287893333336</v>
      </c>
      <c r="BK21" s="188">
        <f>BJ21/BJ7</f>
        <v>0.90883946703072538</v>
      </c>
      <c r="BL21" s="190"/>
      <c r="BM21" s="191">
        <f>BM7-BM19</f>
        <v>177.25060360000003</v>
      </c>
      <c r="BN21" s="193">
        <f>BM21/BM7</f>
        <v>0.35651832284169627</v>
      </c>
      <c r="BO21" s="169"/>
      <c r="BP21" s="190"/>
      <c r="BQ21" s="191">
        <f>BQ7-BQ19</f>
        <v>-379.02</v>
      </c>
      <c r="BR21" s="193">
        <f>BQ21/BQ7</f>
        <v>-0.33247368421052631</v>
      </c>
      <c r="BS21" s="84"/>
      <c r="BT21" s="84"/>
      <c r="BU21" s="84"/>
      <c r="BV21" s="84"/>
      <c r="BW21" s="84"/>
      <c r="BX21" s="84"/>
      <c r="BY21" s="84"/>
      <c r="BZ21" s="84"/>
    </row>
    <row r="22" spans="1:78" x14ac:dyDescent="0.2">
      <c r="A22" s="84"/>
      <c r="B22" s="222"/>
      <c r="C22" s="228" t="str">
        <f>'Pricing Trends'!R28</f>
        <v>RBD PALM OLEIN (FOREIGN)</v>
      </c>
      <c r="D22" s="223">
        <f>'Pricing Trends'!U28</f>
        <v>63.352640000000001</v>
      </c>
      <c r="E22" s="220" t="b">
        <v>0</v>
      </c>
      <c r="F22" s="84"/>
      <c r="G22" s="549" t="s">
        <v>497</v>
      </c>
      <c r="H22" s="550"/>
      <c r="I22" s="550"/>
      <c r="J22" s="551"/>
      <c r="K22" s="201"/>
      <c r="L22" s="384"/>
      <c r="M22" s="214">
        <f>M8-M19</f>
        <v>10.833927472090217</v>
      </c>
      <c r="N22" s="215">
        <f>M22/M8</f>
        <v>0.29580437960453548</v>
      </c>
      <c r="O22" s="216"/>
      <c r="P22" s="214">
        <f>P8-P19</f>
        <v>15.983626547430475</v>
      </c>
      <c r="Q22" s="215">
        <f>P22/P8</f>
        <v>0.31104493322325028</v>
      </c>
      <c r="R22" s="216"/>
      <c r="S22" s="214">
        <f>S8-S19</f>
        <v>28.7930864281943</v>
      </c>
      <c r="T22" s="215">
        <f>S22/S8</f>
        <v>0.28986937608810309</v>
      </c>
      <c r="U22" s="216"/>
      <c r="V22" s="214">
        <f>V8-V19</f>
        <v>49.627839523055229</v>
      </c>
      <c r="W22" s="215">
        <f>V22/V8</f>
        <v>0.25809187475401829</v>
      </c>
      <c r="X22" s="169"/>
      <c r="Y22" s="213"/>
      <c r="Z22" s="214">
        <f>Z8-Z19</f>
        <v>5.4978562499999981</v>
      </c>
      <c r="AA22" s="215">
        <f>Z22/Z8</f>
        <v>0.28865175867007814</v>
      </c>
      <c r="AB22" s="216"/>
      <c r="AC22" s="214">
        <f>AC8-AC19</f>
        <v>9.218692307692276</v>
      </c>
      <c r="AD22" s="215">
        <f>AC22/AC8</f>
        <v>0.30005859508931748</v>
      </c>
      <c r="AE22" s="216"/>
      <c r="AF22" s="214">
        <f>AF8-AF19</f>
        <v>18.466825320512804</v>
      </c>
      <c r="AG22" s="215">
        <f>AF22/AF8</f>
        <v>0.3713349918223926</v>
      </c>
      <c r="AH22" s="216"/>
      <c r="AI22" s="214">
        <f>AI8-AI19</f>
        <v>29.18265705128222</v>
      </c>
      <c r="AJ22" s="215">
        <f>AI22/AI8</f>
        <v>0.30035417503621231</v>
      </c>
      <c r="AK22" s="216"/>
      <c r="AL22" s="214">
        <f>AL8-AL19</f>
        <v>57.079160256410574</v>
      </c>
      <c r="AM22" s="215">
        <f>AL22/AL8</f>
        <v>0.30178448924935897</v>
      </c>
      <c r="AN22" s="234"/>
      <c r="AO22" s="217"/>
      <c r="AP22" s="214">
        <f>AP8-AP19</f>
        <v>336.71998571277715</v>
      </c>
      <c r="AQ22" s="215">
        <f>AP22/AP8</f>
        <v>0.88534805327533572</v>
      </c>
      <c r="AR22" s="216"/>
      <c r="AS22" s="214">
        <f>AS8-AS19</f>
        <v>1190</v>
      </c>
      <c r="AT22" s="218">
        <f>AS22/AS8</f>
        <v>1</v>
      </c>
      <c r="AU22" s="169"/>
      <c r="AV22" s="217"/>
      <c r="AW22" s="214">
        <f>AW8-AW19</f>
        <v>110.82079506775784</v>
      </c>
      <c r="AX22" s="215">
        <f>AW22/AW8</f>
        <v>0.92789509199085285</v>
      </c>
      <c r="AY22" s="216"/>
      <c r="AZ22" s="214">
        <f>AZ8-AZ19</f>
        <v>212.64825680218229</v>
      </c>
      <c r="BA22" s="215">
        <f>AZ22/AZ8</f>
        <v>0.9063714006684519</v>
      </c>
      <c r="BB22" s="216"/>
      <c r="BC22" s="214">
        <f>BC8-BC19</f>
        <v>95.494681912281067</v>
      </c>
      <c r="BD22" s="218">
        <f>BC22/BC8</f>
        <v>0.20537380822243739</v>
      </c>
      <c r="BE22" s="169"/>
      <c r="BF22" s="217"/>
      <c r="BG22" s="214">
        <f>BG8-BG19</f>
        <v>114.30513333333333</v>
      </c>
      <c r="BH22" s="215">
        <f>BG22/BG8</f>
        <v>0.9299390590491563</v>
      </c>
      <c r="BI22" s="216"/>
      <c r="BJ22" s="214">
        <f>BJ8-BJ19</f>
        <v>213.61693333333332</v>
      </c>
      <c r="BK22" s="215">
        <f>BJ22/BJ8</f>
        <v>0.90330548644106112</v>
      </c>
      <c r="BL22" s="217"/>
      <c r="BM22" s="214">
        <f>BM8-BM19</f>
        <v>148.79671239999999</v>
      </c>
      <c r="BN22" s="218">
        <f>BM22/BM8</f>
        <v>0.31745519985185094</v>
      </c>
      <c r="BO22" s="169"/>
      <c r="BP22" s="217"/>
      <c r="BQ22" s="214">
        <f>BQ8-BQ19</f>
        <v>-499.02</v>
      </c>
      <c r="BR22" s="215">
        <f>BQ22/BQ8</f>
        <v>-0.48923529411764705</v>
      </c>
      <c r="BS22" s="84"/>
      <c r="BT22" s="84"/>
      <c r="BU22" s="84"/>
      <c r="BV22" s="84"/>
      <c r="BW22" s="84"/>
      <c r="BX22" s="84"/>
      <c r="BY22" s="84"/>
      <c r="BZ22" s="84"/>
    </row>
    <row r="23" spans="1:78" s="212" customFormat="1" x14ac:dyDescent="0.2">
      <c r="A23" s="210"/>
      <c r="B23" s="222"/>
      <c r="C23" s="228" t="str">
        <f>'Pricing Trends'!R29</f>
        <v>RBD PALM OLEIN (FOREIGN)</v>
      </c>
      <c r="D23" s="223">
        <f>'Pricing Trends'!U29</f>
        <v>56.635750000000002</v>
      </c>
      <c r="E23" s="220" t="b">
        <v>0</v>
      </c>
      <c r="F23" s="210"/>
      <c r="G23" s="570" t="s">
        <v>408</v>
      </c>
      <c r="H23" s="571"/>
      <c r="I23" s="571"/>
      <c r="J23" s="572"/>
      <c r="K23" s="169"/>
      <c r="L23" s="389"/>
      <c r="M23" s="197" t="e">
        <f>SUM(M24:M33)</f>
        <v>#REF!</v>
      </c>
      <c r="N23" s="195" t="e">
        <f>M23/M6</f>
        <v>#REF!</v>
      </c>
      <c r="O23" s="196"/>
      <c r="P23" s="197" t="e">
        <f>SUM(P24:P33)</f>
        <v>#REF!</v>
      </c>
      <c r="Q23" s="195" t="e">
        <f>P23/P6</f>
        <v>#REF!</v>
      </c>
      <c r="R23" s="196"/>
      <c r="S23" s="197" t="e">
        <f>SUM(S24:S33)</f>
        <v>#REF!</v>
      </c>
      <c r="T23" s="195" t="e">
        <f>S23/S6</f>
        <v>#REF!</v>
      </c>
      <c r="U23" s="196"/>
      <c r="V23" s="197" t="e">
        <f>SUM(V24:V33)</f>
        <v>#REF!</v>
      </c>
      <c r="W23" s="198" t="e">
        <f>V23/V6</f>
        <v>#REF!</v>
      </c>
      <c r="X23" s="169"/>
      <c r="Y23" s="205"/>
      <c r="Z23" s="197" t="e">
        <f>SUM(Z24:Z33)</f>
        <v>#REF!</v>
      </c>
      <c r="AA23" s="195" t="e">
        <f>Z23/Z6</f>
        <v>#REF!</v>
      </c>
      <c r="AB23" s="196"/>
      <c r="AC23" s="197" t="e">
        <f>SUM(AC24:AC33)</f>
        <v>#REF!</v>
      </c>
      <c r="AD23" s="198" t="e">
        <f>AC23/AC6</f>
        <v>#REF!</v>
      </c>
      <c r="AE23" s="196"/>
      <c r="AF23" s="197" t="e">
        <f>SUM(AF24:AF33)</f>
        <v>#REF!</v>
      </c>
      <c r="AG23" s="198" t="e">
        <f>AF23/AF6</f>
        <v>#REF!</v>
      </c>
      <c r="AH23" s="196"/>
      <c r="AI23" s="197" t="e">
        <f>SUM(AI24:AI33)</f>
        <v>#REF!</v>
      </c>
      <c r="AJ23" s="198" t="e">
        <f>AI23/AI6</f>
        <v>#REF!</v>
      </c>
      <c r="AK23" s="196"/>
      <c r="AL23" s="197" t="e">
        <f>SUM(AL24:AL33)</f>
        <v>#REF!</v>
      </c>
      <c r="AM23" s="198" t="e">
        <f>AL23/AL6</f>
        <v>#REF!</v>
      </c>
      <c r="AN23" s="234"/>
      <c r="AO23" s="200"/>
      <c r="AP23" s="197" t="e">
        <f>SUM(AP24:AP33)</f>
        <v>#REF!</v>
      </c>
      <c r="AQ23" s="195" t="e">
        <f>AP23/AP6</f>
        <v>#REF!</v>
      </c>
      <c r="AR23" s="196"/>
      <c r="AS23" s="197" t="e">
        <f>SUM(AS24:AS33)</f>
        <v>#REF!</v>
      </c>
      <c r="AT23" s="199" t="e">
        <f>AS23/AS6</f>
        <v>#REF!</v>
      </c>
      <c r="AU23" s="169"/>
      <c r="AV23" s="200"/>
      <c r="AW23" s="197" t="e">
        <f>SUM(AW24:AW33)</f>
        <v>#REF!</v>
      </c>
      <c r="AX23" s="195" t="e">
        <f>AW23/AW6</f>
        <v>#REF!</v>
      </c>
      <c r="AY23" s="196"/>
      <c r="AZ23" s="197" t="e">
        <f>SUM(AZ24:AZ33)</f>
        <v>#REF!</v>
      </c>
      <c r="BA23" s="195" t="e">
        <f>AZ23/AZ6</f>
        <v>#REF!</v>
      </c>
      <c r="BB23" s="196"/>
      <c r="BC23" s="197" t="e">
        <f>SUM(BC24:BC33)</f>
        <v>#REF!</v>
      </c>
      <c r="BD23" s="199" t="e">
        <f>BC23/BC6</f>
        <v>#REF!</v>
      </c>
      <c r="BE23" s="211"/>
      <c r="BF23" s="200"/>
      <c r="BG23" s="197" t="e">
        <f>SUM(BG24:BG33)</f>
        <v>#REF!</v>
      </c>
      <c r="BH23" s="195" t="e">
        <f>BG23/BG6</f>
        <v>#REF!</v>
      </c>
      <c r="BI23" s="196"/>
      <c r="BJ23" s="197" t="e">
        <f>SUM(BJ24:BJ33)</f>
        <v>#REF!</v>
      </c>
      <c r="BK23" s="195" t="e">
        <f>BJ23/BJ6</f>
        <v>#REF!</v>
      </c>
      <c r="BL23" s="200"/>
      <c r="BM23" s="197" t="e">
        <f>SUM(BM24:BM33)</f>
        <v>#REF!</v>
      </c>
      <c r="BN23" s="199" t="e">
        <f>BM23/BM6</f>
        <v>#REF!</v>
      </c>
      <c r="BO23" s="211"/>
      <c r="BP23" s="200"/>
      <c r="BQ23" s="197" t="e">
        <f>SUM(BQ24:BQ33)</f>
        <v>#REF!</v>
      </c>
      <c r="BR23" s="199" t="e">
        <f>BQ23/BQ6</f>
        <v>#REF!</v>
      </c>
      <c r="BS23" s="210"/>
      <c r="BT23" s="210"/>
      <c r="BU23" s="210"/>
      <c r="BV23" s="210"/>
      <c r="BW23" s="210"/>
      <c r="BX23" s="210"/>
      <c r="BY23" s="210"/>
      <c r="BZ23" s="210"/>
    </row>
    <row r="24" spans="1:78" x14ac:dyDescent="0.2">
      <c r="A24" s="84"/>
      <c r="B24" s="222"/>
      <c r="C24" s="228">
        <f>'Pricing Trends'!R30</f>
        <v>0</v>
      </c>
      <c r="D24" s="223">
        <f>'Pricing Trends'!U30</f>
        <v>0</v>
      </c>
      <c r="E24" s="220" t="b">
        <v>1</v>
      </c>
      <c r="F24" s="84"/>
      <c r="G24" s="555" t="s">
        <v>409</v>
      </c>
      <c r="H24" s="556"/>
      <c r="I24" s="556"/>
      <c r="J24" s="557"/>
      <c r="K24" s="201"/>
      <c r="L24" s="386"/>
      <c r="M24" s="94">
        <f>S24*0.35</f>
        <v>2.1867980533951088</v>
      </c>
      <c r="N24" s="99">
        <f>M24/M$6</f>
        <v>5.0751195879394514E-2</v>
      </c>
      <c r="O24" s="95"/>
      <c r="P24" s="94">
        <f>S24*0.5</f>
        <v>3.12399721913587</v>
      </c>
      <c r="Q24" s="99">
        <f>P24/P$6</f>
        <v>5.1674629534318985E-2</v>
      </c>
      <c r="R24" s="95"/>
      <c r="S24" s="94">
        <f>((IFERROR(VLOOKUP(L2&amp;"RBD SOYA BEAN OIL",Validation!E:F,2,FALSE),0)*SOYA!BM35)+(IFERROR(VLOOKUP(L2&amp;"RBD PALM OLEIN (FOREIGN)",Validation!E:F,2,FALSE),0)*PALM!J35)+(IFERROR(VLOOKUP(L2&amp;"RBD CANOLA OIL",Validation!E:F,2,FALSE),0)*CANOLA!J35))</f>
        <v>6.2479944382717401</v>
      </c>
      <c r="T24" s="99">
        <f>S24/S$6</f>
        <v>5.3465505201025616E-2</v>
      </c>
      <c r="U24" s="95"/>
      <c r="V24" s="94">
        <f>S24*2</f>
        <v>12.49598887654348</v>
      </c>
      <c r="W24" s="166">
        <f>V24/V$6</f>
        <v>5.5238072883891494E-2</v>
      </c>
      <c r="X24" s="169"/>
      <c r="Y24" s="206"/>
      <c r="Z24" s="94">
        <f>$S24*0.18</f>
        <v>1.1246389988889132</v>
      </c>
      <c r="AA24" s="99">
        <f>Z24/Z$6</f>
        <v>5.018950271089842E-2</v>
      </c>
      <c r="AB24" s="95"/>
      <c r="AC24" s="94">
        <f>$S24*0.3</f>
        <v>1.874398331481522</v>
      </c>
      <c r="AD24" s="166">
        <f>AC24/AC$6</f>
        <v>5.1858215300871098E-2</v>
      </c>
      <c r="AE24" s="95"/>
      <c r="AF24" s="94">
        <f>$S24*0.5</f>
        <v>3.12399721913587</v>
      </c>
      <c r="AG24" s="166">
        <f>AF24/AF$6</f>
        <v>5.3395320659288335E-2</v>
      </c>
      <c r="AH24" s="95"/>
      <c r="AI24" s="94">
        <f>$S24</f>
        <v>6.2479944382717401</v>
      </c>
      <c r="AJ24" s="166">
        <f>AI24/AI$6</f>
        <v>5.4659845745511804E-2</v>
      </c>
      <c r="AK24" s="95"/>
      <c r="AL24" s="94">
        <f>$S24*2</f>
        <v>12.49598887654348</v>
      </c>
      <c r="AM24" s="166">
        <f>AL24/AL$6</f>
        <v>5.6157646035049025E-2</v>
      </c>
      <c r="AN24" s="234"/>
      <c r="AO24" s="184"/>
      <c r="AP24" s="94">
        <f>((IFERROR(VLOOKUP(AO2&amp;"RBD SOYA BEAN OIL",Validation!E:F,2,FALSE),0)*SOYA!BM35)+(IFERROR(VLOOKUP(AO2&amp;"RBD PALM OLEIN (FOREIGN)",Validation!E:F,2,FALSE),0)*PALM!J35)+(IFERROR(VLOOKUP(AO2&amp;"RBD CANOLA OIL",Validation!E:F,2,FALSE),0)*CANOLA!J35))*AQ5</f>
        <v>0</v>
      </c>
      <c r="AQ24" s="99">
        <f t="shared" ref="AQ24:AQ33" si="18">AP24/AP$6</f>
        <v>0</v>
      </c>
      <c r="AR24" s="95"/>
      <c r="AS24" s="94">
        <f>((IFERROR(VLOOKUP(AO2&amp;"RBD SOYA BEAN OIL",Validation!E:F,2,FALSE),0)*SOYA!BM35)+(IFERROR(VLOOKUP(AO2&amp;"RBD PALM OLEIN (FOREIGN)",Validation!E:F,2,FALSE),0)*PALM!J35)+(IFERROR(VLOOKUP(AO2&amp;"RBD CANOLA OIL",Validation!E:F,2,FALSE),0)*CANOLA!J35))*15.66*1.1364</f>
        <v>0</v>
      </c>
      <c r="AT24" s="101">
        <f t="shared" ref="AT24:AT33" si="19">AS24/AS$6</f>
        <v>0</v>
      </c>
      <c r="AU24" s="169"/>
      <c r="AV24" s="184"/>
      <c r="AW24" s="94">
        <f>((IFERROR(VLOOKUP(AV2&amp;"RBD SOYA BEAN OIL",Validation!E:F,2,FALSE),0)*SOYA!BM35+(IFERROR(VLOOKUP(AV2&amp;"RBD PALM OLEIN (FOREIGN)",Validation!E:F,2,FALSE),0)*PALM!J35)+(IFERROR(VLOOKUP(AV2&amp;"RBD CANOLA OIL",Validation!E:F,2,FALSE),0)*CANOLA!J35)))</f>
        <v>0</v>
      </c>
      <c r="AX24" s="99">
        <f>AW24/AW$6</f>
        <v>0</v>
      </c>
      <c r="AY24" s="95"/>
      <c r="AZ24" s="94">
        <f>AW24*2</f>
        <v>0</v>
      </c>
      <c r="BA24" s="99">
        <f>AZ24/AZ$6</f>
        <v>0</v>
      </c>
      <c r="BB24" s="95"/>
      <c r="BC24" s="94">
        <f>((IFERROR(VLOOKUP(BB2&amp;"RBD SOYA BEAN OIL",Validation!E:F,2,FALSE),0)*SOYA!BM35)+(IFERROR(VLOOKUP(BB2&amp;"RBD PALM OLEIN (FOREIGN)",Validation!E:F,2,FALSE),0)*PALM!J35)+(IFERROR(VLOOKUP(BB2&amp;"RBD CANOLA OIL",Validation!E:F,2,FALSE),0)*CANOLA!J35))*BD5</f>
        <v>16.336195198234257</v>
      </c>
      <c r="BD24" s="101">
        <f>BC24/BC$6</f>
        <v>2.9863156457100505E-2</v>
      </c>
      <c r="BE24" s="169"/>
      <c r="BF24" s="184"/>
      <c r="BG24" s="94">
        <f>((IFERROR(VLOOKUP(BF2&amp;"RBD SOYA BEAN OIL",Validation!E:F,2,FALSE),0)*SOYA!BM35)+(IFERROR(VLOOKUP(BF2&amp;"RBD PALM OLEIN (FOREIGN)",Validation!E:F,2,FALSE),0)*PALM!J35)+(IFERROR(VLOOKUP(BF2&amp;"RBD CANOLA OIL",Validation!E:F,2,FALSE),0)*CANOLA!J35))</f>
        <v>0</v>
      </c>
      <c r="BH24" s="99">
        <f>BG24/BG$6</f>
        <v>0</v>
      </c>
      <c r="BI24" s="95"/>
      <c r="BJ24" s="94">
        <f>BG24*2</f>
        <v>0</v>
      </c>
      <c r="BK24" s="99">
        <f>BJ24/BJ$6</f>
        <v>0</v>
      </c>
      <c r="BL24" s="184"/>
      <c r="BM24" s="94">
        <f>BG24*4</f>
        <v>0</v>
      </c>
      <c r="BN24" s="101">
        <f>BM24/BM$6</f>
        <v>0</v>
      </c>
      <c r="BO24" s="169"/>
      <c r="BP24" s="184"/>
      <c r="BQ24" s="94">
        <f>((IFERROR(VLOOKUP(BP2&amp;"RBD SOYA BEAN OIL",Validation!E:F,2,FALSE),0)*SOYA!BB35)+(IFERROR(VLOOKUP(BP2&amp;"RBD PALM OLEIN (FOREIGN)",Validation!E:F,2,FALSE),0)*PALM!J35)+(IFERROR(VLOOKUP(BP2&amp;"RBD CANOLA OIL",Validation!E:F,2,FALSE),0)*CANOLA!J35))*16*1.1364</f>
        <v>0</v>
      </c>
      <c r="BR24" s="101">
        <f>BQ24/BQ$6</f>
        <v>0</v>
      </c>
      <c r="BS24" s="84"/>
      <c r="BT24" s="84"/>
      <c r="BU24" s="84"/>
      <c r="BV24" s="84"/>
      <c r="BW24" s="84"/>
      <c r="BX24" s="84"/>
      <c r="BY24" s="84"/>
      <c r="BZ24" s="84"/>
    </row>
    <row r="25" spans="1:78" x14ac:dyDescent="0.2">
      <c r="A25" s="84"/>
      <c r="B25" s="222"/>
      <c r="C25" s="228" t="str">
        <f>'Pricing Trends'!R31</f>
        <v>RBD CANOLA OIL</v>
      </c>
      <c r="D25" s="223">
        <f>'Pricing Trends'!U31</f>
        <v>73.180847</v>
      </c>
      <c r="E25" s="220" t="b">
        <v>0</v>
      </c>
      <c r="F25" s="84"/>
      <c r="G25" s="555" t="s">
        <v>410</v>
      </c>
      <c r="H25" s="556"/>
      <c r="I25" s="556"/>
      <c r="J25" s="557"/>
      <c r="K25" s="201"/>
      <c r="L25" s="386"/>
      <c r="M25" s="94" t="e">
        <f>S25*0.35</f>
        <v>#REF!</v>
      </c>
      <c r="N25" s="99" t="e">
        <f t="shared" ref="N25:N33" si="20">M25/M$6</f>
        <v>#REF!</v>
      </c>
      <c r="O25" s="95"/>
      <c r="P25" s="94" t="e">
        <f>S25*0.5</f>
        <v>#REF!</v>
      </c>
      <c r="Q25" s="99" t="e">
        <f t="shared" ref="Q25:Q33" si="21">P25/P$6</f>
        <v>#REF!</v>
      </c>
      <c r="R25" s="95"/>
      <c r="S25" s="94" t="e">
        <f>IFERROR(VLOOKUP(L2&amp;"RBD PALM OLEIN (LOCAL)",Validation!E:F,2,FALSE),0)*'Delivery Cost'!#REF!</f>
        <v>#REF!</v>
      </c>
      <c r="T25" s="99" t="e">
        <f t="shared" ref="T25:T33" si="22">S25/S$6</f>
        <v>#REF!</v>
      </c>
      <c r="U25" s="95"/>
      <c r="V25" s="94" t="e">
        <f>S25*2</f>
        <v>#REF!</v>
      </c>
      <c r="W25" s="166" t="e">
        <f t="shared" ref="W25:W33" si="23">V25/V$6</f>
        <v>#REF!</v>
      </c>
      <c r="X25" s="169"/>
      <c r="Y25" s="206"/>
      <c r="Z25" s="94" t="e">
        <f>$S25*0.18</f>
        <v>#REF!</v>
      </c>
      <c r="AA25" s="99" t="e">
        <f t="shared" ref="AA25:AA33" si="24">Z25/Z$6</f>
        <v>#REF!</v>
      </c>
      <c r="AB25" s="95"/>
      <c r="AC25" s="94" t="e">
        <f>$S25*0.3</f>
        <v>#REF!</v>
      </c>
      <c r="AD25" s="166" t="e">
        <f t="shared" ref="AD25:AD33" si="25">AC25/AC$6</f>
        <v>#REF!</v>
      </c>
      <c r="AE25" s="95"/>
      <c r="AF25" s="94" t="e">
        <f>$S25*0.5</f>
        <v>#REF!</v>
      </c>
      <c r="AG25" s="166" t="e">
        <f t="shared" ref="AG25:AG33" si="26">AF25/AF$6</f>
        <v>#REF!</v>
      </c>
      <c r="AH25" s="95"/>
      <c r="AI25" s="94" t="e">
        <f>$S25</f>
        <v>#REF!</v>
      </c>
      <c r="AJ25" s="166" t="e">
        <f t="shared" ref="AJ25:AJ33" si="27">AI25/AI$6</f>
        <v>#REF!</v>
      </c>
      <c r="AK25" s="95"/>
      <c r="AL25" s="94" t="e">
        <f>$S25*2</f>
        <v>#REF!</v>
      </c>
      <c r="AM25" s="166" t="e">
        <f t="shared" ref="AM25:AM33" si="28">AL25/AL$6</f>
        <v>#REF!</v>
      </c>
      <c r="AN25" s="234"/>
      <c r="AO25" s="184"/>
      <c r="AP25" s="94" t="e">
        <f>IFERROR(VLOOKUP(AO2&amp;"RBD PALM OLEIN (LOCAL)",Validation!E:F,2,FALSE),0)*'Delivery Cost'!#REF!*AQ5</f>
        <v>#REF!</v>
      </c>
      <c r="AQ25" s="99" t="e">
        <f t="shared" si="18"/>
        <v>#REF!</v>
      </c>
      <c r="AR25" s="95"/>
      <c r="AS25" s="94" t="e">
        <f>IFERROR(VLOOKUP(AO2&amp;"RBD PALM OLEIN (LOCAL)",Validation!E:F,2,FALSE),0)*'Delivery Cost'!#REF!*15.66*1.1364</f>
        <v>#REF!</v>
      </c>
      <c r="AT25" s="101" t="e">
        <f t="shared" si="19"/>
        <v>#REF!</v>
      </c>
      <c r="AU25" s="169"/>
      <c r="AV25" s="184"/>
      <c r="AW25" s="94" t="e">
        <f>IFERROR(VLOOKUP(AV2&amp;"RBD PALM OLEIN (LOCAL)",Validation!E:F,2,FALSE),0)*'Delivery Cost'!#REF!</f>
        <v>#REF!</v>
      </c>
      <c r="AX25" s="99" t="e">
        <f t="shared" ref="AX25:AX33" si="29">AW25/AW$6</f>
        <v>#REF!</v>
      </c>
      <c r="AY25" s="95"/>
      <c r="AZ25" s="94" t="e">
        <f>AW25*2</f>
        <v>#REF!</v>
      </c>
      <c r="BA25" s="99" t="e">
        <f t="shared" ref="BA25:BA33" si="30">AZ25/AZ$6</f>
        <v>#REF!</v>
      </c>
      <c r="BB25" s="95"/>
      <c r="BC25" s="94" t="e">
        <f>IFERROR(VLOOKUP(BB2&amp;"RBD PALM OLEIN (LOCAL)",Validation!E:F,2,FALSE),0)*'Delivery Cost'!#REF!*BD5</f>
        <v>#REF!</v>
      </c>
      <c r="BD25" s="101" t="e">
        <f t="shared" ref="BD25:BD33" si="31">BC25/BC$6</f>
        <v>#REF!</v>
      </c>
      <c r="BE25" s="169"/>
      <c r="BF25" s="184"/>
      <c r="BG25" s="94" t="e">
        <f>IFERROR(VLOOKUP(BF2&amp;"RBD PALM OLEIN (LOCAL)",Validation!E:F,2,FALSE),0)*'Delivery Cost'!#REF!</f>
        <v>#REF!</v>
      </c>
      <c r="BH25" s="99" t="e">
        <f t="shared" ref="BH25:BH33" si="32">BG25/BG$6</f>
        <v>#REF!</v>
      </c>
      <c r="BI25" s="95"/>
      <c r="BJ25" s="94" t="e">
        <f>BG25*2</f>
        <v>#REF!</v>
      </c>
      <c r="BK25" s="99" t="e">
        <f t="shared" ref="BK25:BK33" si="33">BJ25/BJ$6</f>
        <v>#REF!</v>
      </c>
      <c r="BL25" s="184"/>
      <c r="BM25" s="94" t="e">
        <f>BG25*4</f>
        <v>#REF!</v>
      </c>
      <c r="BN25" s="101" t="e">
        <f t="shared" ref="BN25:BN33" si="34">BM25/BM$6</f>
        <v>#REF!</v>
      </c>
      <c r="BO25" s="169"/>
      <c r="BP25" s="184"/>
      <c r="BQ25" s="94" t="e">
        <f>IFERROR(VLOOKUP(BP2&amp;"RBD PALM OLEIN (LOCAL)",Validation!E:F,2,FALSE),0)*'Delivery Cost'!#REF!</f>
        <v>#REF!</v>
      </c>
      <c r="BR25" s="101" t="e">
        <f t="shared" ref="BR25:BR33" si="35">BQ25/BQ$6</f>
        <v>#REF!</v>
      </c>
      <c r="BS25" s="84"/>
      <c r="BT25" s="84"/>
      <c r="BU25" s="84"/>
      <c r="BV25" s="84"/>
      <c r="BW25" s="84"/>
      <c r="BX25" s="84"/>
      <c r="BY25" s="84"/>
      <c r="BZ25" s="84"/>
    </row>
    <row r="26" spans="1:78" x14ac:dyDescent="0.2">
      <c r="A26" s="84"/>
      <c r="B26" s="222"/>
      <c r="C26" s="228" t="str">
        <f>'Pricing Trends'!R32</f>
        <v>RBD CANOLA OIL</v>
      </c>
      <c r="D26" s="223">
        <f>'Pricing Trends'!U32</f>
        <v>80.463780999999997</v>
      </c>
      <c r="E26" s="220" t="b">
        <v>0</v>
      </c>
      <c r="F26" s="84"/>
      <c r="G26" s="555" t="s">
        <v>411</v>
      </c>
      <c r="H26" s="556"/>
      <c r="I26" s="556"/>
      <c r="J26" s="557"/>
      <c r="K26" s="201"/>
      <c r="L26" s="386"/>
      <c r="M26" s="94">
        <f>S26*0.35</f>
        <v>1.7972871077741563</v>
      </c>
      <c r="N26" s="99">
        <f t="shared" si="20"/>
        <v>4.1711428230211664E-2</v>
      </c>
      <c r="O26" s="95"/>
      <c r="P26" s="94">
        <f>S26*0.5</f>
        <v>2.5675530111059377</v>
      </c>
      <c r="Q26" s="99">
        <f t="shared" si="21"/>
        <v>4.2470380525922641E-2</v>
      </c>
      <c r="R26" s="95"/>
      <c r="S26" s="94">
        <f>'Delivery Cost'!C15</f>
        <v>5.1351060222118754</v>
      </c>
      <c r="T26" s="99">
        <f t="shared" si="22"/>
        <v>4.394226666666666E-2</v>
      </c>
      <c r="U26" s="95"/>
      <c r="V26" s="94">
        <f>S26*2</f>
        <v>10.270212044423751</v>
      </c>
      <c r="W26" s="166">
        <f t="shared" si="23"/>
        <v>4.5399105828895579E-2</v>
      </c>
      <c r="X26" s="169"/>
      <c r="Y26" s="206"/>
      <c r="Z26" s="94">
        <f>$S26*0.18</f>
        <v>0.92431908399813756</v>
      </c>
      <c r="AA26" s="99">
        <f t="shared" si="24"/>
        <v>4.1249783457528826E-2</v>
      </c>
      <c r="AB26" s="95"/>
      <c r="AC26" s="94">
        <f>$S26*0.3</f>
        <v>1.5405318066635625</v>
      </c>
      <c r="AD26" s="166">
        <f t="shared" si="25"/>
        <v>4.262126612364972E-2</v>
      </c>
      <c r="AE26" s="95"/>
      <c r="AF26" s="94">
        <f>$S26*0.5</f>
        <v>2.5675530111059377</v>
      </c>
      <c r="AG26" s="166">
        <f t="shared" si="26"/>
        <v>4.3884583346602606E-2</v>
      </c>
      <c r="AH26" s="95"/>
      <c r="AI26" s="94">
        <f>$S26</f>
        <v>5.1351060222118754</v>
      </c>
      <c r="AJ26" s="166">
        <f t="shared" si="27"/>
        <v>4.492387210552478E-2</v>
      </c>
      <c r="AK26" s="95"/>
      <c r="AL26" s="94">
        <f>$S26*2</f>
        <v>10.270212044423751</v>
      </c>
      <c r="AM26" s="166">
        <f t="shared" si="28"/>
        <v>4.6154885251080781E-2</v>
      </c>
      <c r="AN26" s="234"/>
      <c r="AO26" s="184"/>
      <c r="AP26" s="94">
        <f>S26*4</f>
        <v>20.540424088847502</v>
      </c>
      <c r="AQ26" s="99">
        <f t="shared" si="18"/>
        <v>4.5906425113772957E-2</v>
      </c>
      <c r="AR26" s="95"/>
      <c r="AS26" s="94">
        <v>20</v>
      </c>
      <c r="AT26" s="101">
        <f t="shared" si="19"/>
        <v>1.4285714285714285E-2</v>
      </c>
      <c r="AU26" s="169"/>
      <c r="AV26" s="184"/>
      <c r="AW26" s="94">
        <f>S26</f>
        <v>5.1351060222118754</v>
      </c>
      <c r="AX26" s="99">
        <f t="shared" si="29"/>
        <v>3.6546513866439027E-2</v>
      </c>
      <c r="AY26" s="95"/>
      <c r="AZ26" s="94">
        <f>AW26*2</f>
        <v>10.270212044423751</v>
      </c>
      <c r="BA26" s="99">
        <f t="shared" si="30"/>
        <v>3.7208546279534828E-2</v>
      </c>
      <c r="BB26" s="95"/>
      <c r="BC26" s="94">
        <f>AW26*4</f>
        <v>20.540424088847502</v>
      </c>
      <c r="BD26" s="101">
        <f t="shared" si="31"/>
        <v>3.7548639130288448E-2</v>
      </c>
      <c r="BE26" s="169"/>
      <c r="BF26" s="184"/>
      <c r="BG26" s="94">
        <f>AW26</f>
        <v>5.1351060222118754</v>
      </c>
      <c r="BH26" s="99">
        <f t="shared" si="32"/>
        <v>3.5510525159132798E-2</v>
      </c>
      <c r="BI26" s="95"/>
      <c r="BJ26" s="94">
        <f>BG26*2</f>
        <v>10.270212044423751</v>
      </c>
      <c r="BK26" s="99">
        <f t="shared" si="33"/>
        <v>3.6914527002126947E-2</v>
      </c>
      <c r="BL26" s="184"/>
      <c r="BM26" s="94">
        <f>BG26*4</f>
        <v>20.540424088847502</v>
      </c>
      <c r="BN26" s="101">
        <f t="shared" si="34"/>
        <v>3.7249242134746445E-2</v>
      </c>
      <c r="BO26" s="169"/>
      <c r="BP26" s="184"/>
      <c r="BQ26" s="94">
        <v>20</v>
      </c>
      <c r="BR26" s="101">
        <f t="shared" si="35"/>
        <v>1.6666666666666666E-2</v>
      </c>
      <c r="BS26" s="84"/>
      <c r="BT26" s="84"/>
      <c r="BU26" s="84"/>
      <c r="BV26" s="84"/>
      <c r="BW26" s="84"/>
      <c r="BX26" s="84"/>
      <c r="BY26" s="84"/>
      <c r="BZ26" s="84"/>
    </row>
    <row r="27" spans="1:78" x14ac:dyDescent="0.2">
      <c r="A27" s="84"/>
      <c r="B27" s="222"/>
      <c r="C27" s="228">
        <f>'Pricing Trends'!R33</f>
        <v>0</v>
      </c>
      <c r="D27" s="223">
        <f>'Pricing Trends'!U33</f>
        <v>0</v>
      </c>
      <c r="E27" s="220" t="b">
        <v>0</v>
      </c>
      <c r="F27" s="84"/>
      <c r="G27" s="555" t="s">
        <v>412</v>
      </c>
      <c r="H27" s="556"/>
      <c r="I27" s="556"/>
      <c r="J27" s="557"/>
      <c r="K27" s="201"/>
      <c r="L27" s="386"/>
      <c r="M27" s="94">
        <v>0.2</v>
      </c>
      <c r="N27" s="99">
        <f t="shared" si="20"/>
        <v>4.6415987796038921E-3</v>
      </c>
      <c r="O27" s="95"/>
      <c r="P27" s="94">
        <v>0.2</v>
      </c>
      <c r="Q27" s="99">
        <f t="shared" si="21"/>
        <v>3.3082378702380998E-3</v>
      </c>
      <c r="R27" s="95"/>
      <c r="S27" s="94">
        <v>0.2</v>
      </c>
      <c r="T27" s="99">
        <f t="shared" si="22"/>
        <v>1.7114453519204709E-3</v>
      </c>
      <c r="U27" s="95"/>
      <c r="V27" s="94">
        <v>0.2</v>
      </c>
      <c r="W27" s="166">
        <f t="shared" si="23"/>
        <v>8.8409286259177465E-4</v>
      </c>
      <c r="X27" s="169"/>
      <c r="Y27" s="206"/>
      <c r="Z27" s="94"/>
      <c r="AA27" s="99">
        <f t="shared" si="24"/>
        <v>0</v>
      </c>
      <c r="AB27" s="95"/>
      <c r="AC27" s="94"/>
      <c r="AD27" s="166">
        <f t="shared" si="25"/>
        <v>0</v>
      </c>
      <c r="AE27" s="95"/>
      <c r="AF27" s="94"/>
      <c r="AG27" s="166">
        <f t="shared" si="26"/>
        <v>0</v>
      </c>
      <c r="AH27" s="95"/>
      <c r="AI27" s="94"/>
      <c r="AJ27" s="166">
        <f t="shared" si="27"/>
        <v>0</v>
      </c>
      <c r="AK27" s="95"/>
      <c r="AL27" s="94"/>
      <c r="AM27" s="166">
        <f t="shared" si="28"/>
        <v>0</v>
      </c>
      <c r="AN27" s="234"/>
      <c r="AO27" s="184"/>
      <c r="AP27" s="94">
        <v>0.2</v>
      </c>
      <c r="AQ27" s="99">
        <f t="shared" si="18"/>
        <v>4.4698614707471424E-4</v>
      </c>
      <c r="AR27" s="95"/>
      <c r="AS27" s="94">
        <v>0</v>
      </c>
      <c r="AT27" s="101">
        <f t="shared" si="19"/>
        <v>0</v>
      </c>
      <c r="AU27" s="169"/>
      <c r="AV27" s="184"/>
      <c r="AW27" s="94">
        <v>0.2</v>
      </c>
      <c r="AX27" s="99">
        <f t="shared" si="29"/>
        <v>1.4233986098186589E-3</v>
      </c>
      <c r="AY27" s="95"/>
      <c r="AZ27" s="94">
        <v>0.2</v>
      </c>
      <c r="BA27" s="99">
        <f t="shared" si="30"/>
        <v>7.2459158815006838E-4</v>
      </c>
      <c r="BB27" s="95"/>
      <c r="BC27" s="94">
        <v>0.2</v>
      </c>
      <c r="BD27" s="101">
        <f t="shared" si="31"/>
        <v>3.6560724323774423E-4</v>
      </c>
      <c r="BE27" s="169"/>
      <c r="BF27" s="184"/>
      <c r="BG27" s="94">
        <v>0.2</v>
      </c>
      <c r="BH27" s="99">
        <f t="shared" si="32"/>
        <v>1.3830493472007082E-3</v>
      </c>
      <c r="BI27" s="95"/>
      <c r="BJ27" s="94">
        <v>0.2</v>
      </c>
      <c r="BK27" s="99">
        <f t="shared" si="33"/>
        <v>7.1886591712913713E-4</v>
      </c>
      <c r="BL27" s="184"/>
      <c r="BM27" s="94">
        <v>0.2</v>
      </c>
      <c r="BN27" s="101">
        <f t="shared" si="34"/>
        <v>3.6269204543805947E-4</v>
      </c>
      <c r="BO27" s="169"/>
      <c r="BP27" s="184"/>
      <c r="BQ27" s="94">
        <f>AS27</f>
        <v>0</v>
      </c>
      <c r="BR27" s="101">
        <f t="shared" si="35"/>
        <v>0</v>
      </c>
      <c r="BS27" s="84"/>
      <c r="BT27" s="84"/>
      <c r="BU27" s="84"/>
      <c r="BV27" s="84"/>
      <c r="BW27" s="84"/>
      <c r="BX27" s="84"/>
      <c r="BY27" s="84"/>
      <c r="BZ27" s="84"/>
    </row>
    <row r="28" spans="1:78" x14ac:dyDescent="0.2">
      <c r="A28" s="84"/>
      <c r="B28" s="222"/>
      <c r="C28" s="228">
        <f>'Pricing Trends'!R34</f>
        <v>0</v>
      </c>
      <c r="D28" s="223">
        <f>'Pricing Trends'!U34</f>
        <v>0</v>
      </c>
      <c r="E28" s="220" t="b">
        <v>0</v>
      </c>
      <c r="F28" s="84"/>
      <c r="G28" s="555" t="s">
        <v>413</v>
      </c>
      <c r="H28" s="556"/>
      <c r="I28" s="556"/>
      <c r="J28" s="557"/>
      <c r="K28" s="201"/>
      <c r="L28" s="386"/>
      <c r="M28" s="94">
        <f>0.4*0.35</f>
        <v>0.13999999999999999</v>
      </c>
      <c r="N28" s="99">
        <f t="shared" si="20"/>
        <v>3.2491191457227238E-3</v>
      </c>
      <c r="O28" s="95"/>
      <c r="P28" s="94">
        <f>0.4*0.5</f>
        <v>0.2</v>
      </c>
      <c r="Q28" s="99">
        <f t="shared" si="21"/>
        <v>3.3082378702380998E-3</v>
      </c>
      <c r="R28" s="95"/>
      <c r="S28" s="94">
        <v>0.4</v>
      </c>
      <c r="T28" s="99">
        <f t="shared" si="22"/>
        <v>3.4228907038409417E-3</v>
      </c>
      <c r="U28" s="95"/>
      <c r="V28" s="94">
        <f>S28*2</f>
        <v>0.8</v>
      </c>
      <c r="W28" s="166">
        <f t="shared" si="23"/>
        <v>3.5363714503670986E-3</v>
      </c>
      <c r="X28" s="169"/>
      <c r="Y28" s="206"/>
      <c r="Z28" s="94">
        <f>$S28*0.18</f>
        <v>7.1999999999999995E-2</v>
      </c>
      <c r="AA28" s="99">
        <f t="shared" si="24"/>
        <v>3.2131592437704766E-3</v>
      </c>
      <c r="AB28" s="95"/>
      <c r="AC28" s="94">
        <f>$S28*0.3</f>
        <v>0.12</v>
      </c>
      <c r="AD28" s="166">
        <f t="shared" si="25"/>
        <v>3.3199911307997656E-3</v>
      </c>
      <c r="AE28" s="95"/>
      <c r="AF28" s="94">
        <f>$S28*0.5</f>
        <v>0.2</v>
      </c>
      <c r="AG28" s="166">
        <f t="shared" si="26"/>
        <v>3.418397451330513E-3</v>
      </c>
      <c r="AH28" s="95"/>
      <c r="AI28" s="94">
        <f>$S28</f>
        <v>0.4</v>
      </c>
      <c r="AJ28" s="166">
        <f t="shared" si="27"/>
        <v>3.499353034675958E-3</v>
      </c>
      <c r="AK28" s="95"/>
      <c r="AL28" s="94">
        <f>$S28*2</f>
        <v>0.8</v>
      </c>
      <c r="AM28" s="166">
        <f t="shared" si="28"/>
        <v>3.5952430233329603E-3</v>
      </c>
      <c r="AN28" s="234"/>
      <c r="AO28" s="184"/>
      <c r="AP28" s="94">
        <f>S28*4</f>
        <v>1.6</v>
      </c>
      <c r="AQ28" s="99">
        <f t="shared" si="18"/>
        <v>3.5758891765977139E-3</v>
      </c>
      <c r="AR28" s="95"/>
      <c r="AS28" s="94">
        <f>0.4*15.66*1.1364</f>
        <v>7.1184096000000006</v>
      </c>
      <c r="AT28" s="101">
        <f t="shared" si="19"/>
        <v>5.0845782857142858E-3</v>
      </c>
      <c r="AU28" s="169"/>
      <c r="AV28" s="184"/>
      <c r="AW28" s="94">
        <v>0.4</v>
      </c>
      <c r="AX28" s="99">
        <f t="shared" si="29"/>
        <v>2.8467972196373178E-3</v>
      </c>
      <c r="AY28" s="95"/>
      <c r="AZ28" s="94">
        <f>AW28*2</f>
        <v>0.8</v>
      </c>
      <c r="BA28" s="99">
        <f t="shared" si="30"/>
        <v>2.8983663526002735E-3</v>
      </c>
      <c r="BB28" s="95"/>
      <c r="BC28" s="94">
        <f>AW28*4</f>
        <v>1.6</v>
      </c>
      <c r="BD28" s="101">
        <f t="shared" si="31"/>
        <v>2.9248579459019539E-3</v>
      </c>
      <c r="BE28" s="169"/>
      <c r="BF28" s="184"/>
      <c r="BG28" s="94">
        <v>0.4</v>
      </c>
      <c r="BH28" s="99">
        <f t="shared" si="32"/>
        <v>2.7660986944014164E-3</v>
      </c>
      <c r="BI28" s="95"/>
      <c r="BJ28" s="94">
        <f>BG28*2</f>
        <v>0.8</v>
      </c>
      <c r="BK28" s="99">
        <f t="shared" si="33"/>
        <v>2.8754636685165485E-3</v>
      </c>
      <c r="BL28" s="184"/>
      <c r="BM28" s="94">
        <f>BG28*4</f>
        <v>1.6</v>
      </c>
      <c r="BN28" s="101">
        <f t="shared" si="34"/>
        <v>2.9015363635044758E-3</v>
      </c>
      <c r="BO28" s="169"/>
      <c r="BP28" s="184"/>
      <c r="BQ28" s="94">
        <f>AS28</f>
        <v>7.1184096000000006</v>
      </c>
      <c r="BR28" s="101">
        <f t="shared" si="35"/>
        <v>5.9320080000000008E-3</v>
      </c>
      <c r="BS28" s="84"/>
      <c r="BT28" s="84"/>
      <c r="BU28" s="84"/>
      <c r="BV28" s="84"/>
      <c r="BW28" s="84"/>
      <c r="BX28" s="84"/>
      <c r="BY28" s="84"/>
      <c r="BZ28" s="84"/>
    </row>
    <row r="29" spans="1:78" x14ac:dyDescent="0.2">
      <c r="A29" s="84"/>
      <c r="B29" s="222"/>
      <c r="C29" s="228">
        <f>'Pricing Trends'!R35</f>
        <v>0</v>
      </c>
      <c r="D29" s="223">
        <f>'Pricing Trends'!U35</f>
        <v>0</v>
      </c>
      <c r="E29" s="220" t="b">
        <v>0</v>
      </c>
      <c r="F29" s="84"/>
      <c r="G29" s="564" t="s">
        <v>34</v>
      </c>
      <c r="H29" s="565"/>
      <c r="I29" s="565"/>
      <c r="J29" s="566"/>
      <c r="K29" s="201"/>
      <c r="L29" s="386"/>
      <c r="M29" s="94">
        <f>S29*0.35</f>
        <v>1.1339999999999999</v>
      </c>
      <c r="N29" s="99">
        <f t="shared" si="20"/>
        <v>2.6317865080354063E-2</v>
      </c>
      <c r="O29" s="95"/>
      <c r="P29" s="94">
        <f>S29*0.5</f>
        <v>1.62</v>
      </c>
      <c r="Q29" s="99">
        <f t="shared" si="21"/>
        <v>2.679672674892861E-2</v>
      </c>
      <c r="R29" s="95"/>
      <c r="S29" s="94">
        <v>3.24</v>
      </c>
      <c r="T29" s="99">
        <f t="shared" si="22"/>
        <v>2.7725414701111631E-2</v>
      </c>
      <c r="U29" s="95"/>
      <c r="V29" s="94">
        <f>S29*2</f>
        <v>6.48</v>
      </c>
      <c r="W29" s="166">
        <f t="shared" si="23"/>
        <v>2.8644608747973501E-2</v>
      </c>
      <c r="X29" s="169"/>
      <c r="Y29" s="206"/>
      <c r="Z29" s="94">
        <f>$S29*0.18</f>
        <v>0.58320000000000005</v>
      </c>
      <c r="AA29" s="99">
        <f t="shared" si="24"/>
        <v>2.6026589874540866E-2</v>
      </c>
      <c r="AB29" s="95"/>
      <c r="AC29" s="94">
        <f>$S29*0.3</f>
        <v>0.97199999999999998</v>
      </c>
      <c r="AD29" s="166">
        <f t="shared" si="25"/>
        <v>2.68919281594781E-2</v>
      </c>
      <c r="AE29" s="95"/>
      <c r="AF29" s="94">
        <f>$S29*0.5</f>
        <v>1.62</v>
      </c>
      <c r="AG29" s="166">
        <f t="shared" si="26"/>
        <v>2.7689019355777153E-2</v>
      </c>
      <c r="AH29" s="95"/>
      <c r="AI29" s="94">
        <f>$S29</f>
        <v>3.24</v>
      </c>
      <c r="AJ29" s="166">
        <f t="shared" si="27"/>
        <v>2.8344759580875262E-2</v>
      </c>
      <c r="AK29" s="95"/>
      <c r="AL29" s="94">
        <f>$S29*2</f>
        <v>6.48</v>
      </c>
      <c r="AM29" s="166">
        <f t="shared" si="28"/>
        <v>2.9121468488996976E-2</v>
      </c>
      <c r="AN29" s="234"/>
      <c r="AO29" s="184"/>
      <c r="AP29" s="94">
        <f>S29*4</f>
        <v>12.96</v>
      </c>
      <c r="AQ29" s="99">
        <f t="shared" si="18"/>
        <v>2.8964702330441482E-2</v>
      </c>
      <c r="AR29" s="95"/>
      <c r="AS29" s="94">
        <f>S29*15.66*1.1364</f>
        <v>57.659117760000008</v>
      </c>
      <c r="AT29" s="101">
        <f t="shared" si="19"/>
        <v>4.1185084114285717E-2</v>
      </c>
      <c r="AU29" s="169"/>
      <c r="AV29" s="184"/>
      <c r="AW29" s="94">
        <f>S29</f>
        <v>3.24</v>
      </c>
      <c r="AX29" s="99">
        <f>AW29/AW$6</f>
        <v>2.3059057479062273E-2</v>
      </c>
      <c r="AY29" s="95"/>
      <c r="AZ29" s="94">
        <f>AW29*2</f>
        <v>6.48</v>
      </c>
      <c r="BA29" s="99">
        <f t="shared" si="30"/>
        <v>2.3476767456062215E-2</v>
      </c>
      <c r="BB29" s="95"/>
      <c r="BC29" s="94">
        <f>AW29*4</f>
        <v>12.96</v>
      </c>
      <c r="BD29" s="101">
        <f t="shared" si="31"/>
        <v>2.3691349361805825E-2</v>
      </c>
      <c r="BE29" s="169"/>
      <c r="BF29" s="184"/>
      <c r="BG29" s="94">
        <f>AW29</f>
        <v>3.24</v>
      </c>
      <c r="BH29" s="99">
        <f>BG29/BG$6</f>
        <v>2.2405399424651473E-2</v>
      </c>
      <c r="BI29" s="95"/>
      <c r="BJ29" s="94">
        <f>BG29*2</f>
        <v>6.48</v>
      </c>
      <c r="BK29" s="99">
        <f t="shared" si="33"/>
        <v>2.3291255714984041E-2</v>
      </c>
      <c r="BL29" s="184"/>
      <c r="BM29" s="94">
        <f>BG29*4</f>
        <v>12.96</v>
      </c>
      <c r="BN29" s="101">
        <f t="shared" si="34"/>
        <v>2.3502444544386252E-2</v>
      </c>
      <c r="BO29" s="169"/>
      <c r="BP29" s="184"/>
      <c r="BQ29" s="94">
        <f>AS29</f>
        <v>57.659117760000008</v>
      </c>
      <c r="BR29" s="101">
        <f t="shared" si="35"/>
        <v>4.8049264800000005E-2</v>
      </c>
      <c r="BS29" s="84"/>
      <c r="BT29" s="84"/>
      <c r="BU29" s="84"/>
      <c r="BV29" s="84"/>
      <c r="BW29" s="84"/>
      <c r="BX29" s="84"/>
      <c r="BY29" s="84"/>
      <c r="BZ29" s="84"/>
    </row>
    <row r="30" spans="1:78" x14ac:dyDescent="0.2">
      <c r="A30" s="84"/>
      <c r="B30" s="222"/>
      <c r="C30" s="228">
        <f>'Pricing Trends'!R36</f>
        <v>0</v>
      </c>
      <c r="D30" s="223">
        <f>'Pricing Trends'!U36</f>
        <v>0</v>
      </c>
      <c r="E30" s="220" t="b">
        <v>0</v>
      </c>
      <c r="F30" s="84"/>
      <c r="G30" s="555" t="s">
        <v>414</v>
      </c>
      <c r="H30" s="556"/>
      <c r="I30" s="556"/>
      <c r="J30" s="557"/>
      <c r="K30" s="201"/>
      <c r="L30" s="386"/>
      <c r="M30" s="94">
        <f>S30*0.35</f>
        <v>1.75</v>
      </c>
      <c r="N30" s="99">
        <f t="shared" si="20"/>
        <v>4.0613989321534053E-2</v>
      </c>
      <c r="O30" s="95"/>
      <c r="P30" s="94">
        <f>S30*0.5</f>
        <v>2.5</v>
      </c>
      <c r="Q30" s="99">
        <f t="shared" si="21"/>
        <v>4.1352973377976249E-2</v>
      </c>
      <c r="R30" s="95"/>
      <c r="S30" s="94">
        <v>5</v>
      </c>
      <c r="T30" s="99">
        <f>S30/S$6</f>
        <v>4.2786133798011772E-2</v>
      </c>
      <c r="U30" s="95"/>
      <c r="V30" s="94">
        <f>S30*2</f>
        <v>10</v>
      </c>
      <c r="W30" s="166">
        <f t="shared" si="23"/>
        <v>4.420464312958873E-2</v>
      </c>
      <c r="X30" s="169"/>
      <c r="Y30" s="206"/>
      <c r="Z30" s="94">
        <f>AI30*0.18</f>
        <v>0.89999999999999991</v>
      </c>
      <c r="AA30" s="99">
        <f t="shared" si="24"/>
        <v>4.0164490547130956E-2</v>
      </c>
      <c r="AB30" s="95"/>
      <c r="AC30" s="94">
        <f>AI30*0.3</f>
        <v>1.5</v>
      </c>
      <c r="AD30" s="166">
        <f t="shared" si="25"/>
        <v>4.1499889134997067E-2</v>
      </c>
      <c r="AE30" s="95"/>
      <c r="AF30" s="94">
        <f>AI30*0.5</f>
        <v>2.5</v>
      </c>
      <c r="AG30" s="166">
        <f t="shared" si="26"/>
        <v>4.2729968141631408E-2</v>
      </c>
      <c r="AH30" s="95"/>
      <c r="AI30" s="94">
        <f>S30</f>
        <v>5</v>
      </c>
      <c r="AJ30" s="166">
        <f t="shared" si="27"/>
        <v>4.3741912933449471E-2</v>
      </c>
      <c r="AK30" s="95"/>
      <c r="AL30" s="94">
        <f>AI30*2</f>
        <v>10</v>
      </c>
      <c r="AM30" s="166">
        <f t="shared" si="28"/>
        <v>4.4940537791661996E-2</v>
      </c>
      <c r="AN30" s="234"/>
      <c r="AO30" s="184"/>
      <c r="AP30" s="94">
        <f>S30*4</f>
        <v>20</v>
      </c>
      <c r="AQ30" s="99">
        <f t="shared" si="18"/>
        <v>4.4698614707471419E-2</v>
      </c>
      <c r="AR30" s="95"/>
      <c r="AS30" s="94">
        <v>0</v>
      </c>
      <c r="AT30" s="101">
        <f t="shared" si="19"/>
        <v>0</v>
      </c>
      <c r="AU30" s="169"/>
      <c r="AV30" s="184"/>
      <c r="AW30" s="94">
        <f>S30</f>
        <v>5</v>
      </c>
      <c r="AX30" s="99">
        <f t="shared" si="29"/>
        <v>3.558496524546647E-2</v>
      </c>
      <c r="AY30" s="95"/>
      <c r="AZ30" s="94">
        <f>AW30*2</f>
        <v>10</v>
      </c>
      <c r="BA30" s="99">
        <f t="shared" si="30"/>
        <v>3.6229579407503418E-2</v>
      </c>
      <c r="BB30" s="95"/>
      <c r="BC30" s="94">
        <f>AW30*4</f>
        <v>20</v>
      </c>
      <c r="BD30" s="101">
        <f t="shared" si="31"/>
        <v>3.656072432377442E-2</v>
      </c>
      <c r="BE30" s="169"/>
      <c r="BF30" s="184"/>
      <c r="BG30" s="94">
        <f>AW30</f>
        <v>5</v>
      </c>
      <c r="BH30" s="99">
        <f t="shared" si="32"/>
        <v>3.45762336800177E-2</v>
      </c>
      <c r="BI30" s="95"/>
      <c r="BJ30" s="94">
        <f>BG30*2</f>
        <v>10</v>
      </c>
      <c r="BK30" s="99">
        <f t="shared" si="33"/>
        <v>3.594329585645685E-2</v>
      </c>
      <c r="BL30" s="184"/>
      <c r="BM30" s="94">
        <f>BG30*4</f>
        <v>20</v>
      </c>
      <c r="BN30" s="101">
        <f t="shared" si="34"/>
        <v>3.6269204543805944E-2</v>
      </c>
      <c r="BO30" s="169"/>
      <c r="BP30" s="184"/>
      <c r="BQ30" s="94">
        <v>0</v>
      </c>
      <c r="BR30" s="101">
        <f t="shared" si="35"/>
        <v>0</v>
      </c>
      <c r="BS30" s="84"/>
      <c r="BT30" s="84"/>
      <c r="BU30" s="84"/>
      <c r="BV30" s="84"/>
      <c r="BW30" s="84"/>
      <c r="BX30" s="84"/>
      <c r="BY30" s="84"/>
      <c r="BZ30" s="84"/>
    </row>
    <row r="31" spans="1:78" x14ac:dyDescent="0.2">
      <c r="A31" s="84"/>
      <c r="B31" s="222"/>
      <c r="C31" s="228">
        <f>'Pricing Trends'!R37</f>
        <v>0</v>
      </c>
      <c r="D31" s="223">
        <f>'Pricing Trends'!U37</f>
        <v>0</v>
      </c>
      <c r="E31" s="220" t="b">
        <v>0</v>
      </c>
      <c r="F31" s="84"/>
      <c r="G31" s="555" t="s">
        <v>415</v>
      </c>
      <c r="H31" s="556"/>
      <c r="I31" s="556"/>
      <c r="J31" s="557"/>
      <c r="K31" s="201"/>
      <c r="L31" s="386"/>
      <c r="M31" s="94">
        <f>S31*0.35</f>
        <v>1.75</v>
      </c>
      <c r="N31" s="99">
        <f t="shared" si="20"/>
        <v>4.0613989321534053E-2</v>
      </c>
      <c r="O31" s="95"/>
      <c r="P31" s="94">
        <f>S31*0.5</f>
        <v>2.5</v>
      </c>
      <c r="Q31" s="99">
        <f t="shared" si="21"/>
        <v>4.1352973377976249E-2</v>
      </c>
      <c r="R31" s="95"/>
      <c r="S31" s="94">
        <v>5</v>
      </c>
      <c r="T31" s="99">
        <f t="shared" si="22"/>
        <v>4.2786133798011772E-2</v>
      </c>
      <c r="U31" s="95"/>
      <c r="V31" s="94">
        <f>S31*2</f>
        <v>10</v>
      </c>
      <c r="W31" s="166">
        <f>V31/V$6</f>
        <v>4.420464312958873E-2</v>
      </c>
      <c r="X31" s="169"/>
      <c r="Y31" s="206"/>
      <c r="Z31" s="94">
        <f>AI31*0.18</f>
        <v>0.89999999999999991</v>
      </c>
      <c r="AA31" s="99">
        <f t="shared" si="24"/>
        <v>4.0164490547130956E-2</v>
      </c>
      <c r="AB31" s="95"/>
      <c r="AC31" s="94">
        <f>AI31*0.3</f>
        <v>1.5</v>
      </c>
      <c r="AD31" s="166">
        <f t="shared" si="25"/>
        <v>4.1499889134997067E-2</v>
      </c>
      <c r="AE31" s="95"/>
      <c r="AF31" s="94">
        <f>AI31*0.5</f>
        <v>2.5</v>
      </c>
      <c r="AG31" s="166">
        <f t="shared" si="26"/>
        <v>4.2729968141631408E-2</v>
      </c>
      <c r="AH31" s="95"/>
      <c r="AI31" s="94">
        <f>S31</f>
        <v>5</v>
      </c>
      <c r="AJ31" s="166">
        <f t="shared" si="27"/>
        <v>4.3741912933449471E-2</v>
      </c>
      <c r="AK31" s="95"/>
      <c r="AL31" s="94">
        <f>AI31*2</f>
        <v>10</v>
      </c>
      <c r="AM31" s="166">
        <f t="shared" si="28"/>
        <v>4.4940537791661996E-2</v>
      </c>
      <c r="AN31" s="234"/>
      <c r="AO31" s="184"/>
      <c r="AP31" s="94">
        <f>S31*4</f>
        <v>20</v>
      </c>
      <c r="AQ31" s="99">
        <f t="shared" si="18"/>
        <v>4.4698614707471419E-2</v>
      </c>
      <c r="AR31" s="95"/>
      <c r="AS31" s="94">
        <v>0</v>
      </c>
      <c r="AT31" s="101">
        <f t="shared" si="19"/>
        <v>0</v>
      </c>
      <c r="AU31" s="169"/>
      <c r="AV31" s="184"/>
      <c r="AW31" s="94">
        <f>S31</f>
        <v>5</v>
      </c>
      <c r="AX31" s="99">
        <f t="shared" si="29"/>
        <v>3.558496524546647E-2</v>
      </c>
      <c r="AY31" s="95"/>
      <c r="AZ31" s="94">
        <f>AW31*2</f>
        <v>10</v>
      </c>
      <c r="BA31" s="99">
        <f t="shared" si="30"/>
        <v>3.6229579407503418E-2</v>
      </c>
      <c r="BB31" s="95"/>
      <c r="BC31" s="94">
        <f>AW31*4</f>
        <v>20</v>
      </c>
      <c r="BD31" s="101">
        <f t="shared" si="31"/>
        <v>3.656072432377442E-2</v>
      </c>
      <c r="BE31" s="169"/>
      <c r="BF31" s="184"/>
      <c r="BG31" s="94">
        <v>5</v>
      </c>
      <c r="BH31" s="99">
        <f t="shared" si="32"/>
        <v>3.45762336800177E-2</v>
      </c>
      <c r="BI31" s="95"/>
      <c r="BJ31" s="94">
        <f>BG31*2</f>
        <v>10</v>
      </c>
      <c r="BK31" s="99">
        <f t="shared" si="33"/>
        <v>3.594329585645685E-2</v>
      </c>
      <c r="BL31" s="184"/>
      <c r="BM31" s="94">
        <f>BG31*4</f>
        <v>20</v>
      </c>
      <c r="BN31" s="101">
        <f t="shared" si="34"/>
        <v>3.6269204543805944E-2</v>
      </c>
      <c r="BO31" s="169"/>
      <c r="BP31" s="184"/>
      <c r="BQ31" s="94">
        <v>0</v>
      </c>
      <c r="BR31" s="101">
        <f t="shared" si="35"/>
        <v>0</v>
      </c>
      <c r="BS31" s="84"/>
      <c r="BT31" s="84"/>
      <c r="BU31" s="84"/>
      <c r="BV31" s="84"/>
      <c r="BW31" s="84"/>
      <c r="BX31" s="84"/>
      <c r="BY31" s="84"/>
      <c r="BZ31" s="84"/>
    </row>
    <row r="32" spans="1:78" x14ac:dyDescent="0.2">
      <c r="A32" s="84"/>
      <c r="B32" s="222"/>
      <c r="C32" s="228" t="str">
        <f>'Pricing Trends'!R38</f>
        <v>RBD COCONUT OIL</v>
      </c>
      <c r="D32" s="223">
        <f>'Pricing Trends'!U38</f>
        <v>85.357268567405839</v>
      </c>
      <c r="E32" s="220" t="b">
        <v>0</v>
      </c>
      <c r="F32" s="84"/>
      <c r="G32" s="555" t="s">
        <v>416</v>
      </c>
      <c r="H32" s="556"/>
      <c r="I32" s="556"/>
      <c r="J32" s="557"/>
      <c r="K32" s="201"/>
      <c r="L32" s="386"/>
      <c r="M32" s="94">
        <f>M6*0.02</f>
        <v>0.86177202940865882</v>
      </c>
      <c r="N32" s="99">
        <f t="shared" si="20"/>
        <v>0.02</v>
      </c>
      <c r="O32" s="95"/>
      <c r="P32" s="94">
        <f>P6*0.02</f>
        <v>1.2091028991552271</v>
      </c>
      <c r="Q32" s="99">
        <f t="shared" si="21"/>
        <v>0.02</v>
      </c>
      <c r="R32" s="95"/>
      <c r="S32" s="94">
        <f>S6*0.02</f>
        <v>2.3372057983104542</v>
      </c>
      <c r="T32" s="99">
        <f t="shared" si="22"/>
        <v>0.02</v>
      </c>
      <c r="U32" s="95"/>
      <c r="V32" s="94">
        <f>V6*0.02</f>
        <v>4.524411596620908</v>
      </c>
      <c r="W32" s="166">
        <f t="shared" si="23"/>
        <v>0.02</v>
      </c>
      <c r="X32" s="169"/>
      <c r="Y32" s="206"/>
      <c r="Z32" s="94">
        <f>Z6*0.02</f>
        <v>0.44815705999999994</v>
      </c>
      <c r="AA32" s="99">
        <f t="shared" si="24"/>
        <v>0.02</v>
      </c>
      <c r="AB32" s="95"/>
      <c r="AC32" s="94">
        <f>AC6*0.02</f>
        <v>0.7228934974358967</v>
      </c>
      <c r="AD32" s="166">
        <f t="shared" si="25"/>
        <v>0.02</v>
      </c>
      <c r="AE32" s="95"/>
      <c r="AF32" s="94">
        <f>AF6*0.02</f>
        <v>1.1701389487179483</v>
      </c>
      <c r="AG32" s="166">
        <f t="shared" si="26"/>
        <v>0.02</v>
      </c>
      <c r="AH32" s="95"/>
      <c r="AI32" s="94">
        <f>AI6*0.02</f>
        <v>2.2861368717948758</v>
      </c>
      <c r="AJ32" s="166">
        <f t="shared" si="27"/>
        <v>0.02</v>
      </c>
      <c r="AK32" s="95"/>
      <c r="AL32" s="94">
        <f>AL6*0.02</f>
        <v>4.4503250256410336</v>
      </c>
      <c r="AM32" s="166">
        <f t="shared" si="28"/>
        <v>2.0000000000000004E-2</v>
      </c>
      <c r="AN32" s="234"/>
      <c r="AO32" s="184"/>
      <c r="AP32" s="94">
        <f>AP6*0.02</f>
        <v>8.9488231932418163</v>
      </c>
      <c r="AQ32" s="99">
        <f t="shared" si="18"/>
        <v>0.02</v>
      </c>
      <c r="AR32" s="95"/>
      <c r="AS32" s="94">
        <f>AS6*0.02</f>
        <v>28</v>
      </c>
      <c r="AT32" s="101">
        <f t="shared" si="19"/>
        <v>0.02</v>
      </c>
      <c r="AU32" s="169"/>
      <c r="AV32" s="184"/>
      <c r="AW32" s="94">
        <f>AW6*0.02</f>
        <v>2.810175570221753</v>
      </c>
      <c r="AX32" s="99">
        <f t="shared" si="29"/>
        <v>0.02</v>
      </c>
      <c r="AY32" s="95"/>
      <c r="AZ32" s="94">
        <f>AZ6*0.02</f>
        <v>5.5203511404435055</v>
      </c>
      <c r="BA32" s="99">
        <f t="shared" si="30"/>
        <v>0.02</v>
      </c>
      <c r="BB32" s="95"/>
      <c r="BC32" s="94">
        <f>BC6*0.02</f>
        <v>10.94070228088701</v>
      </c>
      <c r="BD32" s="101">
        <f t="shared" si="31"/>
        <v>0.02</v>
      </c>
      <c r="BE32" s="169"/>
      <c r="BF32" s="184"/>
      <c r="BG32" s="94">
        <f>BG6*0.02</f>
        <v>2.8921600000000001</v>
      </c>
      <c r="BH32" s="99">
        <f t="shared" si="32"/>
        <v>0.02</v>
      </c>
      <c r="BI32" s="95"/>
      <c r="BJ32" s="94">
        <f>BJ6*0.02</f>
        <v>5.5643200000000004</v>
      </c>
      <c r="BK32" s="99">
        <f t="shared" si="33"/>
        <v>0.02</v>
      </c>
      <c r="BL32" s="184"/>
      <c r="BM32" s="94">
        <f>BM6*0.02</f>
        <v>11.028640000000001</v>
      </c>
      <c r="BN32" s="101">
        <f t="shared" si="34"/>
        <v>0.02</v>
      </c>
      <c r="BO32" s="169"/>
      <c r="BP32" s="184"/>
      <c r="BQ32" s="94">
        <f>BQ6*0.02</f>
        <v>24</v>
      </c>
      <c r="BR32" s="101">
        <f t="shared" si="35"/>
        <v>0.02</v>
      </c>
      <c r="BS32" s="84"/>
      <c r="BT32" s="84"/>
      <c r="BU32" s="84"/>
      <c r="BV32" s="84"/>
      <c r="BW32" s="84"/>
      <c r="BX32" s="84"/>
      <c r="BY32" s="84"/>
      <c r="BZ32" s="84"/>
    </row>
    <row r="33" spans="1:78" x14ac:dyDescent="0.2">
      <c r="A33" s="84"/>
      <c r="B33" s="222"/>
      <c r="C33" s="228">
        <f>'Pricing Trends'!R39</f>
        <v>0</v>
      </c>
      <c r="D33" s="223">
        <f>'Pricing Trends'!U39</f>
        <v>0</v>
      </c>
      <c r="E33" s="220" t="b">
        <v>0</v>
      </c>
      <c r="F33" s="84"/>
      <c r="G33" s="555" t="s">
        <v>417</v>
      </c>
      <c r="H33" s="556"/>
      <c r="I33" s="556"/>
      <c r="J33" s="557"/>
      <c r="K33" s="201"/>
      <c r="L33" s="386"/>
      <c r="M33" s="94">
        <f>M6*0.01</f>
        <v>0.43088601470432941</v>
      </c>
      <c r="N33" s="99">
        <f t="shared" si="20"/>
        <v>0.01</v>
      </c>
      <c r="O33" s="95"/>
      <c r="P33" s="94">
        <f>P6*0.01</f>
        <v>0.60455144957761353</v>
      </c>
      <c r="Q33" s="99">
        <f t="shared" si="21"/>
        <v>0.01</v>
      </c>
      <c r="R33" s="95"/>
      <c r="S33" s="94">
        <f>S6*0.01</f>
        <v>1.1686028991552271</v>
      </c>
      <c r="T33" s="99">
        <f t="shared" si="22"/>
        <v>0.01</v>
      </c>
      <c r="U33" s="95"/>
      <c r="V33" s="94">
        <f>V6*0.01</f>
        <v>2.262205798310454</v>
      </c>
      <c r="W33" s="166">
        <f t="shared" si="23"/>
        <v>0.01</v>
      </c>
      <c r="X33" s="169"/>
      <c r="Y33" s="206"/>
      <c r="Z33" s="94">
        <f>Z6*0.01</f>
        <v>0.22407852999999997</v>
      </c>
      <c r="AA33" s="99">
        <f t="shared" si="24"/>
        <v>0.01</v>
      </c>
      <c r="AB33" s="95"/>
      <c r="AC33" s="94">
        <f>AC6*0.01</f>
        <v>0.36144674871794835</v>
      </c>
      <c r="AD33" s="166">
        <f t="shared" si="25"/>
        <v>0.01</v>
      </c>
      <c r="AE33" s="95"/>
      <c r="AF33" s="94">
        <f>AF6*0.01</f>
        <v>0.58506947435897416</v>
      </c>
      <c r="AG33" s="166">
        <f t="shared" si="26"/>
        <v>0.01</v>
      </c>
      <c r="AH33" s="95"/>
      <c r="AI33" s="94">
        <f>AI7*0.02</f>
        <v>2.0611810036102605</v>
      </c>
      <c r="AJ33" s="166">
        <f t="shared" si="27"/>
        <v>1.8032000000000003E-2</v>
      </c>
      <c r="AK33" s="95"/>
      <c r="AL33" s="94">
        <f>AL6*0.01</f>
        <v>2.2251625128205168</v>
      </c>
      <c r="AM33" s="166">
        <f t="shared" si="28"/>
        <v>1.0000000000000002E-2</v>
      </c>
      <c r="AN33" s="234"/>
      <c r="AO33" s="184"/>
      <c r="AP33" s="94">
        <f>AP6*0.01</f>
        <v>4.4744115966209081</v>
      </c>
      <c r="AQ33" s="99">
        <f t="shared" si="18"/>
        <v>0.01</v>
      </c>
      <c r="AR33" s="95"/>
      <c r="AS33" s="94">
        <f>AS6*0.01</f>
        <v>14</v>
      </c>
      <c r="AT33" s="101">
        <f t="shared" si="19"/>
        <v>0.01</v>
      </c>
      <c r="AU33" s="169"/>
      <c r="AV33" s="184"/>
      <c r="AW33" s="94">
        <f>AW6*0.01</f>
        <v>1.4050877851108765</v>
      </c>
      <c r="AX33" s="99">
        <f t="shared" si="29"/>
        <v>0.01</v>
      </c>
      <c r="AY33" s="95"/>
      <c r="AZ33" s="94">
        <f>AZ6*0.01</f>
        <v>2.7601755702217527</v>
      </c>
      <c r="BA33" s="99">
        <f t="shared" si="30"/>
        <v>0.01</v>
      </c>
      <c r="BB33" s="95"/>
      <c r="BC33" s="94">
        <f>BC6*0.01</f>
        <v>5.4703511404435048</v>
      </c>
      <c r="BD33" s="101">
        <f t="shared" si="31"/>
        <v>0.01</v>
      </c>
      <c r="BE33" s="169"/>
      <c r="BF33" s="184"/>
      <c r="BG33" s="94">
        <f>BG6*0.01</f>
        <v>1.44608</v>
      </c>
      <c r="BH33" s="99">
        <f t="shared" si="32"/>
        <v>0.01</v>
      </c>
      <c r="BI33" s="95"/>
      <c r="BJ33" s="94">
        <f>BJ6*0.01</f>
        <v>2.7821600000000002</v>
      </c>
      <c r="BK33" s="99">
        <f t="shared" si="33"/>
        <v>0.01</v>
      </c>
      <c r="BL33" s="184"/>
      <c r="BM33" s="94">
        <f>BM6*0.01</f>
        <v>5.5143200000000006</v>
      </c>
      <c r="BN33" s="101">
        <f t="shared" si="34"/>
        <v>0.01</v>
      </c>
      <c r="BO33" s="169"/>
      <c r="BP33" s="184"/>
      <c r="BQ33" s="94">
        <f>BQ6*0.01</f>
        <v>12</v>
      </c>
      <c r="BR33" s="101">
        <f t="shared" si="35"/>
        <v>0.01</v>
      </c>
      <c r="BS33" s="84"/>
      <c r="BT33" s="84"/>
      <c r="BU33" s="84"/>
      <c r="BV33" s="84"/>
      <c r="BW33" s="84"/>
      <c r="BX33" s="84"/>
      <c r="BY33" s="84"/>
      <c r="BZ33" s="84"/>
    </row>
    <row r="34" spans="1:78" x14ac:dyDescent="0.2">
      <c r="A34" s="84"/>
      <c r="B34" s="222"/>
      <c r="C34" s="228" t="str">
        <f>'Pricing Trends'!R40</f>
        <v>RBD CANOLA OIL</v>
      </c>
      <c r="D34" s="223">
        <f>'Pricing Trends'!U40</f>
        <v>83.220041256354207</v>
      </c>
      <c r="E34" s="220" t="b">
        <v>0</v>
      </c>
      <c r="F34" s="84"/>
      <c r="G34" s="558" t="s">
        <v>418</v>
      </c>
      <c r="H34" s="559"/>
      <c r="I34" s="559"/>
      <c r="J34" s="560"/>
      <c r="K34" s="201"/>
      <c r="L34" s="387"/>
      <c r="M34" s="96" t="e">
        <f>M20-M23</f>
        <v>#REF!</v>
      </c>
      <c r="N34" s="97" t="e">
        <f>M34/M6</f>
        <v>#REF!</v>
      </c>
      <c r="O34" s="100"/>
      <c r="P34" s="96" t="e">
        <f>P20-P23</f>
        <v>#REF!</v>
      </c>
      <c r="Q34" s="97" t="e">
        <f>P34/P6</f>
        <v>#REF!</v>
      </c>
      <c r="R34" s="100"/>
      <c r="S34" s="96" t="e">
        <f>S20-S23</f>
        <v>#REF!</v>
      </c>
      <c r="T34" s="97" t="e">
        <f>S34/S6</f>
        <v>#REF!</v>
      </c>
      <c r="U34" s="100"/>
      <c r="V34" s="96" t="e">
        <f>V20-V23</f>
        <v>#REF!</v>
      </c>
      <c r="W34" s="165" t="e">
        <f>V34/V6</f>
        <v>#REF!</v>
      </c>
      <c r="X34" s="169"/>
      <c r="Y34" s="203"/>
      <c r="Z34" s="96" t="e">
        <f>Z20-Z23</f>
        <v>#REF!</v>
      </c>
      <c r="AA34" s="97" t="e">
        <f>Z34/Z6</f>
        <v>#REF!</v>
      </c>
      <c r="AB34" s="100"/>
      <c r="AC34" s="96" t="e">
        <f>AC20-AC23</f>
        <v>#REF!</v>
      </c>
      <c r="AD34" s="165" t="e">
        <f>AC34/AC6</f>
        <v>#REF!</v>
      </c>
      <c r="AE34" s="100"/>
      <c r="AF34" s="96" t="e">
        <f>AF20-AF23</f>
        <v>#REF!</v>
      </c>
      <c r="AG34" s="165" t="e">
        <f>AF34/AF6</f>
        <v>#REF!</v>
      </c>
      <c r="AH34" s="100"/>
      <c r="AI34" s="96" t="e">
        <f>AI20-AI23</f>
        <v>#REF!</v>
      </c>
      <c r="AJ34" s="165" t="e">
        <f>AI34/AI6</f>
        <v>#REF!</v>
      </c>
      <c r="AK34" s="100"/>
      <c r="AL34" s="96" t="e">
        <f>AL20-AL23</f>
        <v>#REF!</v>
      </c>
      <c r="AM34" s="165" t="e">
        <f>AL34/AL6</f>
        <v>#REF!</v>
      </c>
      <c r="AN34" s="234"/>
      <c r="AO34" s="181"/>
      <c r="AP34" s="96" t="e">
        <f>AP20-AP23</f>
        <v>#REF!</v>
      </c>
      <c r="AQ34" s="97" t="e">
        <f>AP34/AP6</f>
        <v>#REF!</v>
      </c>
      <c r="AR34" s="100"/>
      <c r="AS34" s="96" t="e">
        <f>AS20-AS23</f>
        <v>#REF!</v>
      </c>
      <c r="AT34" s="102" t="e">
        <f>AS34/AS6</f>
        <v>#REF!</v>
      </c>
      <c r="AU34" s="169"/>
      <c r="AV34" s="181"/>
      <c r="AW34" s="96" t="e">
        <f>AW20-AW23</f>
        <v>#REF!</v>
      </c>
      <c r="AX34" s="97" t="e">
        <f>AW34/AW6</f>
        <v>#REF!</v>
      </c>
      <c r="AY34" s="100"/>
      <c r="AZ34" s="96" t="e">
        <f>AZ20-AZ23</f>
        <v>#REF!</v>
      </c>
      <c r="BA34" s="97" t="e">
        <f>AZ34/AZ6</f>
        <v>#REF!</v>
      </c>
      <c r="BB34" s="100"/>
      <c r="BC34" s="96" t="e">
        <f>BC20-BC23</f>
        <v>#REF!</v>
      </c>
      <c r="BD34" s="102" t="e">
        <f>BC34/BC6</f>
        <v>#REF!</v>
      </c>
      <c r="BE34" s="169"/>
      <c r="BF34" s="181"/>
      <c r="BG34" s="96" t="e">
        <f>BG20-BG23</f>
        <v>#REF!</v>
      </c>
      <c r="BH34" s="97" t="e">
        <f>BG34/BG6</f>
        <v>#REF!</v>
      </c>
      <c r="BI34" s="100"/>
      <c r="BJ34" s="96" t="e">
        <f>BJ20-BJ23</f>
        <v>#REF!</v>
      </c>
      <c r="BK34" s="97" t="e">
        <f>BJ34/BJ6</f>
        <v>#REF!</v>
      </c>
      <c r="BL34" s="181"/>
      <c r="BM34" s="96" t="e">
        <f>BM20-BM23</f>
        <v>#REF!</v>
      </c>
      <c r="BN34" s="102" t="e">
        <f>BM34/BM6</f>
        <v>#REF!</v>
      </c>
      <c r="BO34" s="169"/>
      <c r="BP34" s="181"/>
      <c r="BQ34" s="96" t="e">
        <f>BQ20-BQ23</f>
        <v>#REF!</v>
      </c>
      <c r="BR34" s="102" t="e">
        <f>BQ34/BQ6</f>
        <v>#REF!</v>
      </c>
      <c r="BS34" s="84"/>
      <c r="BT34" s="84"/>
      <c r="BU34" s="84"/>
      <c r="BV34" s="84"/>
      <c r="BW34" s="84"/>
      <c r="BX34" s="84"/>
      <c r="BY34" s="84"/>
      <c r="BZ34" s="84"/>
    </row>
    <row r="35" spans="1:78" x14ac:dyDescent="0.2">
      <c r="A35" s="84"/>
      <c r="B35" s="222"/>
      <c r="C35" s="228" t="str">
        <f>'Pricing Trends'!R41</f>
        <v>RBD SOYA BEAN OIL</v>
      </c>
      <c r="D35" s="223">
        <f>'Pricing Trends'!U41</f>
        <v>81.666041886659627</v>
      </c>
      <c r="E35" s="220" t="b">
        <v>0</v>
      </c>
      <c r="F35" s="84"/>
      <c r="G35" s="561" t="s">
        <v>419</v>
      </c>
      <c r="H35" s="562"/>
      <c r="I35" s="562"/>
      <c r="J35" s="563"/>
      <c r="K35" s="201"/>
      <c r="L35" s="388"/>
      <c r="M35" s="194" t="e">
        <f>M21-M23</f>
        <v>#REF!</v>
      </c>
      <c r="N35" s="188" t="e">
        <f>M35/M7</f>
        <v>#REF!</v>
      </c>
      <c r="O35" s="189"/>
      <c r="P35" s="194" t="e">
        <f>P21-P23</f>
        <v>#REF!</v>
      </c>
      <c r="Q35" s="188" t="e">
        <f>P35/P7</f>
        <v>#REF!</v>
      </c>
      <c r="R35" s="189"/>
      <c r="S35" s="194" t="e">
        <f>S21-S23</f>
        <v>#REF!</v>
      </c>
      <c r="T35" s="188" t="e">
        <f>S35/S7</f>
        <v>#REF!</v>
      </c>
      <c r="U35" s="189"/>
      <c r="V35" s="194" t="e">
        <f>V21-V23</f>
        <v>#REF!</v>
      </c>
      <c r="W35" s="188" t="e">
        <f>V35/V7</f>
        <v>#REF!</v>
      </c>
      <c r="X35" s="169"/>
      <c r="Y35" s="204"/>
      <c r="Z35" s="194" t="e">
        <f>Z21-Z23</f>
        <v>#REF!</v>
      </c>
      <c r="AA35" s="188" t="e">
        <f>Z35/Z7</f>
        <v>#REF!</v>
      </c>
      <c r="AB35" s="189"/>
      <c r="AC35" s="194" t="e">
        <f>AC21-AC23</f>
        <v>#REF!</v>
      </c>
      <c r="AD35" s="188" t="e">
        <f>AC35/AC7</f>
        <v>#REF!</v>
      </c>
      <c r="AE35" s="189"/>
      <c r="AF35" s="194" t="e">
        <f>AF21-AF23</f>
        <v>#REF!</v>
      </c>
      <c r="AG35" s="188" t="e">
        <f>AF35/AF7</f>
        <v>#REF!</v>
      </c>
      <c r="AH35" s="189"/>
      <c r="AI35" s="194" t="e">
        <f>AI21-AI23</f>
        <v>#REF!</v>
      </c>
      <c r="AJ35" s="188" t="e">
        <f>AI35/AI7</f>
        <v>#REF!</v>
      </c>
      <c r="AK35" s="189"/>
      <c r="AL35" s="194" t="e">
        <f>AL21-AL23</f>
        <v>#REF!</v>
      </c>
      <c r="AM35" s="188" t="e">
        <f>AL35/AL7</f>
        <v>#REF!</v>
      </c>
      <c r="AN35" s="234"/>
      <c r="AO35" s="190"/>
      <c r="AP35" s="194" t="e">
        <f>AP21-AP23</f>
        <v>#REF!</v>
      </c>
      <c r="AQ35" s="188" t="e">
        <f>AP35/AP7</f>
        <v>#REF!</v>
      </c>
      <c r="AR35" s="189"/>
      <c r="AS35" s="194" t="e">
        <f>AS21-AS23</f>
        <v>#REF!</v>
      </c>
      <c r="AT35" s="193" t="e">
        <f>AS35/AS7</f>
        <v>#REF!</v>
      </c>
      <c r="AU35" s="169"/>
      <c r="AV35" s="190"/>
      <c r="AW35" s="194" t="e">
        <f>AW21-AW23</f>
        <v>#REF!</v>
      </c>
      <c r="AX35" s="188" t="e">
        <f>AW35/AW7</f>
        <v>#REF!</v>
      </c>
      <c r="AY35" s="189"/>
      <c r="AZ35" s="194" t="e">
        <f>AZ21-AZ23</f>
        <v>#REF!</v>
      </c>
      <c r="BA35" s="188" t="e">
        <f>AZ35/AZ7</f>
        <v>#REF!</v>
      </c>
      <c r="BB35" s="189"/>
      <c r="BC35" s="194" t="e">
        <f>BC21-BC23</f>
        <v>#REF!</v>
      </c>
      <c r="BD35" s="193" t="e">
        <f>BC35/BC7</f>
        <v>#REF!</v>
      </c>
      <c r="BE35" s="169"/>
      <c r="BF35" s="190"/>
      <c r="BG35" s="194" t="e">
        <f>BG21-BG23</f>
        <v>#REF!</v>
      </c>
      <c r="BH35" s="188" t="e">
        <f>BG35/BG7</f>
        <v>#REF!</v>
      </c>
      <c r="BI35" s="189"/>
      <c r="BJ35" s="194" t="e">
        <f>BJ21-BJ23</f>
        <v>#REF!</v>
      </c>
      <c r="BK35" s="188" t="e">
        <f>BJ35/BJ7</f>
        <v>#REF!</v>
      </c>
      <c r="BL35" s="190"/>
      <c r="BM35" s="194" t="e">
        <f>BM21-BM23</f>
        <v>#REF!</v>
      </c>
      <c r="BN35" s="193" t="e">
        <f>BM35/BM7</f>
        <v>#REF!</v>
      </c>
      <c r="BO35" s="169"/>
      <c r="BP35" s="190"/>
      <c r="BQ35" s="194" t="e">
        <f>BQ21-BQ23</f>
        <v>#REF!</v>
      </c>
      <c r="BR35" s="188" t="e">
        <f>BQ35/BQ7</f>
        <v>#REF!</v>
      </c>
      <c r="BS35" s="84"/>
      <c r="BT35" s="84"/>
      <c r="BU35" s="84"/>
      <c r="BV35" s="84"/>
      <c r="BW35" s="84"/>
      <c r="BX35" s="84"/>
      <c r="BY35" s="84"/>
      <c r="BZ35" s="84"/>
    </row>
    <row r="36" spans="1:78" x14ac:dyDescent="0.2">
      <c r="A36" s="84"/>
      <c r="B36" s="222"/>
      <c r="C36" s="228">
        <f>'Pricing Trends'!R42</f>
        <v>0</v>
      </c>
      <c r="D36" s="223">
        <f>'Pricing Trends'!U42</f>
        <v>0</v>
      </c>
      <c r="E36" s="220" t="b">
        <v>0</v>
      </c>
      <c r="F36" s="84"/>
      <c r="G36" s="549" t="s">
        <v>497</v>
      </c>
      <c r="H36" s="550"/>
      <c r="I36" s="550"/>
      <c r="J36" s="551"/>
      <c r="K36" s="201"/>
      <c r="L36" s="384"/>
      <c r="M36" s="214" t="e">
        <f>M22-M24-M25-M26-M27-M28-M32-M33</f>
        <v>#REF!</v>
      </c>
      <c r="N36" s="215" t="e">
        <f>M36/M8</f>
        <v>#REF!</v>
      </c>
      <c r="O36" s="216"/>
      <c r="P36" s="214" t="e">
        <f>P22-P24-P25-P26-P27-P28-P32-P33</f>
        <v>#REF!</v>
      </c>
      <c r="Q36" s="215" t="e">
        <f>P36/P8</f>
        <v>#REF!</v>
      </c>
      <c r="R36" s="216"/>
      <c r="S36" s="214" t="e">
        <f>S22-S24-S25-S26-S27-S28-S32-S33</f>
        <v>#REF!</v>
      </c>
      <c r="T36" s="215" t="e">
        <f>S36/S8</f>
        <v>#REF!</v>
      </c>
      <c r="U36" s="216"/>
      <c r="V36" s="214" t="e">
        <f>V22-V24-V25-V26-V27-V28-V32-V33</f>
        <v>#REF!</v>
      </c>
      <c r="W36" s="215" t="e">
        <f>V36/V8</f>
        <v>#REF!</v>
      </c>
      <c r="X36" s="169"/>
      <c r="Y36" s="213"/>
      <c r="Z36" s="214" t="e">
        <f>Z22-Z24-Z25-Z26-Z27-Z28-Z32-Z33</f>
        <v>#REF!</v>
      </c>
      <c r="AA36" s="215" t="e">
        <f>Z36/Z8</f>
        <v>#REF!</v>
      </c>
      <c r="AB36" s="216"/>
      <c r="AC36" s="214" t="e">
        <f>AC22-AC24-AC25-AC26-AC27-AC28-AC32-AC33</f>
        <v>#REF!</v>
      </c>
      <c r="AD36" s="215" t="e">
        <f>AC36/AC8</f>
        <v>#REF!</v>
      </c>
      <c r="AE36" s="216"/>
      <c r="AF36" s="214" t="e">
        <f>AF22-AF24-AF25-AF26-AF27-AF28-AF32-AF33</f>
        <v>#REF!</v>
      </c>
      <c r="AG36" s="215" t="e">
        <f>AF36/AF8</f>
        <v>#REF!</v>
      </c>
      <c r="AH36" s="216"/>
      <c r="AI36" s="214" t="e">
        <f>AI22-AI24-AI25-AI26-AI27-AI28-AI32-AI33</f>
        <v>#REF!</v>
      </c>
      <c r="AJ36" s="215" t="e">
        <f>AI36/AI8</f>
        <v>#REF!</v>
      </c>
      <c r="AK36" s="216"/>
      <c r="AL36" s="214" t="e">
        <f>AL22-AL24-AL25-AL26-AL27-AL28-AL32-AL33</f>
        <v>#REF!</v>
      </c>
      <c r="AM36" s="215" t="e">
        <f>AL36/AL8</f>
        <v>#REF!</v>
      </c>
      <c r="AN36" s="234"/>
      <c r="AO36" s="217"/>
      <c r="AP36" s="214" t="e">
        <f>AP22-AP24-AP25-AP26-AP27-AP28-AP32-AP33</f>
        <v>#REF!</v>
      </c>
      <c r="AQ36" s="215" t="e">
        <f>AP36/AP8</f>
        <v>#REF!</v>
      </c>
      <c r="AR36" s="216"/>
      <c r="AS36" s="214" t="e">
        <f>AS22-AS24-AS25-AS26-AS27-AS28-AS32-AS33</f>
        <v>#REF!</v>
      </c>
      <c r="AT36" s="218" t="e">
        <f>AS36/AS8</f>
        <v>#REF!</v>
      </c>
      <c r="AU36" s="169"/>
      <c r="AV36" s="217"/>
      <c r="AW36" s="214" t="e">
        <f>AW22-AW24-AW25-AW26-AW27-AW28-AW32-AW33</f>
        <v>#REF!</v>
      </c>
      <c r="AX36" s="215" t="e">
        <f>AW36/AW8</f>
        <v>#REF!</v>
      </c>
      <c r="AY36" s="216"/>
      <c r="AZ36" s="214" t="e">
        <f>AZ22-AZ24-AZ25-AZ26-AZ27-AZ28-AZ32-AZ33</f>
        <v>#REF!</v>
      </c>
      <c r="BA36" s="215" t="e">
        <f>AZ36/AZ8</f>
        <v>#REF!</v>
      </c>
      <c r="BB36" s="216"/>
      <c r="BC36" s="214" t="e">
        <f>BC22-BC24-BC25-BC26-BC27-BC28-BC32-BC33</f>
        <v>#REF!</v>
      </c>
      <c r="BD36" s="218" t="e">
        <f>BC36/BC8</f>
        <v>#REF!</v>
      </c>
      <c r="BE36" s="169"/>
      <c r="BF36" s="217"/>
      <c r="BG36" s="214" t="e">
        <f>BG22-BG24-BG25-BG26-BG27-BG28-BG32-BG33</f>
        <v>#REF!</v>
      </c>
      <c r="BH36" s="215" t="e">
        <f>BG36/BG8</f>
        <v>#REF!</v>
      </c>
      <c r="BI36" s="216"/>
      <c r="BJ36" s="214" t="e">
        <f>BJ22-BJ24-BJ25-BJ26-BJ27-BJ28-BJ32-BJ33</f>
        <v>#REF!</v>
      </c>
      <c r="BK36" s="215" t="e">
        <f>BJ36/BJ8</f>
        <v>#REF!</v>
      </c>
      <c r="BL36" s="217"/>
      <c r="BM36" s="214" t="e">
        <f>BM22-BM24-BM25-BM26-BM27-BM28-BM32-BM33</f>
        <v>#REF!</v>
      </c>
      <c r="BN36" s="218" t="e">
        <f>BM36/BM8</f>
        <v>#REF!</v>
      </c>
      <c r="BO36" s="169"/>
      <c r="BP36" s="217"/>
      <c r="BQ36" s="214" t="e">
        <f>BQ22-BQ24-BQ25-BQ26-BQ27-BQ28-BQ32-BQ33</f>
        <v>#REF!</v>
      </c>
      <c r="BR36" s="215" t="e">
        <f>BQ36/BQ8</f>
        <v>#REF!</v>
      </c>
      <c r="BS36" s="84"/>
      <c r="BT36" s="84"/>
      <c r="BU36" s="84"/>
      <c r="BV36" s="84"/>
      <c r="BW36" s="84"/>
      <c r="BX36" s="84"/>
      <c r="BY36" s="84"/>
      <c r="BZ36" s="84"/>
    </row>
    <row r="37" spans="1:78" ht="15" thickBot="1" x14ac:dyDescent="0.25">
      <c r="A37" s="84"/>
      <c r="B37" s="222"/>
      <c r="C37" s="228" t="str">
        <f>'Pricing Trends'!R43</f>
        <v>RBD PALM OLEIN (FOREIGN)</v>
      </c>
      <c r="D37" s="223">
        <f>'Pricing Trends'!U43</f>
        <v>64.843398983325557</v>
      </c>
      <c r="E37" s="220" t="b">
        <v>1</v>
      </c>
      <c r="F37" s="84"/>
      <c r="G37" s="552" t="s">
        <v>420</v>
      </c>
      <c r="H37" s="553"/>
      <c r="I37" s="553"/>
      <c r="J37" s="554"/>
      <c r="K37" s="201"/>
      <c r="L37" s="385"/>
      <c r="M37" s="113">
        <f>(M9+M10+M11+M12+M14+M15+M13+M16)*N5</f>
        <v>924.62981600000012</v>
      </c>
      <c r="N37" s="112"/>
      <c r="O37" s="112"/>
      <c r="P37" s="113">
        <f>(P9+P10+P11+P12+P14+P15+P13+P16)*Q5</f>
        <v>846.93791999999996</v>
      </c>
      <c r="Q37" s="112"/>
      <c r="R37" s="112"/>
      <c r="S37" s="113">
        <f>(S9+S10+S11+S12+S14+S15+S13+S16)*T5</f>
        <v>844.03791999999987</v>
      </c>
      <c r="T37" s="112"/>
      <c r="U37" s="112"/>
      <c r="V37" s="113">
        <f>(V9+V10+V11+V12+V14+V15+V13+V16)*W5</f>
        <v>855.45792000000006</v>
      </c>
      <c r="W37" s="167"/>
      <c r="X37" s="219"/>
      <c r="Y37" s="207"/>
      <c r="Z37" s="113">
        <f>(Z9+Z10+Z11+Z12+Z14+Z15+Z13+Z16)*AA5</f>
        <v>649.84330239999997</v>
      </c>
      <c r="AA37" s="112"/>
      <c r="AB37" s="112"/>
      <c r="AC37" s="113">
        <f>(AC9+AC10+AC11+AC12+AC14+AC15+AC13+AC16)*AD5</f>
        <v>773.6541279999999</v>
      </c>
      <c r="AD37" s="167"/>
      <c r="AE37" s="112"/>
      <c r="AF37" s="113">
        <f>(AF9+AF10+AF11+AF12+AF14+AF15+AF13+AF16)*AG5</f>
        <v>749.83792000000005</v>
      </c>
      <c r="AG37" s="167"/>
      <c r="AH37" s="112"/>
      <c r="AI37" s="113">
        <f>(AI9+AI10+AI11+AI12+AI14+AI15+AI13+AI16)*AJ5</f>
        <v>815.23792000000003</v>
      </c>
      <c r="AJ37" s="167"/>
      <c r="AK37" s="112"/>
      <c r="AL37" s="113">
        <f>(AL9+AL10+AL11+AL12+AL14+AL15+AL13+AL16)*AM5</f>
        <v>791.85791999999992</v>
      </c>
      <c r="AM37" s="167"/>
      <c r="AN37" s="235"/>
      <c r="AO37" s="185"/>
      <c r="AP37" s="113">
        <f>(AP9+AP10+AP11+AP12+AP14+AP15+AP13+AP16)*AQ5</f>
        <v>173.92</v>
      </c>
      <c r="AQ37" s="112"/>
      <c r="AR37" s="112"/>
      <c r="AS37" s="113">
        <f>(AS9+AS10+AS11+AS12+AS14+AS15+AS13+AS16)*AT5</f>
        <v>0</v>
      </c>
      <c r="AT37" s="103"/>
      <c r="AU37" s="219"/>
      <c r="AV37" s="185"/>
      <c r="AW37" s="113">
        <f>(AW9+AW10+AW11+AW12+AW14+AW15+AW13+AW16)*AX5</f>
        <v>102.84</v>
      </c>
      <c r="AX37" s="112"/>
      <c r="AY37" s="112"/>
      <c r="AZ37" s="113">
        <f>(AZ9+AZ10+AZ11+AZ12+AZ14+AZ15+AZ13+AZ16)*BA5</f>
        <v>131.30000000000001</v>
      </c>
      <c r="BA37" s="112"/>
      <c r="BB37" s="112"/>
      <c r="BC37" s="113">
        <f>(BC9+BC10+BC11+BC12+BC14+BC15+BC13+BC16)*BD5</f>
        <v>1477.4406601016674</v>
      </c>
      <c r="BD37" s="103"/>
      <c r="BE37" s="219"/>
      <c r="BF37" s="185"/>
      <c r="BG37" s="113">
        <f>(BG9+BG10+BG11+BG12+BG14+BG15+BG13+BG16)*BH5</f>
        <v>102.84</v>
      </c>
      <c r="BH37" s="112"/>
      <c r="BI37" s="112"/>
      <c r="BJ37" s="113">
        <f>(BJ9+BJ10+BJ11+BJ12+BJ14+BJ15+BJ13+BJ16)*BK5</f>
        <v>136.70000000000002</v>
      </c>
      <c r="BK37" s="112"/>
      <c r="BL37" s="185"/>
      <c r="BM37" s="113">
        <f>(BM9+BM10+BM11+BM12+BM14+BM15+BM13+BM16)*BN5</f>
        <v>1279.1819504</v>
      </c>
      <c r="BN37" s="103"/>
      <c r="BO37" s="219"/>
      <c r="BP37" s="185"/>
      <c r="BQ37" s="113">
        <f>(BQ9+BQ10+BQ11+BQ12+BQ14+BQ15+BQ13+BQ16)*BR5</f>
        <v>1519.02</v>
      </c>
      <c r="BR37" s="103"/>
      <c r="BS37" s="84"/>
      <c r="BT37" s="84"/>
      <c r="BU37" s="84"/>
      <c r="BV37" s="84"/>
      <c r="BW37" s="84"/>
      <c r="BX37" s="84"/>
      <c r="BY37" s="84"/>
      <c r="BZ37" s="84"/>
    </row>
    <row r="38" spans="1:78" ht="15" thickBot="1" x14ac:dyDescent="0.25">
      <c r="A38" s="84"/>
      <c r="B38" s="222"/>
      <c r="C38" s="228">
        <f>'Pricing Trends'!R44</f>
        <v>0</v>
      </c>
      <c r="D38" s="223">
        <f>'Pricing Trends'!U44</f>
        <v>0</v>
      </c>
      <c r="E38" s="220" t="b">
        <v>0</v>
      </c>
      <c r="F38" s="84"/>
      <c r="G38" s="84"/>
      <c r="H38" s="120"/>
      <c r="I38" s="149"/>
      <c r="J38" s="84"/>
      <c r="K38" s="84"/>
      <c r="L38" s="84"/>
      <c r="M38" s="84"/>
      <c r="N38" s="84"/>
      <c r="O38" s="84"/>
      <c r="P38" s="84"/>
      <c r="Q38" s="84"/>
      <c r="R38" s="84"/>
      <c r="S38" s="84"/>
      <c r="T38" s="84"/>
      <c r="U38" s="84"/>
      <c r="V38" s="131"/>
      <c r="W38" s="84"/>
      <c r="X38" s="84"/>
      <c r="Y38" s="84"/>
      <c r="Z38" s="84"/>
      <c r="AA38" s="84"/>
      <c r="AB38" s="84"/>
      <c r="AC38" s="84"/>
      <c r="AD38" s="84"/>
      <c r="AE38" s="84"/>
      <c r="AF38" s="84"/>
      <c r="AG38" s="84"/>
      <c r="AH38" s="84"/>
      <c r="AI38" s="84"/>
      <c r="AJ38" s="84"/>
      <c r="AK38" s="84"/>
      <c r="AL38" s="84"/>
      <c r="AM38" s="84"/>
      <c r="AN38" s="131"/>
      <c r="AO38" s="84"/>
      <c r="AP38" s="131"/>
      <c r="AQ38" s="84"/>
      <c r="AR38" s="84"/>
      <c r="AS38" s="131"/>
      <c r="AT38" s="84"/>
      <c r="AU38" s="84"/>
      <c r="AV38" s="84"/>
      <c r="AW38" s="84"/>
      <c r="AX38" s="84"/>
      <c r="AY38" s="84"/>
      <c r="AZ38" s="84"/>
      <c r="BA38" s="84"/>
      <c r="BB38" s="84"/>
      <c r="BC38" s="84"/>
      <c r="BD38" s="84"/>
      <c r="BE38" s="131"/>
      <c r="BF38" s="84"/>
      <c r="BG38" s="84"/>
      <c r="BH38" s="84"/>
      <c r="BI38" s="84"/>
      <c r="BJ38" s="84"/>
      <c r="BK38" s="84"/>
      <c r="BL38" s="84"/>
      <c r="BM38" s="84"/>
      <c r="BN38" s="84"/>
      <c r="BO38" s="131"/>
      <c r="BP38" s="84"/>
      <c r="BQ38" s="84"/>
      <c r="BR38" s="84"/>
      <c r="BS38" s="84"/>
      <c r="BT38" s="84"/>
      <c r="BU38" s="84"/>
      <c r="BV38" s="84"/>
      <c r="BW38" s="84"/>
      <c r="BX38" s="84"/>
      <c r="BY38" s="84"/>
      <c r="BZ38" s="84"/>
    </row>
    <row r="39" spans="1:78" ht="15" thickBot="1" x14ac:dyDescent="0.25">
      <c r="A39" s="84"/>
      <c r="B39" s="222"/>
      <c r="C39" s="228" t="str">
        <f>'Pricing Trends'!R45</f>
        <v>RBD PALM OLEIN (FOREIGN)</v>
      </c>
      <c r="D39" s="223">
        <f>'Pricing Trends'!U45</f>
        <v>82.366515166275917</v>
      </c>
      <c r="E39" s="220" t="b">
        <v>1</v>
      </c>
      <c r="F39" s="84"/>
      <c r="G39" s="104" t="s">
        <v>498</v>
      </c>
      <c r="H39" s="121" t="s">
        <v>499</v>
      </c>
      <c r="I39" s="150" t="s">
        <v>500</v>
      </c>
      <c r="J39" s="121" t="s">
        <v>500</v>
      </c>
      <c r="K39" s="84"/>
      <c r="L39" s="84"/>
      <c r="M39" s="170"/>
      <c r="N39" s="131"/>
      <c r="O39" s="131"/>
      <c r="P39" s="170"/>
      <c r="Q39" s="131"/>
      <c r="R39" s="84"/>
      <c r="S39" s="121" t="s">
        <v>23</v>
      </c>
      <c r="T39" s="84"/>
      <c r="U39" s="84"/>
      <c r="V39" s="131"/>
      <c r="W39" s="84"/>
      <c r="X39" s="84"/>
      <c r="Y39" s="84"/>
      <c r="Z39" s="131"/>
      <c r="AA39" s="131"/>
      <c r="AB39" s="131"/>
      <c r="AC39" s="131"/>
      <c r="AD39" s="131"/>
      <c r="AE39" s="131"/>
      <c r="AF39" s="131"/>
      <c r="AG39" s="131"/>
      <c r="AH39" s="131"/>
      <c r="AI39" s="131"/>
      <c r="AJ39" s="131"/>
      <c r="AK39" s="131"/>
      <c r="AL39" s="131"/>
      <c r="AM39" s="131"/>
      <c r="AN39" s="131"/>
      <c r="AO39" s="84"/>
      <c r="AP39" s="131"/>
      <c r="AQ39" s="84"/>
      <c r="AR39" s="84"/>
      <c r="AS39" s="131"/>
      <c r="AT39" s="84"/>
      <c r="AU39" s="84"/>
      <c r="AV39" s="84"/>
      <c r="AW39" s="121" t="s">
        <v>23</v>
      </c>
      <c r="AX39" s="84"/>
      <c r="AY39" s="84"/>
      <c r="AZ39" s="85"/>
      <c r="BA39" s="84"/>
      <c r="BB39" s="84"/>
      <c r="BC39" s="85"/>
      <c r="BD39" s="84"/>
      <c r="BE39" s="84"/>
      <c r="BF39" s="84"/>
      <c r="BG39" s="121" t="s">
        <v>23</v>
      </c>
      <c r="BH39" s="84"/>
      <c r="BI39" s="84"/>
      <c r="BJ39" s="85"/>
      <c r="BK39" s="84"/>
      <c r="BL39" s="84"/>
      <c r="BM39" s="85"/>
      <c r="BN39" s="84"/>
      <c r="BO39" s="84"/>
      <c r="BP39" s="84"/>
      <c r="BQ39" s="85"/>
      <c r="BR39" s="84"/>
      <c r="BS39" s="84"/>
      <c r="BT39" s="84"/>
      <c r="BU39" s="84"/>
      <c r="BV39" s="84"/>
      <c r="BW39" s="84"/>
      <c r="BX39" s="84"/>
      <c r="BY39" s="84"/>
      <c r="BZ39" s="84"/>
    </row>
    <row r="40" spans="1:78" ht="15" thickBot="1" x14ac:dyDescent="0.25">
      <c r="A40" s="84"/>
      <c r="B40" s="222"/>
      <c r="C40" s="228" t="str">
        <f>'Pricing Trends'!R46</f>
        <v>RBD PALM OLEIN (FOREIGN)</v>
      </c>
      <c r="D40" s="223">
        <f>'Pricing Trends'!U46</f>
        <v>74.656859937366562</v>
      </c>
      <c r="E40" s="220" t="b">
        <v>0</v>
      </c>
      <c r="F40" s="84"/>
      <c r="G40" s="230" t="s">
        <v>501</v>
      </c>
      <c r="H40" s="119">
        <v>1753</v>
      </c>
      <c r="I40" s="151">
        <f>IFERROR(VLOOKUP(H40,'Free Items'!A:C,3,FALSE),0)</f>
        <v>12.683598999999999</v>
      </c>
      <c r="J40" s="119">
        <v>6</v>
      </c>
      <c r="K40" s="84"/>
      <c r="L40" s="84"/>
      <c r="M40" s="131"/>
      <c r="N40" s="131"/>
      <c r="O40" s="131"/>
      <c r="P40" s="131"/>
      <c r="Q40" s="131"/>
      <c r="R40" s="84"/>
      <c r="S40" s="122">
        <f>(I40*J40)+$S$37+1</f>
        <v>921.13951399999985</v>
      </c>
      <c r="T40" s="84"/>
      <c r="U40" s="84"/>
      <c r="V40" s="131"/>
      <c r="W40" s="84"/>
      <c r="X40" s="84"/>
      <c r="Y40" s="84"/>
      <c r="Z40" s="131"/>
      <c r="AA40" s="131"/>
      <c r="AB40" s="131"/>
      <c r="AC40" s="131"/>
      <c r="AD40" s="131"/>
      <c r="AE40" s="131"/>
      <c r="AF40" s="131"/>
      <c r="AG40" s="131"/>
      <c r="AH40" s="131"/>
      <c r="AI40" s="131"/>
      <c r="AJ40" s="131"/>
      <c r="AK40" s="131"/>
      <c r="AL40" s="131"/>
      <c r="AM40" s="131"/>
      <c r="AN40" s="84"/>
      <c r="AO40" s="84"/>
      <c r="AP40" s="131"/>
      <c r="AQ40" s="84"/>
      <c r="AR40" s="84"/>
      <c r="AS40" s="131"/>
      <c r="AT40" s="84"/>
      <c r="AU40" s="84"/>
      <c r="AV40" s="84"/>
      <c r="AW40" s="122">
        <f>(I40*J40)+$AW$37+18</f>
        <v>196.94159400000001</v>
      </c>
      <c r="AX40" s="84"/>
      <c r="AY40" s="84"/>
      <c r="AZ40" s="85"/>
      <c r="BA40" s="84"/>
      <c r="BB40" s="84"/>
      <c r="BC40" s="85"/>
      <c r="BD40" s="84"/>
      <c r="BE40" s="84"/>
      <c r="BF40" s="84"/>
      <c r="BG40" s="85"/>
      <c r="BH40" s="84"/>
      <c r="BI40" s="84"/>
      <c r="BJ40" s="85"/>
      <c r="BK40" s="84"/>
      <c r="BL40" s="84"/>
      <c r="BM40" s="85"/>
      <c r="BN40" s="84"/>
      <c r="BO40" s="84"/>
      <c r="BP40" s="84"/>
      <c r="BQ40" s="85"/>
      <c r="BR40" s="84"/>
      <c r="BS40" s="84"/>
      <c r="BT40" s="84"/>
      <c r="BU40" s="84"/>
      <c r="BV40" s="84"/>
      <c r="BW40" s="84"/>
      <c r="BX40" s="84"/>
      <c r="BY40" s="84"/>
      <c r="BZ40" s="84"/>
    </row>
    <row r="41" spans="1:78" ht="15" thickBot="1" x14ac:dyDescent="0.25">
      <c r="A41" s="84"/>
      <c r="B41" s="222"/>
      <c r="C41" s="228">
        <f>'Pricing Trends'!R47</f>
        <v>0</v>
      </c>
      <c r="D41" s="223">
        <f>'Pricing Trends'!U47</f>
        <v>0</v>
      </c>
      <c r="E41" s="220" t="b">
        <v>0</v>
      </c>
      <c r="F41" s="84"/>
      <c r="G41" s="230" t="s">
        <v>473</v>
      </c>
      <c r="H41" s="119">
        <v>1921</v>
      </c>
      <c r="I41" s="151">
        <f>IFERROR(VLOOKUP(H41,'Free Items'!A:C,3,FALSE),0)</f>
        <v>24.937245000000001</v>
      </c>
      <c r="J41" s="119">
        <v>6</v>
      </c>
      <c r="K41" s="84"/>
      <c r="L41" s="84"/>
      <c r="M41" s="131"/>
      <c r="N41" s="131"/>
      <c r="O41" s="131"/>
      <c r="P41" s="131"/>
      <c r="Q41" s="131"/>
      <c r="R41" s="84"/>
      <c r="S41" s="122">
        <f>(I41*J41)+$S$37+1</f>
        <v>994.66138999999987</v>
      </c>
      <c r="T41" s="84"/>
      <c r="U41" s="84"/>
      <c r="V41" s="131"/>
      <c r="W41" s="84"/>
      <c r="X41" s="84"/>
      <c r="Y41" s="84"/>
      <c r="Z41" s="131"/>
      <c r="AA41" s="131"/>
      <c r="AB41" s="131"/>
      <c r="AC41" s="131"/>
      <c r="AD41" s="131"/>
      <c r="AE41" s="131"/>
      <c r="AF41" s="131"/>
      <c r="AG41" s="131"/>
      <c r="AH41" s="131"/>
      <c r="AI41" s="131"/>
      <c r="AJ41" s="131"/>
      <c r="AK41" s="131"/>
      <c r="AL41" s="131"/>
      <c r="AM41" s="131"/>
      <c r="AN41" s="84"/>
      <c r="AO41" s="84"/>
      <c r="AP41" s="131"/>
      <c r="AQ41" s="84"/>
      <c r="AR41" s="84"/>
      <c r="AS41" s="131"/>
      <c r="AT41" s="84"/>
      <c r="AU41" s="84"/>
      <c r="AV41" s="84"/>
      <c r="AW41" s="85"/>
      <c r="AX41" s="84"/>
      <c r="AY41" s="84"/>
      <c r="AZ41" s="85"/>
      <c r="BA41" s="84"/>
      <c r="BB41" s="84"/>
      <c r="BC41" s="85"/>
      <c r="BD41" s="84"/>
      <c r="BE41" s="84"/>
      <c r="BF41" s="84"/>
      <c r="BG41" s="122">
        <f>(I41*J41)+$BG$37+18</f>
        <v>270.46347000000003</v>
      </c>
      <c r="BH41" s="84"/>
      <c r="BI41" s="84"/>
      <c r="BJ41" s="85"/>
      <c r="BK41" s="84"/>
      <c r="BL41" s="84"/>
      <c r="BM41" s="85"/>
      <c r="BN41" s="84"/>
      <c r="BO41" s="84"/>
      <c r="BP41" s="84"/>
      <c r="BQ41" s="85"/>
      <c r="BR41" s="84"/>
      <c r="BS41" s="84"/>
      <c r="BT41" s="84"/>
      <c r="BU41" s="84"/>
      <c r="BV41" s="84"/>
      <c r="BW41" s="84"/>
      <c r="BX41" s="84"/>
      <c r="BY41" s="84"/>
      <c r="BZ41" s="84"/>
    </row>
    <row r="42" spans="1:78" ht="15" thickBot="1" x14ac:dyDescent="0.25">
      <c r="A42" s="84"/>
      <c r="B42" s="222"/>
      <c r="C42" s="228">
        <f>'Pricing Trends'!R48</f>
        <v>0</v>
      </c>
      <c r="D42" s="223">
        <f>'Pricing Trends'!U48</f>
        <v>0</v>
      </c>
      <c r="E42" s="220" t="b">
        <v>0</v>
      </c>
      <c r="F42" s="84"/>
      <c r="G42" s="230" t="s">
        <v>475</v>
      </c>
      <c r="H42" s="119">
        <v>3682</v>
      </c>
      <c r="I42" s="151">
        <f>IFERROR(VLOOKUP(H42,'Free Items'!A:C,3,FALSE),0)</f>
        <v>5.0973750000000004</v>
      </c>
      <c r="J42" s="119">
        <v>12</v>
      </c>
      <c r="K42" s="84"/>
      <c r="L42" s="84"/>
      <c r="M42" s="131"/>
      <c r="N42" s="131"/>
      <c r="O42" s="131"/>
      <c r="P42" s="131"/>
      <c r="Q42" s="131"/>
      <c r="R42" s="84"/>
      <c r="S42" s="122">
        <f>(I42*J42)+$S$37</f>
        <v>905.20641999999987</v>
      </c>
      <c r="T42" s="84"/>
      <c r="U42" s="84"/>
      <c r="V42" s="131"/>
      <c r="W42" s="85"/>
      <c r="X42" s="84"/>
      <c r="Y42" s="84"/>
      <c r="Z42" s="131"/>
      <c r="AA42" s="131"/>
      <c r="AB42" s="131"/>
      <c r="AC42" s="131"/>
      <c r="AD42" s="131"/>
      <c r="AE42" s="131"/>
      <c r="AF42" s="131"/>
      <c r="AG42" s="131"/>
      <c r="AH42" s="131"/>
      <c r="AI42" s="131"/>
      <c r="AJ42" s="131"/>
      <c r="AK42" s="131"/>
      <c r="AL42" s="131"/>
      <c r="AM42" s="131"/>
      <c r="AN42" s="84"/>
      <c r="AO42" s="84"/>
      <c r="AP42" s="131"/>
      <c r="AQ42" s="84"/>
      <c r="AR42" s="84"/>
      <c r="AS42" s="131"/>
      <c r="AT42" s="84"/>
      <c r="AU42" s="84"/>
      <c r="AV42" s="84"/>
      <c r="AW42" s="85"/>
      <c r="AX42" s="84"/>
      <c r="AY42" s="84"/>
      <c r="AZ42" s="85"/>
      <c r="BA42" s="84"/>
      <c r="BB42" s="84"/>
      <c r="BC42" s="85"/>
      <c r="BD42" s="84"/>
      <c r="BE42" s="84"/>
      <c r="BF42" s="84"/>
      <c r="BG42" s="85"/>
      <c r="BH42" s="84"/>
      <c r="BI42" s="84"/>
      <c r="BJ42" s="85"/>
      <c r="BK42" s="84"/>
      <c r="BL42" s="84"/>
      <c r="BM42" s="85"/>
      <c r="BN42" s="84"/>
      <c r="BO42" s="84"/>
      <c r="BP42" s="84"/>
      <c r="BQ42" s="85"/>
      <c r="BR42" s="84"/>
      <c r="BS42" s="84"/>
      <c r="BT42" s="84"/>
      <c r="BU42" s="84"/>
      <c r="BV42" s="84"/>
      <c r="BW42" s="84"/>
      <c r="BX42" s="84"/>
      <c r="BY42" s="84"/>
      <c r="BZ42" s="84"/>
    </row>
    <row r="43" spans="1:78" ht="15" thickBot="1" x14ac:dyDescent="0.25">
      <c r="A43" s="84"/>
      <c r="B43" s="222"/>
      <c r="C43" s="228">
        <f>'Pricing Trends'!R49</f>
        <v>0</v>
      </c>
      <c r="D43" s="223">
        <f>'Pricing Trends'!U49</f>
        <v>0</v>
      </c>
      <c r="E43" s="220" t="b">
        <v>0</v>
      </c>
      <c r="F43" s="84"/>
      <c r="G43" s="230" t="s">
        <v>476</v>
      </c>
      <c r="H43" s="119">
        <v>3843</v>
      </c>
      <c r="I43" s="151">
        <f>IFERROR(VLOOKUP(H43,'Free Items'!A:C,3,FALSE),0)</f>
        <v>3.8003999999999998</v>
      </c>
      <c r="J43" s="119">
        <v>12</v>
      </c>
      <c r="K43" s="84"/>
      <c r="L43" s="84"/>
      <c r="M43" s="131"/>
      <c r="N43" s="131"/>
      <c r="O43" s="131"/>
      <c r="P43" s="131"/>
      <c r="Q43" s="131"/>
      <c r="R43" s="84"/>
      <c r="S43" s="122">
        <f>(I43*J43)+$S$37</f>
        <v>889.64271999999983</v>
      </c>
      <c r="T43" s="84"/>
      <c r="U43" s="84"/>
      <c r="V43" s="131"/>
      <c r="W43" s="84"/>
      <c r="X43" s="84"/>
      <c r="Y43" s="84"/>
      <c r="Z43" s="170"/>
      <c r="AA43" s="131"/>
      <c r="AB43" s="131"/>
      <c r="AC43" s="131"/>
      <c r="AD43" s="131"/>
      <c r="AE43" s="131"/>
      <c r="AF43" s="131"/>
      <c r="AG43" s="131"/>
      <c r="AH43" s="131"/>
      <c r="AI43" s="131"/>
      <c r="AJ43" s="131"/>
      <c r="AK43" s="131"/>
      <c r="AL43" s="131"/>
      <c r="AM43" s="131"/>
      <c r="AN43" s="84"/>
      <c r="AO43" s="84"/>
      <c r="AP43" s="131"/>
      <c r="AQ43" s="84"/>
      <c r="AR43" s="84"/>
      <c r="AS43" s="131"/>
      <c r="AT43" s="84"/>
      <c r="AU43" s="84"/>
      <c r="AV43" s="84"/>
      <c r="AW43" s="85"/>
      <c r="AX43" s="84"/>
      <c r="AY43" s="84"/>
      <c r="AZ43" s="85"/>
      <c r="BA43" s="84"/>
      <c r="BB43" s="84"/>
      <c r="BC43" s="85"/>
      <c r="BD43" s="84"/>
      <c r="BE43" s="84"/>
      <c r="BF43" s="84"/>
      <c r="BG43" s="85"/>
      <c r="BH43" s="84"/>
      <c r="BI43" s="84"/>
      <c r="BJ43" s="85"/>
      <c r="BK43" s="84"/>
      <c r="BL43" s="84"/>
      <c r="BM43" s="85"/>
      <c r="BN43" s="84"/>
      <c r="BO43" s="84"/>
      <c r="BP43" s="84"/>
      <c r="BQ43" s="85"/>
      <c r="BR43" s="84"/>
      <c r="BS43" s="84"/>
      <c r="BT43" s="84"/>
      <c r="BU43" s="84"/>
      <c r="BV43" s="84"/>
      <c r="BW43" s="84"/>
      <c r="BX43" s="84"/>
      <c r="BY43" s="84"/>
      <c r="BZ43" s="84"/>
    </row>
    <row r="44" spans="1:78" ht="15" thickBot="1" x14ac:dyDescent="0.25">
      <c r="A44" s="84"/>
      <c r="B44" s="222"/>
      <c r="C44" s="228">
        <f>'Pricing Trends'!R50</f>
        <v>0</v>
      </c>
      <c r="D44" s="223">
        <f>'Pricing Trends'!U50</f>
        <v>0</v>
      </c>
      <c r="E44" s="220" t="b">
        <v>0</v>
      </c>
      <c r="F44" s="84"/>
      <c r="G44" s="230" t="s">
        <v>502</v>
      </c>
      <c r="H44" s="119">
        <v>3442</v>
      </c>
      <c r="I44" s="151">
        <f>IFERROR(VLOOKUP(H44,'Free Items'!A:C,3,FALSE),0)</f>
        <v>6.7531210000000002</v>
      </c>
      <c r="J44" s="119">
        <v>12</v>
      </c>
      <c r="K44" s="84"/>
      <c r="L44" s="84"/>
      <c r="M44" s="131"/>
      <c r="N44" s="131"/>
      <c r="O44" s="131"/>
      <c r="P44" s="131"/>
      <c r="Q44" s="131"/>
      <c r="R44" s="84"/>
      <c r="S44" s="85"/>
      <c r="T44" s="84"/>
      <c r="U44" s="84"/>
      <c r="V44" s="131"/>
      <c r="W44" s="84"/>
      <c r="X44" s="84"/>
      <c r="Y44" s="84"/>
      <c r="Z44" s="131"/>
      <c r="AA44" s="131"/>
      <c r="AB44" s="131"/>
      <c r="AC44" s="131"/>
      <c r="AD44" s="131"/>
      <c r="AE44" s="131"/>
      <c r="AF44" s="131"/>
      <c r="AG44" s="131"/>
      <c r="AH44" s="131"/>
      <c r="AI44" s="131"/>
      <c r="AJ44" s="131"/>
      <c r="AK44" s="131"/>
      <c r="AL44" s="131"/>
      <c r="AM44" s="131"/>
      <c r="AN44" s="84"/>
      <c r="AO44" s="84"/>
      <c r="AP44" s="131"/>
      <c r="AQ44" s="84"/>
      <c r="AR44" s="84"/>
      <c r="AS44" s="131"/>
      <c r="AT44" s="84"/>
      <c r="AU44" s="84"/>
      <c r="AV44" s="84"/>
      <c r="AW44" s="122">
        <f>(I44*J44)+$AW$37</f>
        <v>183.87745200000001</v>
      </c>
      <c r="AX44" s="84"/>
      <c r="AY44" s="84"/>
      <c r="AZ44" s="85"/>
      <c r="BA44" s="84"/>
      <c r="BB44" s="84"/>
      <c r="BC44" s="85"/>
      <c r="BD44" s="84"/>
      <c r="BE44" s="84"/>
      <c r="BF44" s="84"/>
      <c r="BG44" s="85"/>
      <c r="BH44" s="84"/>
      <c r="BI44" s="84"/>
      <c r="BJ44" s="85"/>
      <c r="BK44" s="84"/>
      <c r="BL44" s="84"/>
      <c r="BM44" s="85"/>
      <c r="BN44" s="84"/>
      <c r="BO44" s="84"/>
      <c r="BP44" s="84"/>
      <c r="BQ44" s="85"/>
      <c r="BR44" s="84"/>
      <c r="BS44" s="84"/>
      <c r="BT44" s="84"/>
      <c r="BU44" s="84"/>
      <c r="BV44" s="84"/>
      <c r="BW44" s="84"/>
      <c r="BX44" s="84"/>
      <c r="BY44" s="84"/>
      <c r="BZ44" s="84"/>
    </row>
    <row r="45" spans="1:78" ht="15" thickBot="1" x14ac:dyDescent="0.25">
      <c r="A45" s="84"/>
      <c r="B45" s="222"/>
      <c r="C45" s="228">
        <f>'Pricing Trends'!R51</f>
        <v>0</v>
      </c>
      <c r="D45" s="223">
        <f>'Pricing Trends'!U51</f>
        <v>0</v>
      </c>
      <c r="E45" s="220" t="b">
        <v>0</v>
      </c>
      <c r="F45" s="84"/>
      <c r="G45" s="230" t="s">
        <v>477</v>
      </c>
      <c r="H45" s="119">
        <v>3995</v>
      </c>
      <c r="I45" s="151">
        <f>IFERROR(VLOOKUP(H45,'Free Items'!A:C,3,FALSE),0)</f>
        <v>2.5</v>
      </c>
      <c r="J45" s="119">
        <v>36</v>
      </c>
      <c r="K45" s="84"/>
      <c r="L45" s="84"/>
      <c r="M45" s="122">
        <f>(I45*J45)+$M$37</f>
        <v>1014.6298160000001</v>
      </c>
      <c r="N45" s="84"/>
      <c r="O45" s="84"/>
      <c r="P45" s="85"/>
      <c r="Q45" s="84"/>
      <c r="R45" s="84"/>
      <c r="S45" s="85"/>
      <c r="T45" s="84"/>
      <c r="U45" s="84"/>
      <c r="V45" s="131"/>
      <c r="W45" s="84"/>
      <c r="X45" s="84"/>
      <c r="Y45" s="84"/>
      <c r="Z45" s="85"/>
      <c r="AA45" s="84"/>
      <c r="AB45" s="84"/>
      <c r="AC45" s="85"/>
      <c r="AD45" s="84"/>
      <c r="AE45" s="84"/>
      <c r="AF45" s="85"/>
      <c r="AG45" s="84"/>
      <c r="AH45" s="84"/>
      <c r="AI45" s="131"/>
      <c r="AJ45" s="131"/>
      <c r="AK45" s="84"/>
      <c r="AL45" s="85"/>
      <c r="AM45" s="84"/>
      <c r="AN45" s="84"/>
      <c r="AO45" s="84"/>
      <c r="AP45" s="131"/>
      <c r="AQ45" s="84"/>
      <c r="AR45" s="84"/>
      <c r="AS45" s="131"/>
      <c r="AT45" s="84"/>
      <c r="AU45" s="84"/>
      <c r="AV45" s="84"/>
      <c r="AW45" s="85"/>
      <c r="AX45" s="84"/>
      <c r="AY45" s="84"/>
      <c r="AZ45" s="85"/>
      <c r="BA45" s="84"/>
      <c r="BB45" s="84"/>
      <c r="BC45" s="85"/>
      <c r="BD45" s="84"/>
      <c r="BE45" s="84"/>
      <c r="BF45" s="84"/>
      <c r="BG45" s="85"/>
      <c r="BH45" s="84"/>
      <c r="BI45" s="84"/>
      <c r="BJ45" s="85"/>
      <c r="BK45" s="84"/>
      <c r="BL45" s="84"/>
      <c r="BM45" s="85"/>
      <c r="BN45" s="84"/>
      <c r="BO45" s="84"/>
      <c r="BP45" s="84"/>
      <c r="BQ45" s="85"/>
      <c r="BR45" s="84"/>
      <c r="BS45" s="84"/>
      <c r="BT45" s="84"/>
      <c r="BU45" s="84"/>
      <c r="BV45" s="84"/>
      <c r="BW45" s="84"/>
      <c r="BX45" s="84"/>
      <c r="BY45" s="84"/>
      <c r="BZ45" s="84"/>
    </row>
    <row r="46" spans="1:78" ht="15" thickBot="1" x14ac:dyDescent="0.25">
      <c r="A46" s="84"/>
      <c r="B46" s="222"/>
      <c r="C46" s="228">
        <f>'Pricing Trends'!R52</f>
        <v>0</v>
      </c>
      <c r="D46" s="223">
        <f>'Pricing Trends'!U52</f>
        <v>0</v>
      </c>
      <c r="E46" s="220" t="b">
        <v>0</v>
      </c>
      <c r="F46" s="84"/>
      <c r="G46" s="230" t="s">
        <v>478</v>
      </c>
      <c r="H46" s="119">
        <v>3996</v>
      </c>
      <c r="I46" s="151">
        <f>IFERROR(VLOOKUP(H46,'Free Items'!A:C,3,FALSE),0)</f>
        <v>15.615399999999999</v>
      </c>
      <c r="J46" s="119">
        <v>6</v>
      </c>
      <c r="K46" s="84"/>
      <c r="L46" s="84"/>
      <c r="M46" s="131"/>
      <c r="N46" s="131"/>
      <c r="O46" s="131"/>
      <c r="P46" s="131"/>
      <c r="Q46" s="131"/>
      <c r="R46" s="131"/>
      <c r="S46" s="131"/>
      <c r="T46" s="131"/>
      <c r="U46" s="131"/>
      <c r="V46" s="131"/>
      <c r="W46" s="84"/>
      <c r="X46" s="84"/>
      <c r="Y46" s="84"/>
      <c r="Z46" s="131"/>
      <c r="AA46" s="131"/>
      <c r="AB46" s="131"/>
      <c r="AC46" s="131"/>
      <c r="AD46" s="131"/>
      <c r="AE46" s="131"/>
      <c r="AF46" s="131"/>
      <c r="AG46" s="131"/>
      <c r="AH46" s="131"/>
      <c r="AI46" s="131"/>
      <c r="AJ46" s="131"/>
      <c r="AK46" s="131"/>
      <c r="AL46" s="131"/>
      <c r="AM46" s="131"/>
      <c r="AN46" s="84"/>
      <c r="AO46" s="131"/>
      <c r="AP46" s="131"/>
      <c r="AQ46" s="84"/>
      <c r="AR46" s="131"/>
      <c r="AS46" s="131"/>
      <c r="AT46" s="84"/>
      <c r="AU46" s="84"/>
      <c r="AV46" s="84"/>
      <c r="AW46" s="85"/>
      <c r="AX46" s="84"/>
      <c r="AY46" s="84"/>
      <c r="AZ46" s="122">
        <f>(I46*J46)+$AZ$37</f>
        <v>224.9924</v>
      </c>
      <c r="BA46" s="84"/>
      <c r="BB46" s="85"/>
      <c r="BC46" s="85"/>
      <c r="BD46" s="85"/>
      <c r="BE46" s="84"/>
      <c r="BF46" s="84"/>
      <c r="BG46" s="85"/>
      <c r="BH46" s="84"/>
      <c r="BI46" s="84"/>
      <c r="BJ46" s="85"/>
      <c r="BK46" s="84"/>
      <c r="BL46" s="84"/>
      <c r="BM46" s="85"/>
      <c r="BN46" s="84"/>
      <c r="BO46" s="84"/>
      <c r="BP46" s="84"/>
      <c r="BQ46" s="85"/>
      <c r="BR46" s="84"/>
      <c r="BS46" s="84"/>
      <c r="BT46" s="84"/>
      <c r="BU46" s="84"/>
      <c r="BV46" s="84"/>
      <c r="BW46" s="84"/>
      <c r="BX46" s="84"/>
      <c r="BY46" s="84"/>
      <c r="BZ46" s="84"/>
    </row>
    <row r="47" spans="1:78" ht="15" thickBot="1" x14ac:dyDescent="0.25">
      <c r="A47" s="84"/>
      <c r="B47" s="222"/>
      <c r="C47" s="228">
        <f>'Pricing Trends'!R53</f>
        <v>0</v>
      </c>
      <c r="D47" s="223">
        <f>'Pricing Trends'!U53</f>
        <v>0</v>
      </c>
      <c r="E47" s="220" t="b">
        <v>0</v>
      </c>
      <c r="F47" s="84"/>
      <c r="G47" s="230" t="s">
        <v>479</v>
      </c>
      <c r="H47" s="119">
        <v>3997</v>
      </c>
      <c r="I47" s="151">
        <f>IFERROR(VLOOKUP(H47,'Free Items'!A:C,3,FALSE),0)</f>
        <v>4.9653</v>
      </c>
      <c r="J47" s="119">
        <v>12</v>
      </c>
      <c r="K47" s="84"/>
      <c r="L47" s="84"/>
      <c r="M47" s="131"/>
      <c r="N47" s="131"/>
      <c r="O47" s="131"/>
      <c r="P47" s="131"/>
      <c r="Q47" s="131"/>
      <c r="R47" s="131"/>
      <c r="S47" s="131"/>
      <c r="T47" s="131"/>
      <c r="U47" s="131"/>
      <c r="V47" s="131"/>
      <c r="W47" s="84"/>
      <c r="X47" s="84"/>
      <c r="Y47" s="84"/>
      <c r="Z47" s="131"/>
      <c r="AA47" s="131"/>
      <c r="AB47" s="131"/>
      <c r="AC47" s="131"/>
      <c r="AD47" s="131"/>
      <c r="AE47" s="131"/>
      <c r="AF47" s="131"/>
      <c r="AG47" s="131"/>
      <c r="AH47" s="131"/>
      <c r="AI47" s="131"/>
      <c r="AJ47" s="131"/>
      <c r="AK47" s="131"/>
      <c r="AL47" s="131"/>
      <c r="AM47" s="131"/>
      <c r="AN47" s="84"/>
      <c r="AO47" s="131"/>
      <c r="AP47" s="131"/>
      <c r="AQ47" s="84"/>
      <c r="AR47" s="131"/>
      <c r="AS47" s="131"/>
      <c r="AT47" s="84"/>
      <c r="AU47" s="84"/>
      <c r="AV47" s="84"/>
      <c r="AW47" s="85"/>
      <c r="AX47" s="84"/>
      <c r="AY47" s="84"/>
      <c r="AZ47" s="85"/>
      <c r="BA47" s="84"/>
      <c r="BB47" s="85"/>
      <c r="BC47" s="85"/>
      <c r="BD47" s="85"/>
      <c r="BE47" s="84"/>
      <c r="BF47" s="84"/>
      <c r="BG47" s="122">
        <f>(I47*J47)+$BG$37</f>
        <v>162.42360000000002</v>
      </c>
      <c r="BH47" s="84"/>
      <c r="BI47" s="84"/>
      <c r="BJ47" s="85"/>
      <c r="BK47" s="84"/>
      <c r="BL47" s="84"/>
      <c r="BM47" s="85"/>
      <c r="BN47" s="84"/>
      <c r="BO47" s="84"/>
      <c r="BP47" s="84"/>
      <c r="BQ47" s="85"/>
      <c r="BR47" s="84"/>
      <c r="BS47" s="84"/>
      <c r="BT47" s="84"/>
      <c r="BU47" s="84"/>
      <c r="BV47" s="84"/>
      <c r="BW47" s="84"/>
      <c r="BX47" s="84"/>
      <c r="BY47" s="84"/>
      <c r="BZ47" s="84"/>
    </row>
    <row r="48" spans="1:78" ht="15" thickBot="1" x14ac:dyDescent="0.25">
      <c r="A48" s="84"/>
      <c r="B48" s="222"/>
      <c r="C48" s="228">
        <f>'Pricing Trends'!R54</f>
        <v>0</v>
      </c>
      <c r="D48" s="223">
        <f>'Pricing Trends'!U54</f>
        <v>0</v>
      </c>
      <c r="E48" s="220" t="b">
        <v>0</v>
      </c>
      <c r="F48" s="84"/>
      <c r="G48" s="230" t="s">
        <v>480</v>
      </c>
      <c r="H48" s="119">
        <v>3998</v>
      </c>
      <c r="I48" s="151">
        <f>IFERROR(VLOOKUP(H48,'Free Items'!A:C,3,FALSE),0)</f>
        <v>13.25</v>
      </c>
      <c r="J48" s="119">
        <v>6</v>
      </c>
      <c r="K48" s="84"/>
      <c r="L48" s="84"/>
      <c r="M48" s="131"/>
      <c r="N48" s="131"/>
      <c r="O48" s="131"/>
      <c r="P48" s="131"/>
      <c r="Q48" s="131"/>
      <c r="R48" s="131"/>
      <c r="S48" s="131"/>
      <c r="T48" s="131"/>
      <c r="U48" s="131"/>
      <c r="V48" s="122">
        <f>(I48*J48)+$V$37</f>
        <v>934.95792000000006</v>
      </c>
      <c r="W48" s="84"/>
      <c r="X48" s="84"/>
      <c r="Y48" s="84"/>
      <c r="Z48" s="131"/>
      <c r="AA48" s="131"/>
      <c r="AB48" s="131"/>
      <c r="AC48" s="131"/>
      <c r="AD48" s="131"/>
      <c r="AE48" s="131"/>
      <c r="AF48" s="131"/>
      <c r="AG48" s="131"/>
      <c r="AH48" s="131"/>
      <c r="AI48" s="131"/>
      <c r="AJ48" s="131"/>
      <c r="AK48" s="131"/>
      <c r="AL48" s="131"/>
      <c r="AM48" s="131"/>
      <c r="AN48" s="84"/>
      <c r="AO48" s="131"/>
      <c r="AP48" s="131"/>
      <c r="AQ48" s="84"/>
      <c r="AR48" s="131"/>
      <c r="AS48" s="131"/>
      <c r="AT48" s="84"/>
      <c r="AU48" s="84"/>
      <c r="AV48" s="84"/>
      <c r="AW48" s="85"/>
      <c r="AX48" s="84"/>
      <c r="AY48" s="84"/>
      <c r="AZ48" s="85"/>
      <c r="BA48" s="84"/>
      <c r="BB48" s="85"/>
      <c r="BC48" s="85"/>
      <c r="BD48" s="85"/>
      <c r="BE48" s="84"/>
      <c r="BF48" s="84"/>
      <c r="BG48" s="85"/>
      <c r="BH48" s="84"/>
      <c r="BI48" s="84"/>
      <c r="BJ48" s="85"/>
      <c r="BK48" s="84"/>
      <c r="BL48" s="84"/>
      <c r="BM48" s="85"/>
      <c r="BN48" s="84"/>
      <c r="BO48" s="84"/>
      <c r="BP48" s="84"/>
      <c r="BQ48" s="85"/>
      <c r="BR48" s="84"/>
      <c r="BS48" s="84"/>
      <c r="BT48" s="84"/>
      <c r="BU48" s="84"/>
      <c r="BV48" s="84"/>
      <c r="BW48" s="84"/>
      <c r="BX48" s="84"/>
      <c r="BY48" s="84"/>
      <c r="BZ48" s="84"/>
    </row>
    <row r="49" spans="1:78" ht="15" thickBot="1" x14ac:dyDescent="0.25">
      <c r="A49" s="84"/>
      <c r="B49" s="84"/>
      <c r="C49" s="226"/>
      <c r="D49" s="84"/>
      <c r="E49" s="84"/>
      <c r="F49" s="84"/>
      <c r="G49" s="230" t="s">
        <v>482</v>
      </c>
      <c r="H49" s="119">
        <v>4023</v>
      </c>
      <c r="I49" s="151">
        <f>IFERROR(VLOOKUP(H49,'Free Items'!A:C,3,FALSE),0)</f>
        <v>6.5475000000000003</v>
      </c>
      <c r="J49" s="119">
        <v>12</v>
      </c>
      <c r="K49" s="84"/>
      <c r="L49" s="84"/>
      <c r="M49" s="131"/>
      <c r="N49" s="131"/>
      <c r="O49" s="131"/>
      <c r="P49" s="131"/>
      <c r="Q49" s="131"/>
      <c r="R49" s="131"/>
      <c r="S49" s="131"/>
      <c r="T49" s="131"/>
      <c r="U49" s="131"/>
      <c r="V49" s="131"/>
      <c r="W49" s="84"/>
      <c r="X49" s="84"/>
      <c r="Y49" s="84"/>
      <c r="Z49" s="131"/>
      <c r="AA49" s="131"/>
      <c r="AB49" s="131"/>
      <c r="AC49" s="131"/>
      <c r="AD49" s="131"/>
      <c r="AE49" s="131"/>
      <c r="AF49" s="131"/>
      <c r="AG49" s="131"/>
      <c r="AH49" s="131"/>
      <c r="AI49" s="131"/>
      <c r="AJ49" s="131"/>
      <c r="AK49" s="131"/>
      <c r="AL49" s="131"/>
      <c r="AM49" s="131"/>
      <c r="AN49" s="84"/>
      <c r="AO49" s="131"/>
      <c r="AP49" s="131"/>
      <c r="AQ49" s="84"/>
      <c r="AR49" s="131"/>
      <c r="AS49" s="131"/>
      <c r="AT49" s="84"/>
      <c r="AU49" s="84"/>
      <c r="AV49" s="84"/>
      <c r="AW49" s="122">
        <f>(I49*J49)+$AW$37+18</f>
        <v>199.41000000000003</v>
      </c>
      <c r="AX49" s="84"/>
      <c r="AY49" s="84"/>
      <c r="AZ49" s="85"/>
      <c r="BA49" s="84"/>
      <c r="BB49" s="85"/>
      <c r="BC49" s="85"/>
      <c r="BD49" s="85"/>
      <c r="BE49" s="84"/>
      <c r="BF49" s="84"/>
      <c r="BG49" s="85"/>
      <c r="BH49" s="84"/>
      <c r="BI49" s="84"/>
      <c r="BJ49" s="85"/>
      <c r="BK49" s="84"/>
      <c r="BL49" s="84"/>
      <c r="BM49" s="85"/>
      <c r="BN49" s="84"/>
      <c r="BO49" s="84"/>
      <c r="BP49" s="84"/>
      <c r="BQ49" s="85"/>
      <c r="BR49" s="84"/>
      <c r="BS49" s="84"/>
      <c r="BT49" s="84"/>
      <c r="BU49" s="84"/>
      <c r="BV49" s="84"/>
      <c r="BW49" s="84"/>
      <c r="BX49" s="84"/>
      <c r="BY49" s="84"/>
      <c r="BZ49" s="84"/>
    </row>
    <row r="50" spans="1:78" x14ac:dyDescent="0.2">
      <c r="A50" s="84"/>
      <c r="B50" s="84"/>
      <c r="C50" s="226"/>
      <c r="D50" s="84"/>
      <c r="E50" s="84"/>
      <c r="F50" s="84"/>
      <c r="G50" s="84"/>
      <c r="H50" s="120"/>
      <c r="I50" s="149"/>
      <c r="J50" s="84"/>
      <c r="K50" s="84"/>
      <c r="L50" s="84"/>
      <c r="M50" s="131"/>
      <c r="N50" s="131"/>
      <c r="O50" s="131"/>
      <c r="P50" s="131"/>
      <c r="Q50" s="131"/>
      <c r="R50" s="131"/>
      <c r="S50" s="131"/>
      <c r="T50" s="131"/>
      <c r="U50" s="131"/>
      <c r="V50" s="131"/>
      <c r="W50" s="84"/>
      <c r="X50" s="84"/>
      <c r="Y50" s="84"/>
      <c r="Z50" s="131"/>
      <c r="AA50" s="131"/>
      <c r="AB50" s="131"/>
      <c r="AC50" s="131"/>
      <c r="AD50" s="131"/>
      <c r="AE50" s="131"/>
      <c r="AF50" s="131"/>
      <c r="AG50" s="131"/>
      <c r="AH50" s="131"/>
      <c r="AI50" s="131"/>
      <c r="AJ50" s="131"/>
      <c r="AK50" s="131"/>
      <c r="AL50" s="131"/>
      <c r="AM50" s="131"/>
      <c r="AN50" s="84"/>
      <c r="AO50" s="131"/>
      <c r="AP50" s="131"/>
      <c r="AQ50" s="84"/>
      <c r="AR50" s="131"/>
      <c r="AS50" s="131"/>
      <c r="AT50" s="84"/>
      <c r="AU50" s="84"/>
      <c r="AV50" s="84"/>
      <c r="AW50" s="85"/>
      <c r="AX50" s="84"/>
      <c r="AY50" s="84"/>
      <c r="AZ50" s="85"/>
      <c r="BA50" s="84"/>
      <c r="BB50" s="85"/>
      <c r="BC50" s="85"/>
      <c r="BD50" s="85"/>
      <c r="BE50" s="84"/>
      <c r="BF50" s="84"/>
      <c r="BG50" s="85"/>
      <c r="BH50" s="84"/>
      <c r="BI50" s="84"/>
      <c r="BJ50" s="85"/>
      <c r="BK50" s="84"/>
      <c r="BL50" s="84"/>
      <c r="BM50" s="85"/>
      <c r="BN50" s="84"/>
      <c r="BO50" s="84"/>
      <c r="BP50" s="84"/>
      <c r="BQ50" s="85"/>
      <c r="BR50" s="84"/>
      <c r="BS50" s="84"/>
      <c r="BT50" s="84"/>
      <c r="BU50" s="84"/>
      <c r="BV50" s="84"/>
      <c r="BW50" s="84"/>
      <c r="BX50" s="84"/>
      <c r="BY50" s="84"/>
      <c r="BZ50" s="84"/>
    </row>
    <row r="51" spans="1:78" x14ac:dyDescent="0.2">
      <c r="A51" s="84"/>
      <c r="B51" s="84"/>
      <c r="C51" s="226"/>
      <c r="D51" s="85"/>
      <c r="E51" s="84"/>
      <c r="F51" s="84"/>
      <c r="G51" s="84"/>
      <c r="H51" s="120"/>
      <c r="I51" s="149"/>
      <c r="J51" s="84"/>
      <c r="K51" s="84"/>
      <c r="L51" s="84"/>
      <c r="M51" s="131"/>
      <c r="N51" s="131"/>
      <c r="O51" s="131"/>
      <c r="P51" s="131"/>
      <c r="Q51" s="131"/>
      <c r="R51" s="131"/>
      <c r="S51" s="131"/>
      <c r="T51" s="131"/>
      <c r="U51" s="131"/>
      <c r="V51" s="131"/>
      <c r="W51" s="84"/>
      <c r="X51" s="84"/>
      <c r="Y51" s="84"/>
      <c r="Z51" s="131"/>
      <c r="AA51" s="131"/>
      <c r="AB51" s="131"/>
      <c r="AC51" s="131"/>
      <c r="AD51" s="131"/>
      <c r="AE51" s="131"/>
      <c r="AF51" s="131"/>
      <c r="AG51" s="131"/>
      <c r="AH51" s="131"/>
      <c r="AI51" s="131"/>
      <c r="AJ51" s="131"/>
      <c r="AK51" s="131"/>
      <c r="AL51" s="131"/>
      <c r="AM51" s="131"/>
      <c r="AN51" s="84"/>
      <c r="AO51" s="131"/>
      <c r="AP51" s="131"/>
      <c r="AQ51" s="84"/>
      <c r="AR51" s="131"/>
      <c r="AS51" s="131"/>
      <c r="AT51" s="84"/>
      <c r="AU51" s="84"/>
      <c r="AV51" s="84"/>
      <c r="AW51" s="85"/>
      <c r="AX51" s="84"/>
      <c r="AY51" s="84"/>
      <c r="AZ51" s="85"/>
      <c r="BA51" s="84"/>
      <c r="BB51" s="85"/>
      <c r="BC51" s="85"/>
      <c r="BD51" s="85"/>
      <c r="BE51" s="84"/>
      <c r="BF51" s="84"/>
      <c r="BG51" s="85"/>
      <c r="BH51" s="84"/>
      <c r="BI51" s="84"/>
      <c r="BJ51" s="85"/>
      <c r="BK51" s="84"/>
      <c r="BL51" s="84"/>
      <c r="BM51" s="85"/>
      <c r="BN51" s="84"/>
      <c r="BO51" s="84"/>
      <c r="BP51" s="84"/>
      <c r="BQ51" s="85"/>
      <c r="BR51" s="84"/>
      <c r="BS51" s="84"/>
      <c r="BT51" s="84"/>
      <c r="BU51" s="84"/>
      <c r="BV51" s="84"/>
      <c r="BW51" s="84"/>
      <c r="BX51" s="84"/>
      <c r="BY51" s="84"/>
      <c r="BZ51" s="84"/>
    </row>
    <row r="52" spans="1:78" x14ac:dyDescent="0.2">
      <c r="A52" s="84"/>
      <c r="B52" s="84"/>
      <c r="C52" s="226"/>
      <c r="D52" s="85"/>
      <c r="E52" s="84"/>
      <c r="F52" s="84"/>
      <c r="G52" s="84"/>
      <c r="H52" s="120"/>
      <c r="I52" s="149"/>
      <c r="J52" s="84"/>
      <c r="K52" s="84"/>
      <c r="L52" s="84"/>
      <c r="M52" s="131"/>
      <c r="N52" s="131"/>
      <c r="O52" s="131"/>
      <c r="P52" s="131"/>
      <c r="Q52" s="131"/>
      <c r="R52" s="131"/>
      <c r="S52" s="131"/>
      <c r="T52" s="131"/>
      <c r="U52" s="131"/>
      <c r="V52" s="131"/>
      <c r="W52" s="84"/>
      <c r="X52" s="84"/>
      <c r="Y52" s="84"/>
      <c r="Z52" s="131"/>
      <c r="AA52" s="131"/>
      <c r="AB52" s="131"/>
      <c r="AC52" s="131"/>
      <c r="AD52" s="131"/>
      <c r="AE52" s="131"/>
      <c r="AF52" s="131"/>
      <c r="AG52" s="131"/>
      <c r="AH52" s="131"/>
      <c r="AI52" s="131"/>
      <c r="AJ52" s="131"/>
      <c r="AK52" s="131"/>
      <c r="AL52" s="131"/>
      <c r="AM52" s="131"/>
      <c r="AN52" s="84"/>
      <c r="AO52" s="131"/>
      <c r="AP52" s="131"/>
      <c r="AQ52" s="84"/>
      <c r="AR52" s="131"/>
      <c r="AS52" s="131"/>
      <c r="AT52" s="84"/>
      <c r="AU52" s="84"/>
      <c r="AV52" s="84"/>
      <c r="AW52" s="85"/>
      <c r="AX52" s="84"/>
      <c r="AY52" s="84"/>
      <c r="AZ52" s="85"/>
      <c r="BA52" s="84"/>
      <c r="BB52" s="85"/>
      <c r="BC52" s="85"/>
      <c r="BD52" s="85"/>
      <c r="BE52" s="84"/>
      <c r="BF52" s="84"/>
      <c r="BG52" s="85"/>
      <c r="BH52" s="84"/>
      <c r="BI52" s="84"/>
      <c r="BJ52" s="85"/>
      <c r="BK52" s="84"/>
      <c r="BL52" s="84"/>
      <c r="BM52" s="85"/>
      <c r="BN52" s="84"/>
      <c r="BO52" s="84"/>
      <c r="BP52" s="84"/>
      <c r="BQ52" s="85"/>
      <c r="BR52" s="84"/>
      <c r="BS52" s="84"/>
      <c r="BT52" s="84"/>
      <c r="BU52" s="84"/>
      <c r="BV52" s="84"/>
      <c r="BW52" s="84"/>
      <c r="BX52" s="84"/>
      <c r="BY52" s="84"/>
      <c r="BZ52" s="84"/>
    </row>
    <row r="53" spans="1:78" x14ac:dyDescent="0.2">
      <c r="A53" s="84"/>
      <c r="B53" s="84"/>
      <c r="C53" s="226"/>
      <c r="D53" s="84"/>
      <c r="E53" s="84"/>
      <c r="F53" s="84"/>
      <c r="G53" s="84"/>
      <c r="H53" s="120"/>
      <c r="I53" s="149"/>
      <c r="J53" s="84"/>
      <c r="K53" s="84"/>
      <c r="L53" s="84"/>
      <c r="M53" s="131"/>
      <c r="N53" s="131"/>
      <c r="O53" s="131"/>
      <c r="P53" s="131"/>
      <c r="Q53" s="131"/>
      <c r="R53" s="131"/>
      <c r="S53" s="131"/>
      <c r="T53" s="131"/>
      <c r="U53" s="131"/>
      <c r="V53" s="131"/>
      <c r="W53" s="84"/>
      <c r="X53" s="84"/>
      <c r="Y53" s="84"/>
      <c r="Z53" s="131"/>
      <c r="AA53" s="131"/>
      <c r="AB53" s="131"/>
      <c r="AC53" s="131"/>
      <c r="AD53" s="131"/>
      <c r="AE53" s="131"/>
      <c r="AF53" s="131"/>
      <c r="AG53" s="131"/>
      <c r="AH53" s="131"/>
      <c r="AI53" s="131"/>
      <c r="AJ53" s="131"/>
      <c r="AK53" s="131"/>
      <c r="AL53" s="131"/>
      <c r="AM53" s="131"/>
      <c r="AN53" s="84"/>
      <c r="AO53" s="131"/>
      <c r="AP53" s="131"/>
      <c r="AQ53" s="84"/>
      <c r="AR53" s="131"/>
      <c r="AS53" s="131"/>
      <c r="AT53" s="84"/>
      <c r="AU53" s="84"/>
      <c r="AV53" s="84"/>
      <c r="AW53" s="85"/>
      <c r="AX53" s="84"/>
      <c r="AY53" s="84"/>
      <c r="AZ53" s="85"/>
      <c r="BA53" s="84"/>
      <c r="BB53" s="85"/>
      <c r="BC53" s="85"/>
      <c r="BD53" s="85"/>
      <c r="BE53" s="84"/>
      <c r="BF53" s="84"/>
      <c r="BG53" s="85"/>
      <c r="BH53" s="84"/>
      <c r="BI53" s="84"/>
      <c r="BJ53" s="85"/>
      <c r="BK53" s="84"/>
      <c r="BL53" s="84"/>
      <c r="BM53" s="85"/>
      <c r="BN53" s="84"/>
      <c r="BO53" s="84"/>
      <c r="BP53" s="84"/>
      <c r="BQ53" s="85"/>
      <c r="BR53" s="84"/>
      <c r="BS53" s="84"/>
      <c r="BT53" s="84"/>
      <c r="BU53" s="84"/>
      <c r="BV53" s="84"/>
      <c r="BW53" s="84"/>
      <c r="BX53" s="84"/>
      <c r="BY53" s="84"/>
      <c r="BZ53" s="84"/>
    </row>
    <row r="54" spans="1:78" x14ac:dyDescent="0.2">
      <c r="A54" s="84"/>
      <c r="B54" s="84"/>
      <c r="C54" s="226"/>
      <c r="D54" s="84"/>
      <c r="E54" s="84"/>
      <c r="F54" s="84"/>
      <c r="G54" s="84"/>
      <c r="H54" s="120"/>
      <c r="I54" s="149"/>
      <c r="J54" s="84"/>
      <c r="K54" s="84"/>
      <c r="L54" s="84"/>
      <c r="M54" s="131"/>
      <c r="N54" s="131"/>
      <c r="O54" s="131"/>
      <c r="P54" s="131"/>
      <c r="Q54" s="131"/>
      <c r="R54" s="131"/>
      <c r="S54" s="131"/>
      <c r="T54" s="131"/>
      <c r="U54" s="131"/>
      <c r="V54" s="131"/>
      <c r="W54" s="84"/>
      <c r="X54" s="84"/>
      <c r="Y54" s="84"/>
      <c r="Z54" s="131"/>
      <c r="AA54" s="131"/>
      <c r="AB54" s="131"/>
      <c r="AC54" s="131"/>
      <c r="AD54" s="131"/>
      <c r="AE54" s="131"/>
      <c r="AF54" s="131"/>
      <c r="AG54" s="131"/>
      <c r="AH54" s="131"/>
      <c r="AI54" s="131"/>
      <c r="AJ54" s="131"/>
      <c r="AK54" s="131"/>
      <c r="AL54" s="131"/>
      <c r="AM54" s="131"/>
      <c r="AN54" s="84"/>
      <c r="AO54" s="131"/>
      <c r="AP54" s="131"/>
      <c r="AQ54" s="84"/>
      <c r="AR54" s="131"/>
      <c r="AS54" s="131"/>
      <c r="AT54" s="84"/>
      <c r="AU54" s="84"/>
      <c r="AV54" s="84"/>
      <c r="AW54" s="85"/>
      <c r="AX54" s="84"/>
      <c r="AY54" s="84"/>
      <c r="AZ54" s="85"/>
      <c r="BA54" s="84"/>
      <c r="BB54" s="85"/>
      <c r="BC54" s="85"/>
      <c r="BD54" s="85"/>
      <c r="BE54" s="84"/>
      <c r="BF54" s="84"/>
      <c r="BG54" s="85"/>
      <c r="BH54" s="84"/>
      <c r="BI54" s="84"/>
      <c r="BJ54" s="85"/>
      <c r="BK54" s="84"/>
      <c r="BL54" s="84"/>
      <c r="BM54" s="85"/>
      <c r="BN54" s="84"/>
      <c r="BO54" s="84"/>
      <c r="BP54" s="84"/>
      <c r="BQ54" s="85"/>
      <c r="BR54" s="84"/>
      <c r="BS54" s="84"/>
      <c r="BT54" s="84"/>
      <c r="BU54" s="84"/>
      <c r="BV54" s="84"/>
      <c r="BW54" s="84"/>
      <c r="BX54" s="84"/>
      <c r="BY54" s="84"/>
      <c r="BZ54" s="84"/>
    </row>
    <row r="55" spans="1:78" x14ac:dyDescent="0.2">
      <c r="A55" s="84"/>
      <c r="B55" s="84"/>
      <c r="C55" s="226"/>
      <c r="D55" s="84"/>
      <c r="E55" s="84"/>
      <c r="F55" s="84"/>
      <c r="G55" s="84"/>
      <c r="H55" s="120"/>
      <c r="I55" s="149"/>
      <c r="J55" s="84"/>
      <c r="K55" s="84"/>
      <c r="L55" s="84"/>
      <c r="M55" s="131"/>
      <c r="N55" s="131"/>
      <c r="O55" s="131"/>
      <c r="P55" s="131"/>
      <c r="Q55" s="131"/>
      <c r="R55" s="131"/>
      <c r="S55" s="131"/>
      <c r="T55" s="131"/>
      <c r="U55" s="131"/>
      <c r="V55" s="131"/>
      <c r="W55" s="84"/>
      <c r="X55" s="84"/>
      <c r="Y55" s="84"/>
      <c r="Z55" s="131"/>
      <c r="AA55" s="131"/>
      <c r="AB55" s="131"/>
      <c r="AC55" s="131"/>
      <c r="AD55" s="131"/>
      <c r="AE55" s="131"/>
      <c r="AF55" s="131"/>
      <c r="AG55" s="131"/>
      <c r="AH55" s="131"/>
      <c r="AI55" s="131"/>
      <c r="AJ55" s="131"/>
      <c r="AK55" s="131"/>
      <c r="AL55" s="131"/>
      <c r="AM55" s="131"/>
      <c r="AN55" s="84"/>
      <c r="AO55" s="131"/>
      <c r="AP55" s="131"/>
      <c r="AQ55" s="84"/>
      <c r="AR55" s="131"/>
      <c r="AS55" s="131"/>
      <c r="AT55" s="84"/>
      <c r="AU55" s="84"/>
      <c r="AV55" s="84"/>
      <c r="AW55" s="85"/>
      <c r="AX55" s="84"/>
      <c r="AY55" s="84"/>
      <c r="AZ55" s="85"/>
      <c r="BA55" s="84"/>
      <c r="BB55" s="85"/>
      <c r="BC55" s="85"/>
      <c r="BD55" s="85"/>
      <c r="BE55" s="84"/>
      <c r="BF55" s="84"/>
      <c r="BG55" s="85"/>
      <c r="BH55" s="84"/>
      <c r="BI55" s="84"/>
      <c r="BJ55" s="85"/>
      <c r="BK55" s="84"/>
      <c r="BL55" s="84"/>
      <c r="BM55" s="85"/>
      <c r="BN55" s="84"/>
      <c r="BO55" s="84"/>
      <c r="BP55" s="84"/>
      <c r="BQ55" s="85"/>
      <c r="BR55" s="84"/>
      <c r="BS55" s="84"/>
      <c r="BT55" s="84"/>
      <c r="BU55" s="84"/>
      <c r="BV55" s="84"/>
      <c r="BW55" s="84"/>
      <c r="BX55" s="84"/>
      <c r="BY55" s="84"/>
      <c r="BZ55" s="84"/>
    </row>
    <row r="56" spans="1:78" x14ac:dyDescent="0.2">
      <c r="A56" s="84"/>
      <c r="B56" s="84"/>
      <c r="C56" s="226"/>
      <c r="D56" s="84"/>
      <c r="E56" s="84"/>
      <c r="F56" s="84"/>
      <c r="G56" s="84"/>
      <c r="H56" s="120"/>
      <c r="I56" s="149"/>
      <c r="J56" s="84"/>
      <c r="K56" s="84"/>
      <c r="L56" s="84"/>
      <c r="M56" s="131"/>
      <c r="N56" s="131"/>
      <c r="O56" s="131"/>
      <c r="P56" s="131"/>
      <c r="Q56" s="131"/>
      <c r="R56" s="131"/>
      <c r="S56" s="131"/>
      <c r="T56" s="131"/>
      <c r="U56" s="131"/>
      <c r="V56" s="131"/>
      <c r="W56" s="84"/>
      <c r="X56" s="84"/>
      <c r="Y56" s="84"/>
      <c r="Z56" s="131"/>
      <c r="AA56" s="131"/>
      <c r="AB56" s="131"/>
      <c r="AC56" s="131"/>
      <c r="AD56" s="131"/>
      <c r="AE56" s="131"/>
      <c r="AF56" s="131"/>
      <c r="AG56" s="131"/>
      <c r="AH56" s="131"/>
      <c r="AI56" s="131"/>
      <c r="AJ56" s="131"/>
      <c r="AK56" s="131"/>
      <c r="AL56" s="131"/>
      <c r="AM56" s="131"/>
      <c r="AN56" s="84"/>
      <c r="AO56" s="131"/>
      <c r="AP56" s="131"/>
      <c r="AQ56" s="84"/>
      <c r="AR56" s="131"/>
      <c r="AS56" s="131"/>
      <c r="AT56" s="84"/>
      <c r="AU56" s="84"/>
      <c r="AV56" s="84"/>
      <c r="AW56" s="85"/>
      <c r="AX56" s="84"/>
      <c r="AY56" s="84"/>
      <c r="AZ56" s="85"/>
      <c r="BA56" s="84"/>
      <c r="BB56" s="85"/>
      <c r="BC56" s="85"/>
      <c r="BD56" s="85"/>
      <c r="BE56" s="84"/>
      <c r="BF56" s="84"/>
      <c r="BG56" s="85"/>
      <c r="BH56" s="84"/>
      <c r="BI56" s="84"/>
      <c r="BJ56" s="85"/>
      <c r="BK56" s="84"/>
      <c r="BL56" s="84"/>
      <c r="BM56" s="85"/>
      <c r="BN56" s="84"/>
      <c r="BO56" s="84"/>
      <c r="BP56" s="84"/>
      <c r="BQ56" s="85"/>
      <c r="BR56" s="84"/>
      <c r="BS56" s="84"/>
      <c r="BT56" s="84"/>
      <c r="BU56" s="84"/>
      <c r="BV56" s="84"/>
      <c r="BW56" s="84"/>
      <c r="BX56" s="84"/>
      <c r="BY56" s="84"/>
      <c r="BZ56" s="84"/>
    </row>
    <row r="57" spans="1:78" x14ac:dyDescent="0.2">
      <c r="A57" s="84"/>
      <c r="B57" s="84"/>
      <c r="C57" s="226"/>
      <c r="D57" s="84"/>
      <c r="E57" s="84"/>
      <c r="F57" s="84"/>
      <c r="G57" s="84"/>
      <c r="H57" s="120"/>
      <c r="I57" s="149"/>
      <c r="J57" s="84"/>
      <c r="K57" s="84"/>
      <c r="L57" s="84"/>
      <c r="M57" s="131"/>
      <c r="N57" s="131"/>
      <c r="O57" s="131"/>
      <c r="P57" s="131"/>
      <c r="Q57" s="131"/>
      <c r="R57" s="131"/>
      <c r="S57" s="131"/>
      <c r="T57" s="131"/>
      <c r="U57" s="131"/>
      <c r="V57" s="131"/>
      <c r="W57" s="84"/>
      <c r="X57" s="84"/>
      <c r="Y57" s="84"/>
      <c r="Z57" s="131"/>
      <c r="AA57" s="131"/>
      <c r="AB57" s="131"/>
      <c r="AC57" s="131"/>
      <c r="AD57" s="131"/>
      <c r="AE57" s="131"/>
      <c r="AF57" s="131"/>
      <c r="AG57" s="131"/>
      <c r="AH57" s="131"/>
      <c r="AI57" s="131"/>
      <c r="AJ57" s="131"/>
      <c r="AK57" s="131"/>
      <c r="AL57" s="131"/>
      <c r="AM57" s="131"/>
      <c r="AN57" s="84"/>
      <c r="AO57" s="131"/>
      <c r="AP57" s="131"/>
      <c r="AQ57" s="84"/>
      <c r="AR57" s="131"/>
      <c r="AS57" s="131"/>
      <c r="AT57" s="84"/>
      <c r="AU57" s="84"/>
      <c r="AV57" s="84"/>
      <c r="AW57" s="85"/>
      <c r="AX57" s="84"/>
      <c r="AY57" s="84"/>
      <c r="AZ57" s="85"/>
      <c r="BA57" s="84"/>
      <c r="BB57" s="85"/>
      <c r="BC57" s="85"/>
      <c r="BD57" s="85"/>
      <c r="BE57" s="84"/>
      <c r="BF57" s="84"/>
      <c r="BG57" s="85"/>
      <c r="BH57" s="84"/>
      <c r="BI57" s="84"/>
      <c r="BJ57" s="85"/>
      <c r="BK57" s="84"/>
      <c r="BL57" s="84"/>
      <c r="BM57" s="85"/>
      <c r="BN57" s="84"/>
      <c r="BO57" s="84"/>
      <c r="BP57" s="84"/>
      <c r="BQ57" s="85"/>
      <c r="BR57" s="84"/>
      <c r="BS57" s="84"/>
      <c r="BT57" s="84"/>
      <c r="BU57" s="84"/>
      <c r="BV57" s="84"/>
      <c r="BW57" s="84"/>
      <c r="BX57" s="84"/>
      <c r="BY57" s="84"/>
      <c r="BZ57" s="84"/>
    </row>
    <row r="58" spans="1:78" x14ac:dyDescent="0.2">
      <c r="A58" s="84"/>
      <c r="B58" s="84"/>
      <c r="C58" s="226"/>
      <c r="D58" s="84"/>
      <c r="E58" s="84"/>
      <c r="F58" s="84"/>
      <c r="G58" s="84"/>
      <c r="H58" s="120"/>
      <c r="I58" s="149"/>
      <c r="J58" s="84"/>
      <c r="K58" s="84"/>
      <c r="L58" s="84"/>
      <c r="M58" s="131"/>
      <c r="N58" s="131"/>
      <c r="O58" s="131"/>
      <c r="P58" s="131"/>
      <c r="Q58" s="131"/>
      <c r="R58" s="131"/>
      <c r="S58" s="131"/>
      <c r="T58" s="131"/>
      <c r="U58" s="131"/>
      <c r="V58" s="131"/>
      <c r="W58" s="84"/>
      <c r="X58" s="84"/>
      <c r="Y58" s="84"/>
      <c r="Z58" s="131"/>
      <c r="AA58" s="131"/>
      <c r="AB58" s="131"/>
      <c r="AC58" s="131"/>
      <c r="AD58" s="131"/>
      <c r="AE58" s="131"/>
      <c r="AF58" s="131"/>
      <c r="AG58" s="131"/>
      <c r="AH58" s="131"/>
      <c r="AI58" s="131"/>
      <c r="AJ58" s="131"/>
      <c r="AK58" s="131"/>
      <c r="AL58" s="131"/>
      <c r="AM58" s="131"/>
      <c r="AN58" s="84"/>
      <c r="AO58" s="131"/>
      <c r="AP58" s="131"/>
      <c r="AQ58" s="84"/>
      <c r="AR58" s="131"/>
      <c r="AS58" s="131"/>
      <c r="AT58" s="84"/>
      <c r="AU58" s="84"/>
      <c r="AV58" s="84"/>
      <c r="AW58" s="85"/>
      <c r="AX58" s="84"/>
      <c r="AY58" s="84"/>
      <c r="AZ58" s="85"/>
      <c r="BA58" s="84"/>
      <c r="BB58" s="85"/>
      <c r="BC58" s="85"/>
      <c r="BD58" s="85"/>
      <c r="BE58" s="84"/>
      <c r="BF58" s="84"/>
      <c r="BG58" s="85"/>
      <c r="BH58" s="84"/>
      <c r="BI58" s="84"/>
      <c r="BJ58" s="85"/>
      <c r="BK58" s="84"/>
      <c r="BL58" s="84"/>
      <c r="BM58" s="85"/>
      <c r="BN58" s="84"/>
      <c r="BO58" s="84"/>
      <c r="BP58" s="84"/>
      <c r="BQ58" s="85"/>
      <c r="BR58" s="84"/>
      <c r="BS58" s="84"/>
      <c r="BT58" s="84"/>
      <c r="BU58" s="84"/>
      <c r="BV58" s="84"/>
      <c r="BW58" s="84"/>
      <c r="BX58" s="84"/>
      <c r="BY58" s="84"/>
      <c r="BZ58" s="84"/>
    </row>
    <row r="59" spans="1:78" x14ac:dyDescent="0.2">
      <c r="A59" s="84"/>
      <c r="B59" s="84"/>
      <c r="C59" s="226"/>
      <c r="D59" s="84"/>
      <c r="E59" s="84"/>
      <c r="F59" s="84"/>
      <c r="G59" s="84"/>
      <c r="H59" s="120"/>
      <c r="I59" s="149"/>
      <c r="J59" s="84"/>
      <c r="K59" s="84"/>
      <c r="L59" s="84"/>
      <c r="M59" s="131"/>
      <c r="N59" s="131"/>
      <c r="O59" s="131"/>
      <c r="P59" s="131"/>
      <c r="Q59" s="131"/>
      <c r="R59" s="131"/>
      <c r="S59" s="131"/>
      <c r="T59" s="131"/>
      <c r="U59" s="131"/>
      <c r="V59" s="131"/>
      <c r="W59" s="84"/>
      <c r="X59" s="84"/>
      <c r="Y59" s="84"/>
      <c r="Z59" s="131"/>
      <c r="AA59" s="131"/>
      <c r="AB59" s="131"/>
      <c r="AC59" s="131"/>
      <c r="AD59" s="131"/>
      <c r="AE59" s="131"/>
      <c r="AF59" s="131"/>
      <c r="AG59" s="131"/>
      <c r="AH59" s="131"/>
      <c r="AI59" s="131"/>
      <c r="AJ59" s="131"/>
      <c r="AK59" s="131"/>
      <c r="AL59" s="131"/>
      <c r="AM59" s="131"/>
      <c r="AN59" s="84"/>
      <c r="AO59" s="131"/>
      <c r="AP59" s="131"/>
      <c r="AQ59" s="84"/>
      <c r="AR59" s="131"/>
      <c r="AS59" s="131"/>
      <c r="AT59" s="84"/>
      <c r="AU59" s="84"/>
      <c r="AV59" s="84"/>
      <c r="AW59" s="85"/>
      <c r="AX59" s="84"/>
      <c r="AY59" s="84"/>
      <c r="AZ59" s="85"/>
      <c r="BA59" s="84"/>
      <c r="BB59" s="85"/>
      <c r="BC59" s="85"/>
      <c r="BD59" s="85"/>
      <c r="BE59" s="84"/>
      <c r="BF59" s="84"/>
      <c r="BG59" s="85"/>
      <c r="BH59" s="84"/>
      <c r="BI59" s="84"/>
      <c r="BJ59" s="85"/>
      <c r="BK59" s="84"/>
      <c r="BL59" s="84"/>
      <c r="BM59" s="85"/>
      <c r="BN59" s="84"/>
      <c r="BO59" s="84"/>
      <c r="BP59" s="84"/>
      <c r="BQ59" s="85"/>
      <c r="BR59" s="84"/>
      <c r="BS59" s="84"/>
      <c r="BT59" s="84"/>
      <c r="BU59" s="84"/>
      <c r="BV59" s="84"/>
      <c r="BW59" s="84"/>
      <c r="BX59" s="84"/>
      <c r="BY59" s="84"/>
      <c r="BZ59" s="84"/>
    </row>
    <row r="60" spans="1:78" x14ac:dyDescent="0.2">
      <c r="A60" s="84"/>
      <c r="B60" s="84"/>
      <c r="C60" s="226"/>
      <c r="D60" s="84"/>
      <c r="E60" s="84"/>
      <c r="F60" s="84"/>
      <c r="G60" s="84"/>
      <c r="H60" s="120"/>
      <c r="I60" s="149"/>
      <c r="J60" s="84"/>
      <c r="K60" s="84"/>
      <c r="L60" s="84"/>
      <c r="M60" s="131"/>
      <c r="N60" s="131"/>
      <c r="O60" s="131"/>
      <c r="P60" s="131"/>
      <c r="Q60" s="131"/>
      <c r="R60" s="131"/>
      <c r="S60" s="131"/>
      <c r="T60" s="131"/>
      <c r="U60" s="131"/>
      <c r="V60" s="131"/>
      <c r="W60" s="84"/>
      <c r="X60" s="84"/>
      <c r="Y60" s="84"/>
      <c r="Z60" s="131"/>
      <c r="AA60" s="131"/>
      <c r="AB60" s="131"/>
      <c r="AC60" s="131"/>
      <c r="AD60" s="131"/>
      <c r="AE60" s="131"/>
      <c r="AF60" s="131"/>
      <c r="AG60" s="131"/>
      <c r="AH60" s="131"/>
      <c r="AI60" s="131"/>
      <c r="AJ60" s="131"/>
      <c r="AK60" s="131"/>
      <c r="AL60" s="131"/>
      <c r="AM60" s="131"/>
      <c r="AN60" s="84"/>
      <c r="AO60" s="131"/>
      <c r="AP60" s="131"/>
      <c r="AQ60" s="84"/>
      <c r="AR60" s="131"/>
      <c r="AS60" s="131"/>
      <c r="AT60" s="84"/>
      <c r="AU60" s="84"/>
      <c r="AV60" s="84"/>
      <c r="AW60" s="85"/>
      <c r="AX60" s="84"/>
      <c r="AY60" s="84"/>
      <c r="AZ60" s="85"/>
      <c r="BA60" s="84"/>
      <c r="BB60" s="85"/>
      <c r="BC60" s="85"/>
      <c r="BD60" s="85"/>
      <c r="BE60" s="84"/>
      <c r="BF60" s="84"/>
      <c r="BG60" s="85"/>
      <c r="BH60" s="84"/>
      <c r="BI60" s="84"/>
      <c r="BJ60" s="85"/>
      <c r="BK60" s="84"/>
      <c r="BL60" s="84"/>
      <c r="BM60" s="85"/>
      <c r="BN60" s="84"/>
      <c r="BO60" s="84"/>
      <c r="BP60" s="84"/>
      <c r="BQ60" s="85"/>
      <c r="BR60" s="84"/>
      <c r="BS60" s="84"/>
      <c r="BT60" s="84"/>
      <c r="BU60" s="84"/>
      <c r="BV60" s="84"/>
      <c r="BW60" s="84"/>
      <c r="BX60" s="84"/>
      <c r="BY60" s="84"/>
      <c r="BZ60" s="84"/>
    </row>
    <row r="61" spans="1:78" x14ac:dyDescent="0.2">
      <c r="A61" s="84"/>
      <c r="B61" s="84"/>
      <c r="C61" s="226"/>
      <c r="D61" s="84"/>
      <c r="E61" s="84"/>
      <c r="F61" s="84"/>
      <c r="G61" s="84"/>
      <c r="H61" s="120"/>
      <c r="I61" s="149"/>
      <c r="J61" s="84"/>
      <c r="K61" s="84"/>
      <c r="L61" s="84"/>
      <c r="M61" s="131"/>
      <c r="N61" s="131"/>
      <c r="O61" s="131"/>
      <c r="P61" s="131"/>
      <c r="Q61" s="131"/>
      <c r="R61" s="131"/>
      <c r="S61" s="131"/>
      <c r="T61" s="131"/>
      <c r="U61" s="131"/>
      <c r="V61" s="131"/>
      <c r="W61" s="84"/>
      <c r="X61" s="84"/>
      <c r="Y61" s="84"/>
      <c r="Z61" s="131"/>
      <c r="AA61" s="131"/>
      <c r="AB61" s="131"/>
      <c r="AC61" s="131"/>
      <c r="AD61" s="131"/>
      <c r="AE61" s="131"/>
      <c r="AF61" s="131"/>
      <c r="AG61" s="131"/>
      <c r="AH61" s="131"/>
      <c r="AI61" s="131"/>
      <c r="AJ61" s="131"/>
      <c r="AK61" s="131"/>
      <c r="AL61" s="131"/>
      <c r="AM61" s="131"/>
      <c r="AN61" s="84"/>
      <c r="AO61" s="131"/>
      <c r="AP61" s="131"/>
      <c r="AQ61" s="84"/>
      <c r="AR61" s="131"/>
      <c r="AS61" s="131"/>
      <c r="AT61" s="84"/>
      <c r="AU61" s="84"/>
      <c r="AV61" s="84"/>
      <c r="AW61" s="85"/>
      <c r="AX61" s="84"/>
      <c r="AY61" s="84"/>
      <c r="AZ61" s="85"/>
      <c r="BA61" s="84"/>
      <c r="BB61" s="85"/>
      <c r="BC61" s="85"/>
      <c r="BD61" s="85"/>
      <c r="BE61" s="84"/>
      <c r="BF61" s="84"/>
      <c r="BG61" s="85"/>
      <c r="BH61" s="84"/>
      <c r="BI61" s="84"/>
      <c r="BJ61" s="85"/>
      <c r="BK61" s="84"/>
      <c r="BL61" s="84"/>
      <c r="BM61" s="85"/>
      <c r="BN61" s="84"/>
      <c r="BO61" s="84"/>
      <c r="BP61" s="84"/>
      <c r="BQ61" s="85"/>
      <c r="BR61" s="84"/>
      <c r="BS61" s="84"/>
      <c r="BT61" s="84"/>
      <c r="BU61" s="84"/>
      <c r="BV61" s="84"/>
      <c r="BW61" s="84"/>
      <c r="BX61" s="84"/>
      <c r="BY61" s="84"/>
      <c r="BZ61" s="84"/>
    </row>
    <row r="62" spans="1:78" x14ac:dyDescent="0.2">
      <c r="A62" s="84"/>
      <c r="B62" s="84"/>
      <c r="C62" s="226"/>
      <c r="D62" s="84"/>
      <c r="E62" s="84"/>
      <c r="F62" s="84"/>
      <c r="G62" s="84"/>
      <c r="H62" s="120"/>
      <c r="I62" s="149"/>
      <c r="J62" s="84"/>
      <c r="K62" s="84"/>
      <c r="L62" s="84"/>
      <c r="M62" s="131"/>
      <c r="N62" s="131"/>
      <c r="O62" s="131"/>
      <c r="P62" s="131"/>
      <c r="Q62" s="131"/>
      <c r="R62" s="131"/>
      <c r="S62" s="131"/>
      <c r="T62" s="131"/>
      <c r="U62" s="131"/>
      <c r="V62" s="131"/>
      <c r="W62" s="84"/>
      <c r="X62" s="84"/>
      <c r="Y62" s="84"/>
      <c r="Z62" s="131"/>
      <c r="AA62" s="131"/>
      <c r="AB62" s="131"/>
      <c r="AC62" s="131"/>
      <c r="AD62" s="131"/>
      <c r="AE62" s="131"/>
      <c r="AF62" s="131"/>
      <c r="AG62" s="131"/>
      <c r="AH62" s="131"/>
      <c r="AI62" s="131"/>
      <c r="AJ62" s="131"/>
      <c r="AK62" s="131"/>
      <c r="AL62" s="131"/>
      <c r="AM62" s="131"/>
      <c r="AN62" s="84"/>
      <c r="AO62" s="131"/>
      <c r="AP62" s="131"/>
      <c r="AQ62" s="84"/>
      <c r="AR62" s="131"/>
      <c r="AS62" s="131"/>
      <c r="AT62" s="84"/>
      <c r="AU62" s="84"/>
      <c r="AV62" s="84"/>
      <c r="AW62" s="85"/>
      <c r="AX62" s="84"/>
      <c r="AY62" s="84"/>
      <c r="AZ62" s="85"/>
      <c r="BA62" s="84"/>
      <c r="BB62" s="85"/>
      <c r="BC62" s="85"/>
      <c r="BD62" s="85"/>
      <c r="BE62" s="84"/>
      <c r="BF62" s="84"/>
      <c r="BG62" s="85"/>
      <c r="BH62" s="84"/>
      <c r="BI62" s="84"/>
      <c r="BJ62" s="85"/>
      <c r="BK62" s="84"/>
      <c r="BL62" s="84"/>
      <c r="BM62" s="85"/>
      <c r="BN62" s="84"/>
      <c r="BO62" s="84"/>
      <c r="BP62" s="84"/>
      <c r="BQ62" s="85"/>
      <c r="BR62" s="84"/>
      <c r="BS62" s="84"/>
      <c r="BT62" s="84"/>
      <c r="BU62" s="84"/>
      <c r="BV62" s="84"/>
      <c r="BW62" s="84"/>
      <c r="BX62" s="84"/>
      <c r="BY62" s="84"/>
      <c r="BZ62" s="84"/>
    </row>
    <row r="63" spans="1:78" x14ac:dyDescent="0.2">
      <c r="A63" s="84"/>
      <c r="B63" s="84"/>
      <c r="C63" s="226"/>
      <c r="D63" s="84"/>
      <c r="E63" s="84"/>
      <c r="F63" s="84"/>
      <c r="G63" s="84"/>
      <c r="H63" s="120"/>
      <c r="I63" s="149"/>
      <c r="J63" s="84"/>
      <c r="K63" s="84"/>
      <c r="L63" s="84"/>
      <c r="M63" s="131"/>
      <c r="N63" s="131"/>
      <c r="O63" s="131"/>
      <c r="P63" s="131"/>
      <c r="Q63" s="131"/>
      <c r="R63" s="131"/>
      <c r="S63" s="131"/>
      <c r="T63" s="131"/>
      <c r="U63" s="131"/>
      <c r="V63" s="131"/>
      <c r="W63" s="84"/>
      <c r="X63" s="84"/>
      <c r="Y63" s="84"/>
      <c r="Z63" s="131"/>
      <c r="AA63" s="131"/>
      <c r="AB63" s="131"/>
      <c r="AC63" s="131"/>
      <c r="AD63" s="131"/>
      <c r="AE63" s="131"/>
      <c r="AF63" s="131"/>
      <c r="AG63" s="131"/>
      <c r="AH63" s="131"/>
      <c r="AI63" s="131"/>
      <c r="AJ63" s="131"/>
      <c r="AK63" s="131"/>
      <c r="AL63" s="131"/>
      <c r="AM63" s="131"/>
      <c r="AN63" s="84"/>
      <c r="AO63" s="131"/>
      <c r="AP63" s="131"/>
      <c r="AQ63" s="84"/>
      <c r="AR63" s="131"/>
      <c r="AS63" s="131"/>
      <c r="AT63" s="84"/>
      <c r="AU63" s="84"/>
      <c r="AV63" s="84"/>
      <c r="AW63" s="85"/>
      <c r="AX63" s="84"/>
      <c r="AY63" s="84"/>
      <c r="AZ63" s="85"/>
      <c r="BA63" s="84"/>
      <c r="BB63" s="85"/>
      <c r="BC63" s="85"/>
      <c r="BD63" s="85"/>
      <c r="BE63" s="84"/>
      <c r="BF63" s="84"/>
      <c r="BG63" s="85"/>
      <c r="BH63" s="84"/>
      <c r="BI63" s="84"/>
      <c r="BJ63" s="85"/>
      <c r="BK63" s="84"/>
      <c r="BL63" s="84"/>
      <c r="BM63" s="85"/>
      <c r="BN63" s="84"/>
      <c r="BO63" s="84"/>
      <c r="BP63" s="84"/>
      <c r="BQ63" s="85"/>
      <c r="BR63" s="84"/>
      <c r="BS63" s="84"/>
      <c r="BT63" s="84"/>
      <c r="BU63" s="84"/>
      <c r="BV63" s="84"/>
      <c r="BW63" s="84"/>
      <c r="BX63" s="84"/>
      <c r="BY63" s="84"/>
      <c r="BZ63" s="84"/>
    </row>
    <row r="64" spans="1:78" x14ac:dyDescent="0.2">
      <c r="A64" s="84"/>
      <c r="B64" s="84"/>
      <c r="C64" s="226"/>
      <c r="D64" s="84"/>
      <c r="E64" s="84"/>
      <c r="F64" s="84"/>
      <c r="G64" s="84"/>
      <c r="H64" s="120"/>
      <c r="I64" s="149"/>
      <c r="J64" s="84"/>
      <c r="K64" s="84"/>
      <c r="L64" s="84"/>
      <c r="M64" s="131"/>
      <c r="N64" s="131"/>
      <c r="O64" s="131"/>
      <c r="P64" s="131"/>
      <c r="Q64" s="131"/>
      <c r="R64" s="131"/>
      <c r="S64" s="131"/>
      <c r="T64" s="131"/>
      <c r="U64" s="131"/>
      <c r="V64" s="131"/>
      <c r="W64" s="84"/>
      <c r="X64" s="84"/>
      <c r="Y64" s="84"/>
      <c r="Z64" s="131"/>
      <c r="AA64" s="131"/>
      <c r="AB64" s="131"/>
      <c r="AC64" s="131"/>
      <c r="AD64" s="131"/>
      <c r="AE64" s="131"/>
      <c r="AF64" s="131"/>
      <c r="AG64" s="131"/>
      <c r="AH64" s="131"/>
      <c r="AI64" s="131"/>
      <c r="AJ64" s="131"/>
      <c r="AK64" s="131"/>
      <c r="AL64" s="131"/>
      <c r="AM64" s="131"/>
      <c r="AN64" s="84"/>
      <c r="AO64" s="131"/>
      <c r="AP64" s="131"/>
      <c r="AQ64" s="84"/>
      <c r="AR64" s="131"/>
      <c r="AS64" s="131"/>
      <c r="AT64" s="84"/>
      <c r="AU64" s="84"/>
      <c r="AV64" s="84"/>
      <c r="AW64" s="85"/>
      <c r="AX64" s="84"/>
      <c r="AY64" s="84"/>
      <c r="AZ64" s="85"/>
      <c r="BA64" s="84"/>
      <c r="BB64" s="85"/>
      <c r="BC64" s="85"/>
      <c r="BD64" s="85"/>
      <c r="BE64" s="84"/>
      <c r="BF64" s="84"/>
      <c r="BG64" s="85"/>
      <c r="BH64" s="84"/>
      <c r="BI64" s="84"/>
      <c r="BJ64" s="85"/>
      <c r="BK64" s="84"/>
      <c r="BL64" s="84"/>
      <c r="BM64" s="85"/>
      <c r="BN64" s="84"/>
      <c r="BO64" s="84"/>
      <c r="BP64" s="84"/>
      <c r="BQ64" s="85"/>
      <c r="BR64" s="84"/>
      <c r="BS64" s="84"/>
      <c r="BT64" s="84"/>
      <c r="BU64" s="84"/>
      <c r="BV64" s="84"/>
      <c r="BW64" s="84"/>
      <c r="BX64" s="84"/>
      <c r="BY64" s="84"/>
      <c r="BZ64" s="84"/>
    </row>
  </sheetData>
  <mergeCells count="49">
    <mergeCell ref="B2:D5"/>
    <mergeCell ref="G2:J4"/>
    <mergeCell ref="L2:AM2"/>
    <mergeCell ref="AO2:AT2"/>
    <mergeCell ref="AV2:BA2"/>
    <mergeCell ref="G5:J5"/>
    <mergeCell ref="BF2:BK2"/>
    <mergeCell ref="BL2:BN2"/>
    <mergeCell ref="BP2:BR2"/>
    <mergeCell ref="L3:W4"/>
    <mergeCell ref="Y3:AM4"/>
    <mergeCell ref="AO3:AQ4"/>
    <mergeCell ref="AR3:AT4"/>
    <mergeCell ref="AV3:BD4"/>
    <mergeCell ref="BF3:BN4"/>
    <mergeCell ref="BP3:BR4"/>
    <mergeCell ref="BB2:BD2"/>
    <mergeCell ref="G17:J17"/>
    <mergeCell ref="G6:J6"/>
    <mergeCell ref="G7:J7"/>
    <mergeCell ref="G8:J8"/>
    <mergeCell ref="G9:J9"/>
    <mergeCell ref="G10:J10"/>
    <mergeCell ref="G11:J11"/>
    <mergeCell ref="G12:J12"/>
    <mergeCell ref="G13:J13"/>
    <mergeCell ref="G14:J14"/>
    <mergeCell ref="G15:J15"/>
    <mergeCell ref="G16:J16"/>
    <mergeCell ref="G29:J29"/>
    <mergeCell ref="G18:J18"/>
    <mergeCell ref="G19:J19"/>
    <mergeCell ref="G20:J20"/>
    <mergeCell ref="G21:J21"/>
    <mergeCell ref="G22:J22"/>
    <mergeCell ref="G23:J23"/>
    <mergeCell ref="G24:J24"/>
    <mergeCell ref="G25:J25"/>
    <mergeCell ref="G26:J26"/>
    <mergeCell ref="G27:J27"/>
    <mergeCell ref="G28:J28"/>
    <mergeCell ref="G36:J36"/>
    <mergeCell ref="G37:J37"/>
    <mergeCell ref="G30:J30"/>
    <mergeCell ref="G31:J31"/>
    <mergeCell ref="G32:J32"/>
    <mergeCell ref="G33:J33"/>
    <mergeCell ref="G34:J34"/>
    <mergeCell ref="G35:J35"/>
  </mergeCells>
  <conditionalFormatting sqref="M35:W35">
    <cfRule type="cellIs" dxfId="5" priority="20" operator="lessThan">
      <formula>0</formula>
    </cfRule>
  </conditionalFormatting>
  <conditionalFormatting sqref="Z35:AM35">
    <cfRule type="cellIs" dxfId="4" priority="1" operator="lessThan">
      <formula>0</formula>
    </cfRule>
  </conditionalFormatting>
  <conditionalFormatting sqref="AO35:AT35">
    <cfRule type="cellIs" dxfId="3" priority="9" operator="lessThan">
      <formula>0</formula>
    </cfRule>
  </conditionalFormatting>
  <conditionalFormatting sqref="AV35:BD35">
    <cfRule type="cellIs" dxfId="2" priority="7" operator="lessThan">
      <formula>0</formula>
    </cfRule>
  </conditionalFormatting>
  <conditionalFormatting sqref="BF35:BN35">
    <cfRule type="cellIs" dxfId="1" priority="12" operator="lessThan">
      <formula>0</formula>
    </cfRule>
  </conditionalFormatting>
  <conditionalFormatting sqref="BP35:BR35">
    <cfRule type="cellIs" dxfId="0" priority="11" operator="lessThan">
      <formula>0</formula>
    </cfRule>
  </conditionalFormatting>
  <dataValidations count="1">
    <dataValidation type="list" allowBlank="1" showInputMessage="1" showErrorMessage="1" sqref="BL2" xr:uid="{00000000-0002-0000-0B00-000000000000}">
      <formula1>$U$37:$U$40</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1</xdr:col>
                    <xdr:colOff>85725</xdr:colOff>
                    <xdr:row>6</xdr:row>
                    <xdr:rowOff>19050</xdr:rowOff>
                  </from>
                  <to>
                    <xdr:col>1</xdr:col>
                    <xdr:colOff>323850</xdr:colOff>
                    <xdr:row>6</xdr:row>
                    <xdr:rowOff>171450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xdr:col>
                    <xdr:colOff>85725</xdr:colOff>
                    <xdr:row>7</xdr:row>
                    <xdr:rowOff>19050</xdr:rowOff>
                  </from>
                  <to>
                    <xdr:col>1</xdr:col>
                    <xdr:colOff>323850</xdr:colOff>
                    <xdr:row>7</xdr:row>
                    <xdr:rowOff>171450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1</xdr:col>
                    <xdr:colOff>85725</xdr:colOff>
                    <xdr:row>8</xdr:row>
                    <xdr:rowOff>19050</xdr:rowOff>
                  </from>
                  <to>
                    <xdr:col>1</xdr:col>
                    <xdr:colOff>323850</xdr:colOff>
                    <xdr:row>8</xdr:row>
                    <xdr:rowOff>171450</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1</xdr:col>
                    <xdr:colOff>85725</xdr:colOff>
                    <xdr:row>9</xdr:row>
                    <xdr:rowOff>19050</xdr:rowOff>
                  </from>
                  <to>
                    <xdr:col>1</xdr:col>
                    <xdr:colOff>323850</xdr:colOff>
                    <xdr:row>9</xdr:row>
                    <xdr:rowOff>171450</xdr:rowOff>
                  </to>
                </anchor>
              </controlPr>
            </control>
          </mc:Choice>
        </mc:AlternateContent>
        <mc:AlternateContent xmlns:mc="http://schemas.openxmlformats.org/markup-compatibility/2006">
          <mc:Choice Requires="x14">
            <control shapeId="40965" r:id="rId8" name="Check Box 5">
              <controlPr defaultSize="0" autoFill="0" autoLine="0" autoPict="0">
                <anchor moveWithCells="1">
                  <from>
                    <xdr:col>1</xdr:col>
                    <xdr:colOff>85725</xdr:colOff>
                    <xdr:row>10</xdr:row>
                    <xdr:rowOff>19050</xdr:rowOff>
                  </from>
                  <to>
                    <xdr:col>1</xdr:col>
                    <xdr:colOff>323850</xdr:colOff>
                    <xdr:row>10</xdr:row>
                    <xdr:rowOff>171450</xdr:rowOff>
                  </to>
                </anchor>
              </controlPr>
            </control>
          </mc:Choice>
        </mc:AlternateContent>
        <mc:AlternateContent xmlns:mc="http://schemas.openxmlformats.org/markup-compatibility/2006">
          <mc:Choice Requires="x14">
            <control shapeId="40966" r:id="rId9" name="Check Box 6">
              <controlPr defaultSize="0" autoFill="0" autoLine="0" autoPict="0">
                <anchor moveWithCells="1">
                  <from>
                    <xdr:col>1</xdr:col>
                    <xdr:colOff>85725</xdr:colOff>
                    <xdr:row>11</xdr:row>
                    <xdr:rowOff>19050</xdr:rowOff>
                  </from>
                  <to>
                    <xdr:col>1</xdr:col>
                    <xdr:colOff>323850</xdr:colOff>
                    <xdr:row>11</xdr:row>
                    <xdr:rowOff>171450</xdr:rowOff>
                  </to>
                </anchor>
              </controlPr>
            </control>
          </mc:Choice>
        </mc:AlternateContent>
        <mc:AlternateContent xmlns:mc="http://schemas.openxmlformats.org/markup-compatibility/2006">
          <mc:Choice Requires="x14">
            <control shapeId="40967" r:id="rId10" name="Check Box 7">
              <controlPr defaultSize="0" autoFill="0" autoLine="0" autoPict="0">
                <anchor moveWithCells="1">
                  <from>
                    <xdr:col>1</xdr:col>
                    <xdr:colOff>85725</xdr:colOff>
                    <xdr:row>12</xdr:row>
                    <xdr:rowOff>19050</xdr:rowOff>
                  </from>
                  <to>
                    <xdr:col>1</xdr:col>
                    <xdr:colOff>323850</xdr:colOff>
                    <xdr:row>12</xdr:row>
                    <xdr:rowOff>171450</xdr:rowOff>
                  </to>
                </anchor>
              </controlPr>
            </control>
          </mc:Choice>
        </mc:AlternateContent>
        <mc:AlternateContent xmlns:mc="http://schemas.openxmlformats.org/markup-compatibility/2006">
          <mc:Choice Requires="x14">
            <control shapeId="40968" r:id="rId11" name="Check Box 8">
              <controlPr defaultSize="0" autoFill="0" autoLine="0" autoPict="0">
                <anchor moveWithCells="1">
                  <from>
                    <xdr:col>1</xdr:col>
                    <xdr:colOff>85725</xdr:colOff>
                    <xdr:row>13</xdr:row>
                    <xdr:rowOff>19050</xdr:rowOff>
                  </from>
                  <to>
                    <xdr:col>1</xdr:col>
                    <xdr:colOff>323850</xdr:colOff>
                    <xdr:row>13</xdr:row>
                    <xdr:rowOff>171450</xdr:rowOff>
                  </to>
                </anchor>
              </controlPr>
            </control>
          </mc:Choice>
        </mc:AlternateContent>
        <mc:AlternateContent xmlns:mc="http://schemas.openxmlformats.org/markup-compatibility/2006">
          <mc:Choice Requires="x14">
            <control shapeId="40969" r:id="rId12" name="Check Box 9">
              <controlPr defaultSize="0" autoFill="0" autoLine="0" autoPict="0">
                <anchor moveWithCells="1">
                  <from>
                    <xdr:col>1</xdr:col>
                    <xdr:colOff>85725</xdr:colOff>
                    <xdr:row>14</xdr:row>
                    <xdr:rowOff>19050</xdr:rowOff>
                  </from>
                  <to>
                    <xdr:col>1</xdr:col>
                    <xdr:colOff>323850</xdr:colOff>
                    <xdr:row>14</xdr:row>
                    <xdr:rowOff>171450</xdr:rowOff>
                  </to>
                </anchor>
              </controlPr>
            </control>
          </mc:Choice>
        </mc:AlternateContent>
        <mc:AlternateContent xmlns:mc="http://schemas.openxmlformats.org/markup-compatibility/2006">
          <mc:Choice Requires="x14">
            <control shapeId="40970" r:id="rId13" name="Check Box 10">
              <controlPr defaultSize="0" autoFill="0" autoLine="0" autoPict="0">
                <anchor moveWithCells="1">
                  <from>
                    <xdr:col>1</xdr:col>
                    <xdr:colOff>85725</xdr:colOff>
                    <xdr:row>15</xdr:row>
                    <xdr:rowOff>19050</xdr:rowOff>
                  </from>
                  <to>
                    <xdr:col>1</xdr:col>
                    <xdr:colOff>323850</xdr:colOff>
                    <xdr:row>15</xdr:row>
                    <xdr:rowOff>171450</xdr:rowOff>
                  </to>
                </anchor>
              </controlPr>
            </control>
          </mc:Choice>
        </mc:AlternateContent>
        <mc:AlternateContent xmlns:mc="http://schemas.openxmlformats.org/markup-compatibility/2006">
          <mc:Choice Requires="x14">
            <control shapeId="40971" r:id="rId14" name="Check Box 11">
              <controlPr defaultSize="0" autoFill="0" autoLine="0" autoPict="0">
                <anchor moveWithCells="1">
                  <from>
                    <xdr:col>1</xdr:col>
                    <xdr:colOff>85725</xdr:colOff>
                    <xdr:row>16</xdr:row>
                    <xdr:rowOff>19050</xdr:rowOff>
                  </from>
                  <to>
                    <xdr:col>1</xdr:col>
                    <xdr:colOff>323850</xdr:colOff>
                    <xdr:row>16</xdr:row>
                    <xdr:rowOff>171450</xdr:rowOff>
                  </to>
                </anchor>
              </controlPr>
            </control>
          </mc:Choice>
        </mc:AlternateContent>
        <mc:AlternateContent xmlns:mc="http://schemas.openxmlformats.org/markup-compatibility/2006">
          <mc:Choice Requires="x14">
            <control shapeId="40972" r:id="rId15" name="Check Box 12">
              <controlPr defaultSize="0" autoFill="0" autoLine="0" autoPict="0">
                <anchor moveWithCells="1">
                  <from>
                    <xdr:col>1</xdr:col>
                    <xdr:colOff>85725</xdr:colOff>
                    <xdr:row>17</xdr:row>
                    <xdr:rowOff>19050</xdr:rowOff>
                  </from>
                  <to>
                    <xdr:col>1</xdr:col>
                    <xdr:colOff>323850</xdr:colOff>
                    <xdr:row>17</xdr:row>
                    <xdr:rowOff>171450</xdr:rowOff>
                  </to>
                </anchor>
              </controlPr>
            </control>
          </mc:Choice>
        </mc:AlternateContent>
        <mc:AlternateContent xmlns:mc="http://schemas.openxmlformats.org/markup-compatibility/2006">
          <mc:Choice Requires="x14">
            <control shapeId="40973" r:id="rId16" name="Check Box 13">
              <controlPr defaultSize="0" autoFill="0" autoLine="0" autoPict="0">
                <anchor moveWithCells="1">
                  <from>
                    <xdr:col>1</xdr:col>
                    <xdr:colOff>85725</xdr:colOff>
                    <xdr:row>18</xdr:row>
                    <xdr:rowOff>19050</xdr:rowOff>
                  </from>
                  <to>
                    <xdr:col>1</xdr:col>
                    <xdr:colOff>323850</xdr:colOff>
                    <xdr:row>18</xdr:row>
                    <xdr:rowOff>171450</xdr:rowOff>
                  </to>
                </anchor>
              </controlPr>
            </control>
          </mc:Choice>
        </mc:AlternateContent>
        <mc:AlternateContent xmlns:mc="http://schemas.openxmlformats.org/markup-compatibility/2006">
          <mc:Choice Requires="x14">
            <control shapeId="40974" r:id="rId17" name="Check Box 14">
              <controlPr defaultSize="0" autoFill="0" autoLine="0" autoPict="0">
                <anchor moveWithCells="1">
                  <from>
                    <xdr:col>1</xdr:col>
                    <xdr:colOff>85725</xdr:colOff>
                    <xdr:row>19</xdr:row>
                    <xdr:rowOff>19050</xdr:rowOff>
                  </from>
                  <to>
                    <xdr:col>1</xdr:col>
                    <xdr:colOff>323850</xdr:colOff>
                    <xdr:row>19</xdr:row>
                    <xdr:rowOff>171450</xdr:rowOff>
                  </to>
                </anchor>
              </controlPr>
            </control>
          </mc:Choice>
        </mc:AlternateContent>
        <mc:AlternateContent xmlns:mc="http://schemas.openxmlformats.org/markup-compatibility/2006">
          <mc:Choice Requires="x14">
            <control shapeId="40975" r:id="rId18" name="Check Box 15">
              <controlPr defaultSize="0" autoFill="0" autoLine="0" autoPict="0">
                <anchor moveWithCells="1">
                  <from>
                    <xdr:col>1</xdr:col>
                    <xdr:colOff>85725</xdr:colOff>
                    <xdr:row>20</xdr:row>
                    <xdr:rowOff>19050</xdr:rowOff>
                  </from>
                  <to>
                    <xdr:col>1</xdr:col>
                    <xdr:colOff>323850</xdr:colOff>
                    <xdr:row>20</xdr:row>
                    <xdr:rowOff>171450</xdr:rowOff>
                  </to>
                </anchor>
              </controlPr>
            </control>
          </mc:Choice>
        </mc:AlternateContent>
        <mc:AlternateContent xmlns:mc="http://schemas.openxmlformats.org/markup-compatibility/2006">
          <mc:Choice Requires="x14">
            <control shapeId="40976" r:id="rId19" name="Check Box 16">
              <controlPr defaultSize="0" autoFill="0" autoLine="0" autoPict="0">
                <anchor moveWithCells="1">
                  <from>
                    <xdr:col>1</xdr:col>
                    <xdr:colOff>85725</xdr:colOff>
                    <xdr:row>21</xdr:row>
                    <xdr:rowOff>19050</xdr:rowOff>
                  </from>
                  <to>
                    <xdr:col>1</xdr:col>
                    <xdr:colOff>323850</xdr:colOff>
                    <xdr:row>21</xdr:row>
                    <xdr:rowOff>171450</xdr:rowOff>
                  </to>
                </anchor>
              </controlPr>
            </control>
          </mc:Choice>
        </mc:AlternateContent>
        <mc:AlternateContent xmlns:mc="http://schemas.openxmlformats.org/markup-compatibility/2006">
          <mc:Choice Requires="x14">
            <control shapeId="40977" r:id="rId20" name="Check Box 17">
              <controlPr defaultSize="0" autoFill="0" autoLine="0" autoPict="0">
                <anchor moveWithCells="1">
                  <from>
                    <xdr:col>1</xdr:col>
                    <xdr:colOff>85725</xdr:colOff>
                    <xdr:row>22</xdr:row>
                    <xdr:rowOff>19050</xdr:rowOff>
                  </from>
                  <to>
                    <xdr:col>1</xdr:col>
                    <xdr:colOff>323850</xdr:colOff>
                    <xdr:row>22</xdr:row>
                    <xdr:rowOff>171450</xdr:rowOff>
                  </to>
                </anchor>
              </controlPr>
            </control>
          </mc:Choice>
        </mc:AlternateContent>
        <mc:AlternateContent xmlns:mc="http://schemas.openxmlformats.org/markup-compatibility/2006">
          <mc:Choice Requires="x14">
            <control shapeId="40978" r:id="rId21" name="Check Box 18">
              <controlPr defaultSize="0" autoFill="0" autoLine="0" autoPict="0">
                <anchor moveWithCells="1">
                  <from>
                    <xdr:col>1</xdr:col>
                    <xdr:colOff>85725</xdr:colOff>
                    <xdr:row>23</xdr:row>
                    <xdr:rowOff>19050</xdr:rowOff>
                  </from>
                  <to>
                    <xdr:col>1</xdr:col>
                    <xdr:colOff>323850</xdr:colOff>
                    <xdr:row>23</xdr:row>
                    <xdr:rowOff>171450</xdr:rowOff>
                  </to>
                </anchor>
              </controlPr>
            </control>
          </mc:Choice>
        </mc:AlternateContent>
        <mc:AlternateContent xmlns:mc="http://schemas.openxmlformats.org/markup-compatibility/2006">
          <mc:Choice Requires="x14">
            <control shapeId="40979" r:id="rId22" name="Check Box 19">
              <controlPr defaultSize="0" autoFill="0" autoLine="0" autoPict="0">
                <anchor moveWithCells="1">
                  <from>
                    <xdr:col>1</xdr:col>
                    <xdr:colOff>85725</xdr:colOff>
                    <xdr:row>24</xdr:row>
                    <xdr:rowOff>19050</xdr:rowOff>
                  </from>
                  <to>
                    <xdr:col>1</xdr:col>
                    <xdr:colOff>323850</xdr:colOff>
                    <xdr:row>24</xdr:row>
                    <xdr:rowOff>171450</xdr:rowOff>
                  </to>
                </anchor>
              </controlPr>
            </control>
          </mc:Choice>
        </mc:AlternateContent>
        <mc:AlternateContent xmlns:mc="http://schemas.openxmlformats.org/markup-compatibility/2006">
          <mc:Choice Requires="x14">
            <control shapeId="40980" r:id="rId23" name="Check Box 20">
              <controlPr defaultSize="0" autoFill="0" autoLine="0" autoPict="0">
                <anchor moveWithCells="1">
                  <from>
                    <xdr:col>1</xdr:col>
                    <xdr:colOff>85725</xdr:colOff>
                    <xdr:row>25</xdr:row>
                    <xdr:rowOff>19050</xdr:rowOff>
                  </from>
                  <to>
                    <xdr:col>1</xdr:col>
                    <xdr:colOff>323850</xdr:colOff>
                    <xdr:row>25</xdr:row>
                    <xdr:rowOff>171450</xdr:rowOff>
                  </to>
                </anchor>
              </controlPr>
            </control>
          </mc:Choice>
        </mc:AlternateContent>
        <mc:AlternateContent xmlns:mc="http://schemas.openxmlformats.org/markup-compatibility/2006">
          <mc:Choice Requires="x14">
            <control shapeId="40981" r:id="rId24" name="Check Box 21">
              <controlPr defaultSize="0" autoFill="0" autoLine="0" autoPict="0">
                <anchor moveWithCells="1">
                  <from>
                    <xdr:col>1</xdr:col>
                    <xdr:colOff>85725</xdr:colOff>
                    <xdr:row>26</xdr:row>
                    <xdr:rowOff>19050</xdr:rowOff>
                  </from>
                  <to>
                    <xdr:col>1</xdr:col>
                    <xdr:colOff>323850</xdr:colOff>
                    <xdr:row>26</xdr:row>
                    <xdr:rowOff>171450</xdr:rowOff>
                  </to>
                </anchor>
              </controlPr>
            </control>
          </mc:Choice>
        </mc:AlternateContent>
        <mc:AlternateContent xmlns:mc="http://schemas.openxmlformats.org/markup-compatibility/2006">
          <mc:Choice Requires="x14">
            <control shapeId="40982" r:id="rId25" name="Check Box 22">
              <controlPr defaultSize="0" autoFill="0" autoLine="0" autoPict="0">
                <anchor moveWithCells="1">
                  <from>
                    <xdr:col>1</xdr:col>
                    <xdr:colOff>85725</xdr:colOff>
                    <xdr:row>27</xdr:row>
                    <xdr:rowOff>19050</xdr:rowOff>
                  </from>
                  <to>
                    <xdr:col>1</xdr:col>
                    <xdr:colOff>323850</xdr:colOff>
                    <xdr:row>27</xdr:row>
                    <xdr:rowOff>171450</xdr:rowOff>
                  </to>
                </anchor>
              </controlPr>
            </control>
          </mc:Choice>
        </mc:AlternateContent>
        <mc:AlternateContent xmlns:mc="http://schemas.openxmlformats.org/markup-compatibility/2006">
          <mc:Choice Requires="x14">
            <control shapeId="40983" r:id="rId26" name="Check Box 23">
              <controlPr defaultSize="0" autoFill="0" autoLine="0" autoPict="0">
                <anchor moveWithCells="1">
                  <from>
                    <xdr:col>1</xdr:col>
                    <xdr:colOff>85725</xdr:colOff>
                    <xdr:row>28</xdr:row>
                    <xdr:rowOff>19050</xdr:rowOff>
                  </from>
                  <to>
                    <xdr:col>1</xdr:col>
                    <xdr:colOff>323850</xdr:colOff>
                    <xdr:row>28</xdr:row>
                    <xdr:rowOff>171450</xdr:rowOff>
                  </to>
                </anchor>
              </controlPr>
            </control>
          </mc:Choice>
        </mc:AlternateContent>
        <mc:AlternateContent xmlns:mc="http://schemas.openxmlformats.org/markup-compatibility/2006">
          <mc:Choice Requires="x14">
            <control shapeId="40984" r:id="rId27" name="Check Box 24">
              <controlPr defaultSize="0" autoFill="0" autoLine="0" autoPict="0">
                <anchor moveWithCells="1">
                  <from>
                    <xdr:col>1</xdr:col>
                    <xdr:colOff>85725</xdr:colOff>
                    <xdr:row>29</xdr:row>
                    <xdr:rowOff>19050</xdr:rowOff>
                  </from>
                  <to>
                    <xdr:col>1</xdr:col>
                    <xdr:colOff>323850</xdr:colOff>
                    <xdr:row>29</xdr:row>
                    <xdr:rowOff>171450</xdr:rowOff>
                  </to>
                </anchor>
              </controlPr>
            </control>
          </mc:Choice>
        </mc:AlternateContent>
        <mc:AlternateContent xmlns:mc="http://schemas.openxmlformats.org/markup-compatibility/2006">
          <mc:Choice Requires="x14">
            <control shapeId="40985" r:id="rId28" name="Check Box 25">
              <controlPr defaultSize="0" autoFill="0" autoLine="0" autoPict="0">
                <anchor moveWithCells="1">
                  <from>
                    <xdr:col>1</xdr:col>
                    <xdr:colOff>85725</xdr:colOff>
                    <xdr:row>30</xdr:row>
                    <xdr:rowOff>19050</xdr:rowOff>
                  </from>
                  <to>
                    <xdr:col>1</xdr:col>
                    <xdr:colOff>323850</xdr:colOff>
                    <xdr:row>30</xdr:row>
                    <xdr:rowOff>171450</xdr:rowOff>
                  </to>
                </anchor>
              </controlPr>
            </control>
          </mc:Choice>
        </mc:AlternateContent>
        <mc:AlternateContent xmlns:mc="http://schemas.openxmlformats.org/markup-compatibility/2006">
          <mc:Choice Requires="x14">
            <control shapeId="40986" r:id="rId29" name="Check Box 26">
              <controlPr defaultSize="0" autoFill="0" autoLine="0" autoPict="0">
                <anchor moveWithCells="1">
                  <from>
                    <xdr:col>1</xdr:col>
                    <xdr:colOff>85725</xdr:colOff>
                    <xdr:row>31</xdr:row>
                    <xdr:rowOff>19050</xdr:rowOff>
                  </from>
                  <to>
                    <xdr:col>1</xdr:col>
                    <xdr:colOff>323850</xdr:colOff>
                    <xdr:row>31</xdr:row>
                    <xdr:rowOff>171450</xdr:rowOff>
                  </to>
                </anchor>
              </controlPr>
            </control>
          </mc:Choice>
        </mc:AlternateContent>
        <mc:AlternateContent xmlns:mc="http://schemas.openxmlformats.org/markup-compatibility/2006">
          <mc:Choice Requires="x14">
            <control shapeId="40987" r:id="rId30" name="Check Box 27">
              <controlPr defaultSize="0" autoFill="0" autoLine="0" autoPict="0">
                <anchor moveWithCells="1">
                  <from>
                    <xdr:col>1</xdr:col>
                    <xdr:colOff>85725</xdr:colOff>
                    <xdr:row>32</xdr:row>
                    <xdr:rowOff>19050</xdr:rowOff>
                  </from>
                  <to>
                    <xdr:col>1</xdr:col>
                    <xdr:colOff>323850</xdr:colOff>
                    <xdr:row>32</xdr:row>
                    <xdr:rowOff>171450</xdr:rowOff>
                  </to>
                </anchor>
              </controlPr>
            </control>
          </mc:Choice>
        </mc:AlternateContent>
        <mc:AlternateContent xmlns:mc="http://schemas.openxmlformats.org/markup-compatibility/2006">
          <mc:Choice Requires="x14">
            <control shapeId="40988" r:id="rId31" name="Check Box 28">
              <controlPr defaultSize="0" autoFill="0" autoLine="0" autoPict="0">
                <anchor moveWithCells="1">
                  <from>
                    <xdr:col>1</xdr:col>
                    <xdr:colOff>85725</xdr:colOff>
                    <xdr:row>33</xdr:row>
                    <xdr:rowOff>19050</xdr:rowOff>
                  </from>
                  <to>
                    <xdr:col>1</xdr:col>
                    <xdr:colOff>323850</xdr:colOff>
                    <xdr:row>33</xdr:row>
                    <xdr:rowOff>171450</xdr:rowOff>
                  </to>
                </anchor>
              </controlPr>
            </control>
          </mc:Choice>
        </mc:AlternateContent>
        <mc:AlternateContent xmlns:mc="http://schemas.openxmlformats.org/markup-compatibility/2006">
          <mc:Choice Requires="x14">
            <control shapeId="40989" r:id="rId32" name="Check Box 29">
              <controlPr defaultSize="0" autoFill="0" autoLine="0" autoPict="0">
                <anchor moveWithCells="1">
                  <from>
                    <xdr:col>1</xdr:col>
                    <xdr:colOff>85725</xdr:colOff>
                    <xdr:row>34</xdr:row>
                    <xdr:rowOff>19050</xdr:rowOff>
                  </from>
                  <to>
                    <xdr:col>1</xdr:col>
                    <xdr:colOff>323850</xdr:colOff>
                    <xdr:row>34</xdr:row>
                    <xdr:rowOff>171450</xdr:rowOff>
                  </to>
                </anchor>
              </controlPr>
            </control>
          </mc:Choice>
        </mc:AlternateContent>
        <mc:AlternateContent xmlns:mc="http://schemas.openxmlformats.org/markup-compatibility/2006">
          <mc:Choice Requires="x14">
            <control shapeId="40990" r:id="rId33" name="Check Box 30">
              <controlPr defaultSize="0" autoFill="0" autoLine="0" autoPict="0">
                <anchor moveWithCells="1">
                  <from>
                    <xdr:col>1</xdr:col>
                    <xdr:colOff>85725</xdr:colOff>
                    <xdr:row>35</xdr:row>
                    <xdr:rowOff>19050</xdr:rowOff>
                  </from>
                  <to>
                    <xdr:col>1</xdr:col>
                    <xdr:colOff>323850</xdr:colOff>
                    <xdr:row>35</xdr:row>
                    <xdr:rowOff>171450</xdr:rowOff>
                  </to>
                </anchor>
              </controlPr>
            </control>
          </mc:Choice>
        </mc:AlternateContent>
        <mc:AlternateContent xmlns:mc="http://schemas.openxmlformats.org/markup-compatibility/2006">
          <mc:Choice Requires="x14">
            <control shapeId="40991" r:id="rId34" name="Check Box 31">
              <controlPr defaultSize="0" autoFill="0" autoLine="0" autoPict="0">
                <anchor moveWithCells="1">
                  <from>
                    <xdr:col>1</xdr:col>
                    <xdr:colOff>85725</xdr:colOff>
                    <xdr:row>36</xdr:row>
                    <xdr:rowOff>19050</xdr:rowOff>
                  </from>
                  <to>
                    <xdr:col>1</xdr:col>
                    <xdr:colOff>323850</xdr:colOff>
                    <xdr:row>36</xdr:row>
                    <xdr:rowOff>171450</xdr:rowOff>
                  </to>
                </anchor>
              </controlPr>
            </control>
          </mc:Choice>
        </mc:AlternateContent>
        <mc:AlternateContent xmlns:mc="http://schemas.openxmlformats.org/markup-compatibility/2006">
          <mc:Choice Requires="x14">
            <control shapeId="40992" r:id="rId35" name="Check Box 32">
              <controlPr defaultSize="0" autoFill="0" autoLine="0" autoPict="0">
                <anchor moveWithCells="1">
                  <from>
                    <xdr:col>1</xdr:col>
                    <xdr:colOff>85725</xdr:colOff>
                    <xdr:row>37</xdr:row>
                    <xdr:rowOff>19050</xdr:rowOff>
                  </from>
                  <to>
                    <xdr:col>1</xdr:col>
                    <xdr:colOff>323850</xdr:colOff>
                    <xdr:row>37</xdr:row>
                    <xdr:rowOff>171450</xdr:rowOff>
                  </to>
                </anchor>
              </controlPr>
            </control>
          </mc:Choice>
        </mc:AlternateContent>
        <mc:AlternateContent xmlns:mc="http://schemas.openxmlformats.org/markup-compatibility/2006">
          <mc:Choice Requires="x14">
            <control shapeId="40993" r:id="rId36" name="Check Box 33">
              <controlPr defaultSize="0" autoFill="0" autoLine="0" autoPict="0">
                <anchor moveWithCells="1">
                  <from>
                    <xdr:col>1</xdr:col>
                    <xdr:colOff>85725</xdr:colOff>
                    <xdr:row>38</xdr:row>
                    <xdr:rowOff>19050</xdr:rowOff>
                  </from>
                  <to>
                    <xdr:col>1</xdr:col>
                    <xdr:colOff>323850</xdr:colOff>
                    <xdr:row>38</xdr:row>
                    <xdr:rowOff>171450</xdr:rowOff>
                  </to>
                </anchor>
              </controlPr>
            </control>
          </mc:Choice>
        </mc:AlternateContent>
        <mc:AlternateContent xmlns:mc="http://schemas.openxmlformats.org/markup-compatibility/2006">
          <mc:Choice Requires="x14">
            <control shapeId="40994" r:id="rId37" name="Check Box 34">
              <controlPr defaultSize="0" autoFill="0" autoLine="0" autoPict="0">
                <anchor moveWithCells="1">
                  <from>
                    <xdr:col>1</xdr:col>
                    <xdr:colOff>85725</xdr:colOff>
                    <xdr:row>39</xdr:row>
                    <xdr:rowOff>19050</xdr:rowOff>
                  </from>
                  <to>
                    <xdr:col>1</xdr:col>
                    <xdr:colOff>323850</xdr:colOff>
                    <xdr:row>39</xdr:row>
                    <xdr:rowOff>171450</xdr:rowOff>
                  </to>
                </anchor>
              </controlPr>
            </control>
          </mc:Choice>
        </mc:AlternateContent>
        <mc:AlternateContent xmlns:mc="http://schemas.openxmlformats.org/markup-compatibility/2006">
          <mc:Choice Requires="x14">
            <control shapeId="40995" r:id="rId38" name="Check Box 35">
              <controlPr defaultSize="0" autoFill="0" autoLine="0" autoPict="0">
                <anchor moveWithCells="1">
                  <from>
                    <xdr:col>1</xdr:col>
                    <xdr:colOff>85725</xdr:colOff>
                    <xdr:row>40</xdr:row>
                    <xdr:rowOff>19050</xdr:rowOff>
                  </from>
                  <to>
                    <xdr:col>1</xdr:col>
                    <xdr:colOff>323850</xdr:colOff>
                    <xdr:row>40</xdr:row>
                    <xdr:rowOff>171450</xdr:rowOff>
                  </to>
                </anchor>
              </controlPr>
            </control>
          </mc:Choice>
        </mc:AlternateContent>
        <mc:AlternateContent xmlns:mc="http://schemas.openxmlformats.org/markup-compatibility/2006">
          <mc:Choice Requires="x14">
            <control shapeId="40996" r:id="rId39" name="Check Box 36">
              <controlPr defaultSize="0" autoFill="0" autoLine="0" autoPict="0">
                <anchor moveWithCells="1">
                  <from>
                    <xdr:col>1</xdr:col>
                    <xdr:colOff>85725</xdr:colOff>
                    <xdr:row>41</xdr:row>
                    <xdr:rowOff>19050</xdr:rowOff>
                  </from>
                  <to>
                    <xdr:col>1</xdr:col>
                    <xdr:colOff>323850</xdr:colOff>
                    <xdr:row>41</xdr:row>
                    <xdr:rowOff>171450</xdr:rowOff>
                  </to>
                </anchor>
              </controlPr>
            </control>
          </mc:Choice>
        </mc:AlternateContent>
        <mc:AlternateContent xmlns:mc="http://schemas.openxmlformats.org/markup-compatibility/2006">
          <mc:Choice Requires="x14">
            <control shapeId="40997" r:id="rId40" name="Check Box 37">
              <controlPr defaultSize="0" autoFill="0" autoLine="0" autoPict="0">
                <anchor moveWithCells="1">
                  <from>
                    <xdr:col>1</xdr:col>
                    <xdr:colOff>85725</xdr:colOff>
                    <xdr:row>42</xdr:row>
                    <xdr:rowOff>19050</xdr:rowOff>
                  </from>
                  <to>
                    <xdr:col>1</xdr:col>
                    <xdr:colOff>323850</xdr:colOff>
                    <xdr:row>42</xdr:row>
                    <xdr:rowOff>171450</xdr:rowOff>
                  </to>
                </anchor>
              </controlPr>
            </control>
          </mc:Choice>
        </mc:AlternateContent>
        <mc:AlternateContent xmlns:mc="http://schemas.openxmlformats.org/markup-compatibility/2006">
          <mc:Choice Requires="x14">
            <control shapeId="40998" r:id="rId41" name="Check Box 38">
              <controlPr defaultSize="0" autoFill="0" autoLine="0" autoPict="0">
                <anchor moveWithCells="1">
                  <from>
                    <xdr:col>1</xdr:col>
                    <xdr:colOff>85725</xdr:colOff>
                    <xdr:row>43</xdr:row>
                    <xdr:rowOff>19050</xdr:rowOff>
                  </from>
                  <to>
                    <xdr:col>1</xdr:col>
                    <xdr:colOff>323850</xdr:colOff>
                    <xdr:row>43</xdr:row>
                    <xdr:rowOff>171450</xdr:rowOff>
                  </to>
                </anchor>
              </controlPr>
            </control>
          </mc:Choice>
        </mc:AlternateContent>
        <mc:AlternateContent xmlns:mc="http://schemas.openxmlformats.org/markup-compatibility/2006">
          <mc:Choice Requires="x14">
            <control shapeId="40999" r:id="rId42" name="Check Box 39">
              <controlPr defaultSize="0" autoFill="0" autoLine="0" autoPict="0">
                <anchor moveWithCells="1">
                  <from>
                    <xdr:col>1</xdr:col>
                    <xdr:colOff>85725</xdr:colOff>
                    <xdr:row>44</xdr:row>
                    <xdr:rowOff>19050</xdr:rowOff>
                  </from>
                  <to>
                    <xdr:col>1</xdr:col>
                    <xdr:colOff>323850</xdr:colOff>
                    <xdr:row>44</xdr:row>
                    <xdr:rowOff>171450</xdr:rowOff>
                  </to>
                </anchor>
              </controlPr>
            </control>
          </mc:Choice>
        </mc:AlternateContent>
        <mc:AlternateContent xmlns:mc="http://schemas.openxmlformats.org/markup-compatibility/2006">
          <mc:Choice Requires="x14">
            <control shapeId="41000" r:id="rId43" name="Check Box 40">
              <controlPr defaultSize="0" autoFill="0" autoLine="0" autoPict="0">
                <anchor moveWithCells="1">
                  <from>
                    <xdr:col>1</xdr:col>
                    <xdr:colOff>85725</xdr:colOff>
                    <xdr:row>45</xdr:row>
                    <xdr:rowOff>19050</xdr:rowOff>
                  </from>
                  <to>
                    <xdr:col>1</xdr:col>
                    <xdr:colOff>323850</xdr:colOff>
                    <xdr:row>45</xdr:row>
                    <xdr:rowOff>171450</xdr:rowOff>
                  </to>
                </anchor>
              </controlPr>
            </control>
          </mc:Choice>
        </mc:AlternateContent>
        <mc:AlternateContent xmlns:mc="http://schemas.openxmlformats.org/markup-compatibility/2006">
          <mc:Choice Requires="x14">
            <control shapeId="41001" r:id="rId44" name="Check Box 41">
              <controlPr defaultSize="0" autoFill="0" autoLine="0" autoPict="0">
                <anchor moveWithCells="1">
                  <from>
                    <xdr:col>1</xdr:col>
                    <xdr:colOff>85725</xdr:colOff>
                    <xdr:row>46</xdr:row>
                    <xdr:rowOff>19050</xdr:rowOff>
                  </from>
                  <to>
                    <xdr:col>1</xdr:col>
                    <xdr:colOff>323850</xdr:colOff>
                    <xdr:row>46</xdr:row>
                    <xdr:rowOff>171450</xdr:rowOff>
                  </to>
                </anchor>
              </controlPr>
            </control>
          </mc:Choice>
        </mc:AlternateContent>
        <mc:AlternateContent xmlns:mc="http://schemas.openxmlformats.org/markup-compatibility/2006">
          <mc:Choice Requires="x14">
            <control shapeId="41002" r:id="rId45" name="Check Box 42">
              <controlPr defaultSize="0" autoFill="0" autoLine="0" autoPict="0">
                <anchor moveWithCells="1">
                  <from>
                    <xdr:col>1</xdr:col>
                    <xdr:colOff>85725</xdr:colOff>
                    <xdr:row>47</xdr:row>
                    <xdr:rowOff>19050</xdr:rowOff>
                  </from>
                  <to>
                    <xdr:col>1</xdr:col>
                    <xdr:colOff>323850</xdr:colOff>
                    <xdr:row>47</xdr:row>
                    <xdr:rowOff>171450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B00-000001000000}">
          <x14:formula1>
            <xm:f>Validation!$C$40</xm:f>
          </x14:formula1>
          <xm:sqref>BP2:BR2</xm:sqref>
        </x14:dataValidation>
        <x14:dataValidation type="list" allowBlank="1" showInputMessage="1" showErrorMessage="1" xr:uid="{00000000-0002-0000-0B00-000002000000}">
          <x14:formula1>
            <xm:f>Validation!$Q$33:$Q$36</xm:f>
          </x14:formula1>
          <xm:sqref>BF2</xm:sqref>
        </x14:dataValidation>
        <x14:dataValidation type="list" allowBlank="1" showInputMessage="1" showErrorMessage="1" xr:uid="{00000000-0002-0000-0B00-000003000000}">
          <x14:formula1>
            <xm:f>Validation!$Q$5:$Q$11</xm:f>
          </x14:formula1>
          <xm:sqref>AO2</xm:sqref>
        </x14:dataValidation>
        <x14:dataValidation type="list" allowBlank="1" showInputMessage="1" showErrorMessage="1" xr:uid="{00000000-0002-0000-0B00-000004000000}">
          <x14:formula1>
            <xm:f>Validation!$Q$5:$Q$12</xm:f>
          </x14:formula1>
          <xm:sqref>L2:AM2</xm:sqref>
        </x14:dataValidation>
        <x14:dataValidation type="list" allowBlank="1" showInputMessage="1" showErrorMessage="1" xr:uid="{00000000-0002-0000-0B00-000005000000}">
          <x14:formula1>
            <xm:f>Validation!$Q$28:$Q$29</xm:f>
          </x14:formula1>
          <xm:sqref>AV2:BD2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B3:C16"/>
  <sheetViews>
    <sheetView showGridLines="0" workbookViewId="0">
      <selection activeCell="I46" sqref="I46"/>
    </sheetView>
  </sheetViews>
  <sheetFormatPr defaultRowHeight="14.25" x14ac:dyDescent="0.2"/>
  <cols>
    <col min="1" max="1" width="1.69921875" customWidth="1"/>
    <col min="2" max="2" width="19" bestFit="1" customWidth="1"/>
    <col min="3" max="3" width="12.796875" bestFit="1" customWidth="1"/>
  </cols>
  <sheetData>
    <row r="3" spans="2:3" x14ac:dyDescent="0.2">
      <c r="B3" s="91" t="s">
        <v>456</v>
      </c>
      <c r="C3" s="114">
        <v>2400000</v>
      </c>
    </row>
    <row r="4" spans="2:3" x14ac:dyDescent="0.2">
      <c r="B4" s="91" t="s">
        <v>457</v>
      </c>
      <c r="C4" s="114">
        <v>60</v>
      </c>
    </row>
    <row r="5" spans="2:3" x14ac:dyDescent="0.2">
      <c r="B5" s="93" t="s">
        <v>458</v>
      </c>
      <c r="C5" s="117">
        <v>20000</v>
      </c>
    </row>
    <row r="6" spans="2:3" x14ac:dyDescent="0.2">
      <c r="B6" s="90"/>
      <c r="C6" s="53"/>
    </row>
    <row r="7" spans="2:3" x14ac:dyDescent="0.2">
      <c r="B7" s="630" t="s">
        <v>503</v>
      </c>
      <c r="C7" s="630"/>
    </row>
    <row r="8" spans="2:3" x14ac:dyDescent="0.2">
      <c r="B8" s="91" t="s">
        <v>460</v>
      </c>
      <c r="C8" s="114">
        <v>5000</v>
      </c>
    </row>
    <row r="9" spans="2:3" x14ac:dyDescent="0.2">
      <c r="B9" s="91" t="s">
        <v>461</v>
      </c>
      <c r="C9" s="114">
        <v>2000</v>
      </c>
    </row>
    <row r="10" spans="2:3" x14ac:dyDescent="0.2">
      <c r="B10" s="91" t="s">
        <v>463</v>
      </c>
      <c r="C10" s="114">
        <v>2000</v>
      </c>
    </row>
    <row r="11" spans="2:3" x14ac:dyDescent="0.2">
      <c r="B11" s="91" t="s">
        <v>504</v>
      </c>
      <c r="C11" s="114">
        <f>200*70</f>
        <v>14000</v>
      </c>
    </row>
    <row r="12" spans="2:3" x14ac:dyDescent="0.2">
      <c r="B12" s="91" t="s">
        <v>505</v>
      </c>
      <c r="C12" s="114">
        <v>4500</v>
      </c>
    </row>
    <row r="13" spans="2:3" x14ac:dyDescent="0.2">
      <c r="B13" s="91" t="s">
        <v>465</v>
      </c>
      <c r="C13" s="114">
        <v>7500</v>
      </c>
    </row>
    <row r="14" spans="2:3" x14ac:dyDescent="0.2">
      <c r="B14" s="115" t="s">
        <v>466</v>
      </c>
      <c r="C14" s="116">
        <f>SUM(C8:C13)</f>
        <v>35000</v>
      </c>
    </row>
    <row r="15" spans="2:3" x14ac:dyDescent="0.2">
      <c r="B15" s="90"/>
      <c r="C15" s="53"/>
    </row>
    <row r="16" spans="2:3" x14ac:dyDescent="0.2">
      <c r="B16" s="390" t="s">
        <v>506</v>
      </c>
      <c r="C16" s="118">
        <f>C14/C5</f>
        <v>1.75</v>
      </c>
    </row>
  </sheetData>
  <mergeCells count="1">
    <mergeCell ref="B7:C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showGridLines="0" zoomScale="160" zoomScaleNormal="160" workbookViewId="0">
      <selection activeCell="E16" sqref="E16"/>
    </sheetView>
  </sheetViews>
  <sheetFormatPr defaultRowHeight="14.25" x14ac:dyDescent="0.2"/>
  <cols>
    <col min="1" max="1" width="1.8984375" style="90" bestFit="1" customWidth="1"/>
    <col min="2" max="2" width="10.296875" style="274" bestFit="1" customWidth="1"/>
    <col min="4" max="5" width="8.796875" style="90"/>
    <col min="6" max="6" width="10.19921875" style="90" bestFit="1" customWidth="1"/>
  </cols>
  <sheetData>
    <row r="1" spans="1:8" x14ac:dyDescent="0.2">
      <c r="A1" s="93" t="s">
        <v>507</v>
      </c>
      <c r="B1" s="272" t="s">
        <v>508</v>
      </c>
      <c r="C1" s="93" t="s">
        <v>509</v>
      </c>
      <c r="D1" s="93" t="s">
        <v>510</v>
      </c>
      <c r="E1" s="93" t="s">
        <v>511</v>
      </c>
      <c r="F1" s="93" t="s">
        <v>512</v>
      </c>
    </row>
    <row r="2" spans="1:8" x14ac:dyDescent="0.2">
      <c r="A2" s="91">
        <v>1</v>
      </c>
      <c r="B2" s="273">
        <f>PALM!N8</f>
        <v>45202</v>
      </c>
      <c r="C2" s="91" t="s">
        <v>46</v>
      </c>
      <c r="D2" s="268">
        <f>PALM!Q16</f>
        <v>0.97499999999999998</v>
      </c>
      <c r="E2" s="269">
        <f>PALM!Q18</f>
        <v>61</v>
      </c>
      <c r="F2" s="269">
        <f>D2*E2</f>
        <v>59.475000000000001</v>
      </c>
      <c r="G2" s="267"/>
      <c r="H2" s="267"/>
    </row>
    <row r="3" spans="1:8" x14ac:dyDescent="0.2">
      <c r="A3" s="91">
        <v>2</v>
      </c>
      <c r="B3" s="273">
        <f>PALM!Y8</f>
        <v>45161</v>
      </c>
      <c r="C3" s="91" t="s">
        <v>46</v>
      </c>
      <c r="D3" s="268">
        <f>PALM!AB16</f>
        <v>1.1200000000000001</v>
      </c>
      <c r="E3" s="269">
        <f>PALM!AB18</f>
        <v>61</v>
      </c>
      <c r="F3" s="269">
        <f t="shared" ref="F3:F15" si="0">D3*E3</f>
        <v>68.320000000000007</v>
      </c>
      <c r="G3" s="267"/>
      <c r="H3" s="267"/>
    </row>
    <row r="4" spans="1:8" x14ac:dyDescent="0.2">
      <c r="A4" s="91">
        <v>3</v>
      </c>
      <c r="B4" s="273">
        <f>PALM!AJ8</f>
        <v>45217</v>
      </c>
      <c r="C4" s="91" t="s">
        <v>46</v>
      </c>
      <c r="D4" s="268">
        <f>PALM!AM16</f>
        <v>1.093</v>
      </c>
      <c r="E4" s="269">
        <f>PALM!AM18</f>
        <v>61</v>
      </c>
      <c r="F4" s="269">
        <f t="shared" si="0"/>
        <v>66.673000000000002</v>
      </c>
      <c r="G4" s="267"/>
      <c r="H4" s="267"/>
    </row>
    <row r="5" spans="1:8" x14ac:dyDescent="0.2">
      <c r="A5" s="91">
        <v>4</v>
      </c>
      <c r="B5" s="273">
        <f>PALM!AU8</f>
        <v>45279</v>
      </c>
      <c r="C5" s="91" t="s">
        <v>46</v>
      </c>
      <c r="D5" s="268">
        <f>PALM!AX16</f>
        <v>1.02</v>
      </c>
      <c r="E5" s="269">
        <f>PALM!AX18</f>
        <v>61</v>
      </c>
      <c r="F5" s="269">
        <f t="shared" si="0"/>
        <v>62.22</v>
      </c>
      <c r="G5" s="267"/>
      <c r="H5" s="267"/>
    </row>
    <row r="6" spans="1:8" x14ac:dyDescent="0.2">
      <c r="A6" s="91">
        <v>5</v>
      </c>
      <c r="B6" s="273"/>
      <c r="C6" s="91"/>
      <c r="D6" s="268"/>
      <c r="E6" s="269"/>
      <c r="F6" s="269"/>
      <c r="G6" s="267"/>
      <c r="H6" s="267"/>
    </row>
    <row r="7" spans="1:8" x14ac:dyDescent="0.2">
      <c r="A7" s="91">
        <v>6</v>
      </c>
      <c r="B7" s="273"/>
      <c r="C7" s="91"/>
      <c r="D7" s="268"/>
      <c r="E7" s="269"/>
      <c r="F7" s="269"/>
      <c r="G7" s="267"/>
      <c r="H7" s="267"/>
    </row>
    <row r="8" spans="1:8" x14ac:dyDescent="0.2">
      <c r="A8" s="91">
        <v>1</v>
      </c>
      <c r="B8" s="273">
        <f>SOYA!C8</f>
        <v>44669</v>
      </c>
      <c r="C8" s="91" t="s">
        <v>88</v>
      </c>
      <c r="D8" s="268">
        <f>SOYA!F16</f>
        <v>1.5</v>
      </c>
      <c r="E8" s="269">
        <f>SOYA!F18</f>
        <v>52.386000000000003</v>
      </c>
      <c r="F8" s="269">
        <f t="shared" si="0"/>
        <v>78.579000000000008</v>
      </c>
    </row>
    <row r="9" spans="1:8" x14ac:dyDescent="0.2">
      <c r="A9" s="91">
        <v>2</v>
      </c>
      <c r="B9" s="273">
        <f>SOYA!N8</f>
        <v>44789</v>
      </c>
      <c r="C9" s="91" t="s">
        <v>88</v>
      </c>
      <c r="D9" s="268">
        <f>SOYA!Q16</f>
        <v>1.8029999999999999</v>
      </c>
      <c r="E9" s="269">
        <f>SOYA!Q18</f>
        <v>56.362000000000002</v>
      </c>
      <c r="F9" s="269">
        <f t="shared" si="0"/>
        <v>101.62068600000001</v>
      </c>
    </row>
    <row r="10" spans="1:8" x14ac:dyDescent="0.2">
      <c r="A10" s="91">
        <v>3</v>
      </c>
      <c r="B10" s="273">
        <f>SOYA!Y8</f>
        <v>44806</v>
      </c>
      <c r="C10" s="91" t="s">
        <v>88</v>
      </c>
      <c r="D10" s="268">
        <f>SOYA!AB16</f>
        <v>1.7</v>
      </c>
      <c r="E10" s="269">
        <f>SOYA!AB18</f>
        <v>58.91</v>
      </c>
      <c r="F10" s="269">
        <f t="shared" si="0"/>
        <v>100.14699999999999</v>
      </c>
    </row>
    <row r="11" spans="1:8" x14ac:dyDescent="0.2">
      <c r="A11" s="91">
        <v>4</v>
      </c>
      <c r="B11" s="273">
        <f>SOYA!AJ8</f>
        <v>44861</v>
      </c>
      <c r="C11" s="91" t="s">
        <v>88</v>
      </c>
      <c r="D11" s="268">
        <f>SOYA!AM16</f>
        <v>1.575</v>
      </c>
      <c r="E11" s="269">
        <f>SOYA!AM18</f>
        <v>56.79</v>
      </c>
      <c r="F11" s="269">
        <f t="shared" si="0"/>
        <v>89.444249999999997</v>
      </c>
    </row>
    <row r="12" spans="1:8" x14ac:dyDescent="0.2">
      <c r="A12" s="91">
        <v>5</v>
      </c>
      <c r="B12" s="273">
        <f>SOYA!AU8</f>
        <v>44909</v>
      </c>
      <c r="C12" s="91" t="s">
        <v>88</v>
      </c>
      <c r="D12" s="268">
        <f>SOYA!AX16</f>
        <v>1.5549999999999999</v>
      </c>
      <c r="E12" s="269">
        <f>SOYA!AX18</f>
        <v>54.481999999999999</v>
      </c>
      <c r="F12" s="269">
        <f t="shared" si="0"/>
        <v>84.71951</v>
      </c>
    </row>
    <row r="13" spans="1:8" x14ac:dyDescent="0.2">
      <c r="A13" s="91">
        <v>6</v>
      </c>
      <c r="B13" s="273">
        <f>SOYA!BF8</f>
        <v>45085</v>
      </c>
      <c r="C13" s="91" t="s">
        <v>88</v>
      </c>
      <c r="D13" s="268">
        <f>SOYA!BI16</f>
        <v>1.1879999999999999</v>
      </c>
      <c r="E13" s="269">
        <f>SOYA!BI18</f>
        <v>54.567999999999998</v>
      </c>
      <c r="F13" s="269">
        <f t="shared" si="0"/>
        <v>64.826783999999989</v>
      </c>
    </row>
    <row r="14" spans="1:8" x14ac:dyDescent="0.2">
      <c r="A14" s="91">
        <v>7</v>
      </c>
      <c r="B14" s="273">
        <f>SOYA!BQ8</f>
        <v>45201</v>
      </c>
      <c r="C14" s="91" t="s">
        <v>88</v>
      </c>
      <c r="D14" s="268">
        <f>SOYA!BT16</f>
        <v>1.238</v>
      </c>
      <c r="E14" s="269">
        <f>SOYA!BT18</f>
        <v>55.863999999999997</v>
      </c>
      <c r="F14" s="269">
        <f t="shared" si="0"/>
        <v>69.159632000000002</v>
      </c>
    </row>
    <row r="15" spans="1:8" x14ac:dyDescent="0.2">
      <c r="A15" s="91">
        <v>8</v>
      </c>
      <c r="B15" s="273">
        <f>SOYA!CC8</f>
        <v>45280</v>
      </c>
      <c r="C15" s="91" t="s">
        <v>88</v>
      </c>
      <c r="D15" s="268">
        <f>SOYA!CF16</f>
        <v>1.2150000000000001</v>
      </c>
      <c r="E15" s="269">
        <f>SOYA!CF18</f>
        <v>56.116</v>
      </c>
      <c r="F15" s="269">
        <f t="shared" si="0"/>
        <v>68.180940000000007</v>
      </c>
    </row>
    <row r="16" spans="1:8" x14ac:dyDescent="0.2">
      <c r="A16" s="91"/>
      <c r="B16" s="273"/>
      <c r="C16" s="91"/>
      <c r="D16" s="268"/>
      <c r="E16" s="269"/>
      <c r="F16" s="269"/>
    </row>
    <row r="17" spans="1:6" x14ac:dyDescent="0.2">
      <c r="A17" s="91"/>
      <c r="B17" s="273"/>
      <c r="C17" s="91"/>
      <c r="D17" s="268"/>
      <c r="E17" s="269"/>
      <c r="F17" s="269"/>
    </row>
  </sheetData>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showGridLines="0" zoomScale="130" zoomScaleNormal="130" workbookViewId="0">
      <selection activeCell="D33" sqref="D33"/>
    </sheetView>
  </sheetViews>
  <sheetFormatPr defaultRowHeight="14.25" x14ac:dyDescent="0.2"/>
  <cols>
    <col min="1" max="1" width="12.796875" bestFit="1" customWidth="1"/>
    <col min="2" max="3" width="13.5" bestFit="1" customWidth="1"/>
    <col min="4" max="4" width="16.59765625" bestFit="1" customWidth="1"/>
  </cols>
  <sheetData>
    <row r="1" spans="1:4" x14ac:dyDescent="0.2">
      <c r="B1" s="270" t="s">
        <v>468</v>
      </c>
    </row>
    <row r="2" spans="1:4" x14ac:dyDescent="0.2">
      <c r="A2" s="270" t="s">
        <v>508</v>
      </c>
      <c r="B2" t="s">
        <v>513</v>
      </c>
      <c r="C2" t="s">
        <v>514</v>
      </c>
      <c r="D2" t="s">
        <v>515</v>
      </c>
    </row>
    <row r="3" spans="1:4" x14ac:dyDescent="0.2">
      <c r="A3" s="271">
        <v>45161</v>
      </c>
      <c r="B3" s="276">
        <v>56.808</v>
      </c>
      <c r="C3" s="276">
        <v>1.1200000000000001</v>
      </c>
      <c r="D3" s="276">
        <v>63.624960000000009</v>
      </c>
    </row>
    <row r="4" spans="1:4" x14ac:dyDescent="0.2">
      <c r="A4" s="271">
        <v>45202</v>
      </c>
      <c r="B4" s="276">
        <v>56.954999999999998</v>
      </c>
      <c r="C4" s="276">
        <v>0.97499999999999998</v>
      </c>
      <c r="D4" s="276">
        <v>55.531124999999996</v>
      </c>
    </row>
    <row r="5" spans="1:4" x14ac:dyDescent="0.2">
      <c r="A5" s="271">
        <v>45217</v>
      </c>
      <c r="B5" s="276">
        <v>55.918999999999997</v>
      </c>
      <c r="C5" s="276">
        <v>1.093</v>
      </c>
      <c r="D5" s="276">
        <v>61.119466999999993</v>
      </c>
    </row>
    <row r="6" spans="1:4" x14ac:dyDescent="0.2">
      <c r="A6" s="271">
        <v>45279</v>
      </c>
      <c r="B6" s="276">
        <v>55.619</v>
      </c>
      <c r="C6" s="276">
        <v>1.02</v>
      </c>
      <c r="D6" s="276">
        <v>56.731380000000001</v>
      </c>
    </row>
  </sheetData>
  <pageMargins left="0.7" right="0.7" top="0.75" bottom="0.75" header="0.3" footer="0.3"/>
  <pageSetup orientation="portrait" horizontalDpi="0" verticalDpi="0" r:id="rId2"/>
  <drawing r:id="rId3"/>
  <extLst>
    <ext xmlns:x14="http://schemas.microsoft.com/office/spreadsheetml/2009/9/main" uri="{A8765BA9-456A-4dab-B4F3-ACF838C121DE}">
      <x14:slicerList>
        <x14:slicer r:id="rId4"/>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H8"/>
  <sheetViews>
    <sheetView showGridLines="0" workbookViewId="0">
      <selection activeCell="G29" sqref="G29"/>
    </sheetView>
  </sheetViews>
  <sheetFormatPr defaultRowHeight="14.25" x14ac:dyDescent="0.2"/>
  <cols>
    <col min="1" max="1" width="11.59765625" style="90" bestFit="1" customWidth="1"/>
    <col min="2" max="2" width="11.59765625" style="90" customWidth="1"/>
    <col min="3" max="3" width="14.3984375" style="90" customWidth="1"/>
    <col min="4" max="4" width="8.796875" style="90"/>
    <col min="5" max="5" width="10.3984375" style="90" customWidth="1"/>
    <col min="6" max="6" width="17.69921875" bestFit="1" customWidth="1"/>
    <col min="7" max="7" width="11.59765625" customWidth="1"/>
  </cols>
  <sheetData>
    <row r="2" spans="1:8" s="277" customFormat="1" ht="28.5" x14ac:dyDescent="0.2">
      <c r="A2" s="284" t="s">
        <v>516</v>
      </c>
      <c r="B2" s="284" t="s">
        <v>508</v>
      </c>
      <c r="C2" s="284" t="s">
        <v>517</v>
      </c>
      <c r="D2" s="284" t="s">
        <v>518</v>
      </c>
      <c r="E2" s="284" t="s">
        <v>519</v>
      </c>
      <c r="F2" s="284" t="s">
        <v>520</v>
      </c>
      <c r="G2" s="284" t="s">
        <v>521</v>
      </c>
    </row>
    <row r="3" spans="1:8" s="83" customFormat="1" ht="57" customHeight="1" x14ac:dyDescent="0.2">
      <c r="A3" s="279" t="s">
        <v>522</v>
      </c>
      <c r="B3" s="280">
        <v>45133</v>
      </c>
      <c r="C3" s="279" t="s">
        <v>523</v>
      </c>
      <c r="D3" s="281">
        <v>54.56</v>
      </c>
      <c r="E3" s="281">
        <v>2</v>
      </c>
      <c r="F3" s="282" t="s">
        <v>205</v>
      </c>
      <c r="G3" s="283">
        <f t="shared" ref="G3:G8" si="0">D3+E3</f>
        <v>56.56</v>
      </c>
      <c r="H3" s="631" t="s">
        <v>524</v>
      </c>
    </row>
    <row r="4" spans="1:8" s="83" customFormat="1" ht="57" customHeight="1" x14ac:dyDescent="0.2">
      <c r="A4" s="279" t="s">
        <v>522</v>
      </c>
      <c r="B4" s="280">
        <v>45222</v>
      </c>
      <c r="C4" s="279" t="s">
        <v>525</v>
      </c>
      <c r="D4" s="281">
        <v>51.48</v>
      </c>
      <c r="E4" s="281">
        <v>2</v>
      </c>
      <c r="F4" s="282" t="s">
        <v>205</v>
      </c>
      <c r="G4" s="283">
        <f t="shared" si="0"/>
        <v>53.48</v>
      </c>
      <c r="H4" s="632"/>
    </row>
    <row r="5" spans="1:8" s="83" customFormat="1" ht="57" customHeight="1" x14ac:dyDescent="0.2">
      <c r="A5" s="279" t="s">
        <v>18</v>
      </c>
      <c r="B5" s="280">
        <v>45425</v>
      </c>
      <c r="C5" s="278" t="s">
        <v>526</v>
      </c>
      <c r="D5" s="281">
        <v>57.09</v>
      </c>
      <c r="E5" s="281">
        <v>5</v>
      </c>
      <c r="F5" s="282" t="s">
        <v>527</v>
      </c>
      <c r="G5" s="283">
        <f t="shared" si="0"/>
        <v>62.09</v>
      </c>
      <c r="H5" s="631" t="s">
        <v>528</v>
      </c>
    </row>
    <row r="6" spans="1:8" s="83" customFormat="1" ht="57" customHeight="1" x14ac:dyDescent="0.2">
      <c r="A6" s="279" t="s">
        <v>18</v>
      </c>
      <c r="B6" s="280">
        <v>45432</v>
      </c>
      <c r="C6" s="278" t="s">
        <v>529</v>
      </c>
      <c r="D6" s="281" t="e">
        <f>PALM!#REF!</f>
        <v>#REF!</v>
      </c>
      <c r="E6" s="281">
        <v>5</v>
      </c>
      <c r="F6" s="282" t="s">
        <v>527</v>
      </c>
      <c r="G6" s="283" t="e">
        <f t="shared" si="0"/>
        <v>#REF!</v>
      </c>
      <c r="H6" s="633"/>
    </row>
    <row r="7" spans="1:8" s="83" customFormat="1" ht="57" customHeight="1" x14ac:dyDescent="0.2">
      <c r="A7" s="279" t="s">
        <v>522</v>
      </c>
      <c r="B7" s="280">
        <v>45425</v>
      </c>
      <c r="C7" s="285" t="s">
        <v>530</v>
      </c>
      <c r="D7" s="281">
        <f>70/1.1364</f>
        <v>61.598028863076379</v>
      </c>
      <c r="E7" s="281">
        <v>2</v>
      </c>
      <c r="F7" s="282" t="s">
        <v>205</v>
      </c>
      <c r="G7" s="283">
        <f t="shared" si="0"/>
        <v>63.598028863076379</v>
      </c>
      <c r="H7" s="632"/>
    </row>
    <row r="8" spans="1:8" s="83" customFormat="1" ht="57" customHeight="1" x14ac:dyDescent="0.2">
      <c r="A8" s="279" t="s">
        <v>522</v>
      </c>
      <c r="B8" s="280">
        <v>45425</v>
      </c>
      <c r="C8" s="285" t="s">
        <v>531</v>
      </c>
      <c r="D8" s="281">
        <f>69/1.1364</f>
        <v>60.718057022175287</v>
      </c>
      <c r="E8" s="281">
        <v>2</v>
      </c>
      <c r="F8" s="282" t="s">
        <v>205</v>
      </c>
      <c r="G8" s="283">
        <f t="shared" si="0"/>
        <v>62.718057022175287</v>
      </c>
      <c r="H8"/>
    </row>
  </sheetData>
  <mergeCells count="2">
    <mergeCell ref="H3:H4"/>
    <mergeCell ref="H5:H7"/>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New_Costing</vt:lpstr>
      <vt:lpstr>Validation</vt:lpstr>
      <vt:lpstr>PALM</vt:lpstr>
      <vt:lpstr>Pricing Trends</vt:lpstr>
      <vt:lpstr>Profitability - OSave</vt:lpstr>
      <vt:lpstr>Profitability - New</vt:lpstr>
      <vt:lpstr>Profitability</vt:lpstr>
      <vt:lpstr>Target</vt:lpstr>
      <vt:lpstr>SOYA</vt:lpstr>
      <vt:lpstr>CANOLA</vt:lpstr>
      <vt:lpstr>Shipping Cost</vt:lpstr>
      <vt:lpstr>Delivery Cost</vt:lpstr>
      <vt:lpstr>Free Items</vt:lpstr>
      <vt:lpstr>Profitability OLD</vt:lpstr>
      <vt:lpstr>Pick Up Cost</vt:lpstr>
      <vt:lpstr>Forex</vt:lpstr>
      <vt:lpstr>Graph</vt:lpstr>
      <vt:lpstr>OTW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OJT Intern RSM</cp:lastModifiedBy>
  <cp:revision/>
  <dcterms:created xsi:type="dcterms:W3CDTF">2022-09-24T02:41:43Z</dcterms:created>
  <dcterms:modified xsi:type="dcterms:W3CDTF">2026-06-02T03:08:10Z</dcterms:modified>
  <cp:category/>
  <cp:contentStatus/>
</cp:coreProperties>
</file>